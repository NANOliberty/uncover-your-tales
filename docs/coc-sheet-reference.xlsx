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원본" sheetId="1" r:id="rId5"/>
    <sheet state="visible" name="원본(확장판)" sheetId="2" r:id="rId6"/>
    <sheet state="visible" name="블랙" sheetId="3" r:id="rId7"/>
    <sheet state="visible" name="보라" sheetId="4" r:id="rId8"/>
    <sheet state="visible" name="노랑" sheetId="5" r:id="rId9"/>
    <sheet state="visible" name="빨강" sheetId="6" r:id="rId10"/>
    <sheet state="visible" name="초록" sheetId="7" r:id="rId11"/>
    <sheet state="visible" name="공포" sheetId="8" r:id="rId12"/>
    <sheet state="visible" name="블루" sheetId="9" r:id="rId13"/>
  </sheets>
  <definedNames>
    <definedName localSheetId="3" name="체리마루">'보라'!$A$1</definedName>
    <definedName localSheetId="8" name="체리마루">'블루'!$A$1</definedName>
    <definedName localSheetId="6" name="체리마루">'초록'!$A$1</definedName>
    <definedName localSheetId="4" name="체리마루">'노랑'!$A$1</definedName>
    <definedName localSheetId="0" name="체리마루">'원본'!$A$1</definedName>
    <definedName localSheetId="1" name="체리마루">'원본(확장판)'!$A$1</definedName>
    <definedName localSheetId="7" name="체리마루">'공포'!$A$1</definedName>
    <definedName localSheetId="5" name="체리마루">'빨강'!$A$1</definedName>
    <definedName localSheetId="2" name="체리마루">'블랙'!$A$1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플레이어가 입력할 부분은 흰색,
나머지는 자동화입니다.
작은 모니터를 위한 슬림디자인.
이곳에 캐릭터 한마디를 적어주세요.</t>
      </text>
    </comment>
    <comment authorId="0" ref="AZ4">
      <text>
        <t xml:space="preserve">!!이 부분을 지우거나 수정하지 말아주세요!!
앤서님 동의하에 시트용 틀을 제작·수정했습니다. 공개용. 하우스룰이 소량 포함되어 있습니다. 
재배포를 금지합니다! 공유시 이 시트 주소를 공유해주세요.</t>
      </text>
    </comment>
    <comment authorId="0" ref="R8">
      <text>
        <t xml:space="preserve">주사위를 굴려 결정
근력: (3d6)*5		
건강: (3d6)*5
크기: (2d6+6)*5
교육: (2d6+6)*5
외모: (3d6)*5
민첩: (3d6)*5
지능: (2d6+6)*5
정신력: (3d6)*5
행운: (3d6)*5</t>
      </text>
    </comment>
    <comment authorId="0" ref="AQ8">
      <text>
        <t xml:space="preserve">======
ID#AAAAJvb_yRQ
    (2020-07-05 05:55:29)
그림 또는
● www.rinmarugames.com/game/?game_id=421
● http://www.rinmarugames.com/playgame.php?game_link=anime-elf-creator
● http://www.rinmarugames.com/all_games.php?category=16
사용 가능, 위 메뉴 Insert&gt;Images 로 삽입</t>
      </text>
    </comment>
    <comment authorId="0" ref="L12">
      <text>
        <t xml:space="preserve">직업유형에 원하는 직업이 없을 경우 가장 비슷한 특성치를 사용할 것 같은 직업을 고르시거나 기타를 선택하시고 여기에 커스텀 직업명을 넣어주세요.</t>
      </text>
    </comment>
    <comment authorId="0" ref="L13">
      <text>
        <t xml:space="preserve">탐사자의 나이는 플레이어가 15~89세 중에서 마음대로 선택합니다. 이 범위를 벗어나는 나이를 선택하고 싶은 플레이어가 있으면 수호자 재량으로 허용할 수 있습니다. 나이에 따른 수정사항은 누적되지 않습니다. 선택한 나이에 나온 항목만 적용하세요.
15 ~ 19세 :근력과 크기 사이에서 총 5점을 워하는대로 뺍니다. 교육에서 5점을 뺍니다. 운 수치를 한 번 더 굴려서 높은 쪽을 씁니다.
20 ~ 39세 : 교육의 향상판정을 한 번 합니다.
40 ~ 49세 : 교육의 향상 판정을 두 번 하고 근력, 건강, 민첩성 사이에서 총 5점을 원하는 대로 뺍니다. 외모에서 5점을 뺍니다.
50 ~ 59세 : 교육의 향상 판정을 세 번 하고 근력, 건강, 민첩성 사이에서 총 10점을 원하는 대로 뺍니다. 외모에서 10점을 뺍니다.
60 ~ 69  : 교육의 향상 판정을 네 번 하고 근력, 건강, 민첩성 사이에서 총 20점을 원하는 대로 뺍니다. 외모에서 15점을 뺍니다.
70 ~ 79  : 교육의 향상 판정을 네 번 하고 근력, 건강, 민첩성 사이에서 총 40점을 원하는 대로 뺍니다. 외모에서 20점을 뺍니다.
80 ~ 89  : 교육의 향상 판정을 네 번 하고 근력, 건강, 민첩성 사이에서 총 80점을 원하는 대로 뺍니다. 외모에서 25점을 뺍니다.</t>
      </text>
    </comment>
    <comment authorId="0" ref="AH14">
      <text>
        <t xml:space="preserve">행운,피해,이성,이성손실을 제외하면 운을 소모해서 결과를 바꿀수 있음
단, 강행,대성공,대실패,총기고장은 제외</t>
      </text>
    </comment>
    <comment authorId="0" ref="L15">
      <text>
        <t xml:space="preserve">현대, 1920, 미래 등 캐릭터가 살고 있는 시대를 자유롭게 입력</t>
      </text>
    </comment>
    <comment authorId="0" ref="B17">
      <text>
        <t xml:space="preserve">점수를 배분한 기능의 이름은 자동으로 강조됩니다.
기능 이름 왼쪽의 체크박스는 시나리오 안에서 해당 스킬을 성공했을 경우 체크, 시나리오 종료후 스킬성장을 위한 기록 용도입니다.</t>
      </text>
    </comment>
    <comment authorId="0" ref="O17">
      <text>
        <t xml:space="preserve">직업과 관련된 기능에 배분(최소 8개 이상)</t>
      </text>
    </comment>
    <comment authorId="0" ref="X17">
      <text>
        <t xml:space="preserve">자기가 원하는 기능에 배분
캐릭터가 살아오면서 취미나 백그라운드 등의 이유로 습득한 기능들입니다.</t>
      </text>
    </comment>
    <comment authorId="0" ref="C19">
      <text>
        <t xml:space="preserve">대항 기능: 은밀행동</t>
      </text>
    </comment>
    <comment authorId="0" ref="G19">
      <text>
        <t xml:space="preserve">======
ID#AAAAJvb_yu8
    (2020-07-05 05:55:29)
기본값</t>
      </text>
    </comment>
    <comment authorId="0" ref="H19">
      <text>
        <t xml:space="preserve">======
ID#AAAAJvb_yoM
    (2020-07-05 05:55:29)
기능점수 배분값</t>
      </text>
    </comment>
    <comment authorId="0" ref="I19">
      <text>
        <t xml:space="preserve">======
ID#AAAAJvb_yro
    (2020-07-05 05:55:29)
기본값+배분값
=일반 판정에 쓰는 값</t>
      </text>
    </comment>
    <comment authorId="0" ref="J19">
      <text>
        <t xml:space="preserve">======
ID#AAAAJvb_yak
    (2020-07-05 05:55:29)
어려운 판정에 쓰는 1/2 값</t>
      </text>
    </comment>
    <comment authorId="0" ref="K19">
      <text>
        <t xml:space="preserve">======
ID#AAAAJvb_y2c
    (2020-07-05 05:55:29)
극단적 판정에 쓰는 1/5 값</t>
      </text>
    </comment>
    <comment authorId="0" ref="M19">
      <text>
        <t xml:space="preserve">0:무일푼, 1~:가난,10~:보통, 50~:부유, 90~:자산가, 99:갑부
신용 : 탐사자가 자신이 속한 사회에서 얼마나 믿음을 사고 있는지를 나타낸다. 은행의 대출이나 지역 사회의 도움 등을 판정할 때 유용하다. 신용 기능은 재력에 포함되지만 재력이 낮더라도 15이하로 떨어지지 않는다.</t>
      </text>
    </comment>
    <comment authorId="0" ref="W19">
      <text>
        <t xml:space="preserve">크툴루 신화에 대한 이해도를 반영합니다. 학문적인 기능처럼 연마를 통해 축적되는 지식은 아닙니다. 신화에 노출되면 이성이 침식됩니다.
(이성 최대치가 감소)
신화 수치의 증가량은 수호자가 정합니다.</t>
      </text>
    </comment>
    <comment authorId="0" ref="AB19">
      <text>
        <t xml:space="preserve">======
ID#AAAAJvb_yNg
    (2020-07-05 05:55:29)
신화 수치의 증가량은 수호자가 정합니다. 플레이어가 임의로 올릴 수 없습니다.</t>
      </text>
    </comment>
    <comment authorId="0" ref="AG19">
      <text>
        <t xml:space="preserve">사고, 부상, 질병, 중독등을 진단하고 치료. 치료에 1시간 소요. 성공시 1d3회복.
빈사 상태는 응급처치로 안정시켜야 의료판정 가능.</t>
      </text>
    </comment>
    <comment authorId="0" ref="C20">
      <text>
        <t xml:space="preserve">각종 소리를 듣고 이해, 해석</t>
      </text>
    </comment>
    <comment authorId="0" ref="W20">
      <text>
        <t xml:space="preserve">오컬트 관련 개념, 물품, 마법서 등을 판별(크툴루 관련 제외). 타로나 별자리 포함</t>
      </text>
    </comment>
    <comment authorId="0" ref="AG20">
      <text>
        <t xml:space="preserve">1시간 이내에 다친 플레이어의 hp 1 치료, 기절 회복, 빈사 회복</t>
      </text>
    </comment>
    <comment authorId="0" ref="C21">
      <text>
        <t xml:space="preserve">책, 문서들 또는 데이터베이스에서 원하는 정보 탐색</t>
      </text>
    </comment>
    <comment authorId="0" ref="M21">
      <text>
        <t xml:space="preserve">전통적이고 비과학적인 지식과 개인적인 관찰을 의미합니다.
농부, 어부, 또는 취미로 연구하는 사람 등이 가질 법한 지식 기능입니다.</t>
      </text>
    </comment>
    <comment authorId="0" ref="W21">
      <text>
        <t xml:space="preserve">일시적으로 광기를 치료하고 이성을 회복시킵니다.
한 달간 시도하여(성공시+1d3, 대실패시-1d6)</t>
      </text>
    </comment>
    <comment authorId="0" ref="AG21">
      <text>
        <t xml:space="preserve">극한 환경이나 야생에서 생존하는 방법에 관한 지식. 사냥, 피난처, 위험요소 등에 관한 지식이 포함되어 있습니다. 특정 환경을 반드시 기입해야 합니다. (사막, 바다, 숲, 극지방 등)</t>
      </text>
    </comment>
    <comment authorId="0" ref="C22">
      <text>
        <t xml:space="preserve">컴퓨터를 특수하게 사용할 경우 판정
프로그래밍, 데이터 분석, 보안 침투, 네트워크 탐색, 침입이나 바이러스 탐지 또는 악용</t>
      </text>
    </comment>
    <comment authorId="0" ref="M22">
      <text>
        <t xml:space="preserve">공학, 기상학, 동물학, 물리학, 생물학, 수사과학, 수학(기본 수치 10), 식물학, 암호학, 약학, 지질학, 천문학, 화학 중 선택 입력</t>
      </text>
    </comment>
    <comment authorId="0" ref="W22">
      <text>
        <t xml:space="preserve">목표 대상의 심리상태를 파악합니다. 대항 기능: 말재주, 매혹, 설득, 위협, 변장</t>
      </text>
    </comment>
    <comment authorId="0" ref="AG22">
      <text>
        <t xml:space="preserve">액체 위나 속에서 이동하는 능력</t>
      </text>
    </comment>
    <comment authorId="0" ref="C23">
      <text>
        <t xml:space="preserve">마이크로칩과 기판이 들어가는 현대기기를 수리하거나 다룹니다.</t>
      </text>
    </comment>
    <comment authorId="0" ref="W23">
      <text>
        <t xml:space="preserve">폭력적 협박, 공격적 태도. 대항 기능: 위협, 심리학</t>
      </text>
    </comment>
    <comment authorId="0" ref="AG23">
      <text>
        <t xml:space="preserve">나무, 벽, 그 외 수직면을 오를 수 있습니다. 밧줄이나 등반장비를 사용할 수 있습니다.</t>
      </text>
    </comment>
    <comment authorId="0" ref="C24">
      <text>
        <t xml:space="preserve">자동 점화 장치, 전기 모터, 퓨즈 박스, 도난 경보
기와 같은 전기 장비를 수리하거나 개조할 수 있습니다.</t>
      </text>
    </comment>
    <comment authorId="0" ref="W24">
      <text>
        <t xml:space="preserve">친한 척, 유혹, 아부, 따뜻한 성품 등으로 특정 행동 유도. 대항 기능: 매혹, 심리학</t>
      </text>
    </comment>
    <comment authorId="0" ref="AG24">
      <text>
        <t xml:space="preserve">추락할 때 판정 성공 시 피해 감소</t>
      </text>
    </comment>
    <comment authorId="0" ref="C25">
      <text>
        <t xml:space="preserve">고장난 기계 수리, 새 기계 제작</t>
      </text>
    </comment>
    <comment authorId="0" ref="M25">
      <text>
        <t xml:space="preserve">법적인 수단이나 소송 절차에 관한 지식</t>
      </text>
    </comment>
    <comment authorId="0" ref="W25">
      <text>
        <t xml:space="preserve">빠른 말이나 궤변으로 상대를 속이고 착각하게 만듭니다. 대항 기능: 말재주, 심리학.</t>
      </text>
    </comment>
    <comment authorId="0" ref="C26">
      <text>
        <t xml:space="preserve">시대에 따라 썰매 운전, 마차 운전 등으로 변경
승용차나 소형 트럭 운행. 대항 기능: 추적, 미행</t>
      </text>
    </comment>
    <comment authorId="0" ref="M26">
      <text>
        <t xml:space="preserve">문화권 또는 대상의 생활 방식 식별 및 이해</t>
      </text>
    </comment>
    <comment authorId="0" ref="W26">
      <text>
        <t xml:space="preserve">합리적이고 이성적인 주장과 토론으로 상대를 납득 시킵니다. 대항 기능:설득</t>
      </text>
    </comment>
    <comment authorId="0" ref="AG26">
      <text>
        <t xml:space="preserve">특정인 또는 자신이 아닌 사람인 척</t>
      </text>
    </comment>
    <comment authorId="0" ref="C27">
      <text>
        <t xml:space="preserve">탱크, 굴착기, 굴삭기, 각종 대형 건설 장비를 운전하고 조작하는 데 필요합니다.</t>
      </text>
    </comment>
    <comment authorId="0" ref="M27">
      <text>
        <t xml:space="preserve">역사적으로 중요한 사실을 기억, 조상들은 익숙하나 현대에는 잘 모르는 것 판별</t>
      </text>
    </comment>
    <comment authorId="0" ref="W27">
      <text>
        <t xml:space="preserve">국적에 따라 자동 입력됨</t>
      </text>
    </comment>
    <comment authorId="0" ref="AG27">
      <text>
        <t xml:space="preserve">잠행과 숨기 기능이 7판에서
은밀행동으로 통합되었습니다. 들키지 않고 조용히 움직이거나 숨기. 대항 기능: 관찰력, 듣기</t>
      </text>
    </comment>
    <comment authorId="0" ref="C28">
      <text>
        <t xml:space="preserve">특수 탑승장비를 조종하는 기능.
조종할 장비 종류에 따라 나뉩니다. 전문 분야 반드시 기입 필요. (ex. 비행기, 대형선박...)</t>
      </text>
    </comment>
    <comment authorId="0" ref="M28">
      <text>
        <t xml:space="preserve">유물 식별, 연대 확인, 유물 위조 여부 감별, 생활 방식 추론, 멸종 언어 판별</t>
      </text>
    </comment>
    <comment authorId="0" ref="W28">
      <text>
        <t xml:space="preserve">5-판정 없이 언어 식별
10-간단한 대화
30-거래 요청
50-유창함
75-모국어급</t>
      </text>
    </comment>
    <comment authorId="0" ref="AG28">
      <text>
        <t xml:space="preserve">소매치기, 카드 마술, 휴대폰 몰래 사용하기, 물건 숨기기 등이 포함됩니다. 대항 기능: 관찰력</t>
      </text>
    </comment>
    <comment authorId="0" ref="M29">
      <text>
        <t xml:space="preserve">물건의 품질, 사용 재료, 세공 솜씨, 제작 시기, 위조 여부 등을 판별</t>
      </text>
    </comment>
    <comment authorId="0" ref="AG29">
      <text>
        <t xml:space="preserve">문 따기, 열쇠 없이 시동걸기, 지레로 문 뜯기, 경보 시스템 통과, 자물쇠 수리, 열쇠 복제</t>
      </text>
    </comment>
    <comment authorId="0" ref="C30">
      <text>
        <t xml:space="preserve">위치와 좌표를 읽고 지도, 나침반, GPS 등을 다루는 능력입니다</t>
      </text>
    </comment>
    <comment authorId="0" ref="M30">
      <text>
        <t xml:space="preserve">예술/공예 글자를 지우고, 인테리어디자인, 연기, 성악, 요리, 작가, 사진, 미술, 목수, 춤, 조각, 위조, 이발, 미용 등 전문분야를 반드시 적어주세요.</t>
      </text>
    </comment>
    <comment authorId="0" ref="W30">
      <text>
        <t xml:space="preserve">적당한 물건 또는 투척용 무기를 근력 다이스 스탯(m)만큼 던짐</t>
      </text>
    </comment>
    <comment authorId="0" ref="AG30">
      <text>
        <t xml:space="preserve">연사는 기관단총으로 판정</t>
      </text>
    </comment>
    <comment authorId="0" ref="C31">
      <text>
        <t xml:space="preserve">흔적을 찾아 대상을 따라감. 대항 기능: 은밀행동</t>
      </text>
    </comment>
    <comment authorId="0" ref="W31">
      <text>
        <t xml:space="preserve">아무나 들고 싸울 수 있는 기본적인 무기를 이용하는 전문분야
밀치거나, 던지거나, 무장을 해제하거나, 넘어뜨리는 등의 목표를 달성하겠다고 선어할 때도 근접전 액션을 사용합니다.
하나 이상의 전문분야가 50이상이면 다른 전문분야들도 10씩 증가, 하나 이상의 전문분야가 90이상이면 다른 전문분야들도 추가로 10씩 증가</t>
      </text>
    </comment>
    <comment authorId="0" ref="AG31">
      <text>
        <t xml:space="preserve">연사는 기관단총으로 판정
산탄총을 포함한 단발사격 장총은 모두 이 기능으로 판정합니다.</t>
      </text>
    </comment>
    <comment authorId="0" ref="C32">
      <text>
        <t xml:space="preserve">말을 다루는 전반적인 방법</t>
      </text>
    </comment>
    <comment authorId="0" ref="M32">
      <text>
        <t xml:space="preserve">입술의 움직임으로 대화의 내용 파악. 희귀 기능. 특수한 이유 없이 사용 불가.</t>
      </text>
    </comment>
    <comment authorId="0" ref="BA32">
      <text>
        <t xml:space="preserve">크툴루 신화 지능이 높아질수록 최대치가 자동 감산됩니다.</t>
      </text>
    </comment>
    <comment authorId="0" ref="M33">
      <text>
        <t xml:space="preserve">길들인 동물 훈련, 명령. 희귀 기능. 특수한 이유 없이 사용 불가.</t>
      </text>
    </comment>
    <comment authorId="0" ref="M34">
      <text>
        <t xml:space="preserve">잠수 장비 사용, 관리. 희귀 기능. 특수한 이유 없이 사용 불가.</t>
      </text>
    </comment>
    <comment authorId="0" ref="AG34">
      <text>
        <t xml:space="preserve">활은 라운드마다 1발 사격.
쇠뇌는 기본치가 25지만 쏠 때마다 재장전에 한 라운드 소요.</t>
      </text>
    </comment>
    <comment authorId="0" ref="C35">
      <text>
        <t xml:space="preserve">폭발물을 안전하게 사용, 설치, 해체. 희귀 기능. 특수한 이유 없이 사용 불가.</t>
      </text>
    </comment>
    <comment authorId="0" ref="M35">
      <text>
        <t xml:space="preserve">자발적인 대상에게 트랜스 상태 유도(광기-공포증, 집착증 치료). 희귀 기능. 특수한 이유 없이 사용 불가. 대항 기능: 심리학 또는 정신력(비자발적 대상 한정)</t>
      </text>
    </comment>
    <comment authorId="0" ref="AG35">
      <text>
        <t xml:space="preserve">유탄발사기, 대전차 로켓 등</t>
      </text>
    </comment>
    <comment authorId="0" ref="C36">
      <text>
        <t xml:space="preserve">야전 병기 조작 가능. 희귀 기능. 특수한 이유 없이 사용 불가.</t>
      </text>
    </comment>
    <comment authorId="0" ref="M36">
      <text>
        <t xml:space="preserve">일반적인 것이 아닌 희귀한 영역의 지식(전문 영역 기입 필요, 비밀 지식 글자를 지우고 전문영역을 작성해주세요.). 희귀 기능. 특수한 이유 없이 사용 불가.</t>
      </text>
    </comment>
    <comment authorId="0" ref="AG36">
      <text>
        <t xml:space="preserve">기계에 장착된 것 포함</t>
      </text>
    </comment>
    <comment authorId="0" ref="AL40">
      <text>
        <t xml:space="preserve">사격판정시 이 수치 이상인 경우 총기 고장</t>
      </text>
    </comment>
    <comment authorId="0" ref="B48">
      <text>
        <t xml:space="preserve">첫째 칸은 가장 소중한 물건.
상세 설명을 하고 싶다면 툴팁을 이용 (우클릭&gt;Insert Note).</t>
      </text>
    </comment>
    <comment authorId="0" ref="V48">
      <text>
        <t xml:space="preserve">캐릭터에게 의미있는 관계.
첫번째 칸은 현재 가장 소중한 관계. 상세 설명을 하고 싶다면 툴팁을 이용 (우클릭&gt;Insert Note)</t>
      </text>
    </comment>
    <comment authorId="0" ref="AQ49">
      <text>
        <t xml:space="preserve">랜덤 배정 1d10
1번 굴려서 해당값을 우측에 입력.
마음에 안 들 경우 공란으로 내버려둔다. (리롤 없음)</t>
      </text>
    </comment>
    <comment authorId="0" ref="B50">
      <text>
        <t xml:space="preserve">현재 가장 소중한 물건.</t>
      </text>
    </comment>
    <comment authorId="0" ref="AQ51">
      <text>
        <t xml:space="preserve">랜덤 배정 1d10
1번 굴려서 해당값을 우측에 입력.
마음에 안 들 경우 공란으로 내버려둔다. (리롤 없음)</t>
      </text>
    </comment>
    <comment authorId="0" ref="AQ53">
      <text>
        <t xml:space="preserve">각 세션 클리어후 키퍼의 지시가 있다면 스킬 성장 다이스를 굴려 증가치를 이곳에 입력후, 기능 목록에서 분배합니다. 크툴루 신화는 이곳에서 제외합니다.</t>
      </text>
    </comment>
    <comment authorId="0" ref="B55">
      <text>
        <t xml:space="preserve">자유롭게 작성.
외모: 외적으로 보이는 캐릭터를 묘사. 눈 색, 머리색, 인상 등
성격: 캐릭터의 성격을 묘사.
기타: 그 외 모든 것은 여기에 기록</t>
      </text>
    </comment>
    <comment authorId="0" ref="B67">
      <text>
        <t xml:space="preserve">(기록용) 이 캐릭터로 겪은 시나리오를 기록합니다. 없다면 공란으로 내버려둡니다.</t>
      </text>
    </comment>
    <comment authorId="0" ref="N67">
      <text>
        <t xml:space="preserve">(기록용) 이 캐릭터가 가지고 있는/배운 주문을 기록합니다. 키퍼님께 미리 설명을 드리면 좋습니다. 없다면 공란으로 내버려둡니다.</t>
      </text>
    </comment>
    <comment authorId="0" ref="Z67">
      <text>
        <t xml:space="preserve">(기록용) 이 캐릭터가 현재 가지고 있는 정신적 질환을 서술합니다. 없다면 공란으로 내버려둡니다.</t>
      </text>
    </comment>
    <comment authorId="0" ref="AL67">
      <text>
        <t xml:space="preserve">그 외 키퍼가 시나리오를 진행하며 이 캐릭터에 대해 알아야 할 점이 있다면 적어주세요. (경험 패키지 등)</t>
      </text>
    </comment>
    <comment authorId="0" ref="AY67">
      <text>
        <t xml:space="preserve">http://www.icongenerators.net/pixelavatar.html
● 키퍼의 요청이 있을 때만 필수입니다. (48x48로 저장)</t>
      </text>
    </comment>
    <comment authorId="0" ref="B74">
      <text>
        <t xml:space="preserve">======
ID#AAAAJvb_yno
    (2020-07-05 05:55:29)
Roll20 굴림식들로 초심자는 사용하지 않는 것을 추천합니다.</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플레이어가 입력할 부분은 흰색,
나머지는 자동화입니다.
작은 모니터를 위한 슬림디자인.
이곳에 캐릭터 한마디를 적어주세요.</t>
      </text>
    </comment>
    <comment authorId="0" ref="AZ4">
      <text>
        <t xml:space="preserve">!!이 부분을 지우거나 수정하지 말아주세요!!
앤서님 동의하에 시트용 틀을 제작·수정했습니다. 공개용. 하우스룰이 소량 포함되어 있습니다. 
재배포를 금지합니다! 공유시 이 시트 주소를 공유해주세요.</t>
      </text>
    </comment>
    <comment authorId="0" ref="R8">
      <text>
        <t xml:space="preserve">주사위를 굴려 결정
근력: (3d6)*5		
건강: (3d6)*5
크기: (2d6+6)*5
교육: (2d6+6)*5
외모: (3d6)*5
민첩: (3d6)*5
지능: (2d6+6)*5
정신력: (3d6)*5
행운: (3d6)*5</t>
      </text>
    </comment>
    <comment authorId="0" ref="AQ8">
      <text>
        <t xml:space="preserve">======
ID#AAAAJvb_yRQ
    (2020-07-05 05:55:29)
그림 또는
● www.rinmarugames.com/game/?game_id=421
● http://www.rinmarugames.com/playgame.php?game_link=anime-elf-creator
● http://www.rinmarugames.com/all_games.php?category=16
사용 가능, 위 메뉴 Insert&gt;Images 로 삽입</t>
      </text>
    </comment>
    <comment authorId="0" ref="E12">
      <text>
        <t xml:space="preserve">어느 직업은 선택하느냐에 따라 직업기능점수가 변화합니다. 잘 모르겠는 경우엔, 마스터에게 질문하고 선택해 보도록 합시다.</t>
      </text>
    </comment>
    <comment authorId="0" ref="L12">
      <text>
        <t xml:space="preserve">직업유형에 원하는 직업이 없을 경우 가장 비슷한 특성치를 사용할 것 같은 직업을 고르시거나 기타를 선택하시고 여기에 커스텀 직업명을 넣어주세요.</t>
      </text>
    </comment>
    <comment authorId="0" ref="L13">
      <text>
        <t xml:space="preserve">탐사자의 나이는 플레이어가 15~89세 중에서 마음대로 선택합니다. 이 범위를 벗어나는 나이를 선택하고 싶은 플레이어가 있으면 수호자 재량으로 허용할 수 있습니다. 나이에 따른 수정사항은 누적되지 않습니다. 선택한 나이에 나온 항목만 적용하세요.
15 ~ 19세 :근력과 크기 사이에서 총 5점을 워하는대로 뺍니다. 교육에서 5점을 뺍니다. 운 수치를 한 번 더 굴려서 높은 쪽을 씁니다.
20 ~ 39세 : 교육의 향상판정을 한 번 합니다.
40 ~ 49세 : 교육의 향상 판정을 두 번 하고 근력, 건강, 민첩성 사이에서 총 5점을 원하는 대로 뺍니다. 외모에서 5점을 뺍니다.
50 ~ 59세 : 교육의 향상 판정을 세 번 하고 근력, 건강, 민첩성 사이에서 총 10점을 원하는 대로 뺍니다. 외모에서 10점을 뺍니다.
60 ~ 69  : 교육의 향상 판정을 네 번 하고 근력, 건강, 민첩성 사이에서 총 20점을 원하는 대로 뺍니다. 외모에서 15점을 뺍니다.
70 ~ 79  : 교육의 향상 판정을 네 번 하고 근력, 건강, 민첩성 사이에서 총 40점을 원하는 대로 뺍니다. 외모에서 20점을 뺍니다.
80 ~ 89  : 교육의 향상 판정을 네 번 하고 근력, 건강, 민첩성 사이에서 총 80점을 원하는 대로 뺍니다. 외모에서 25점을 뺍니다.</t>
      </text>
    </comment>
    <comment authorId="0" ref="AH14">
      <text>
        <t xml:space="preserve">행운,피해,이성,이성손실을 제외하면 운을 소모해서 결과를 바꿀수 있음
단, 강행,대성공,대실패,총기고장은 제외</t>
      </text>
    </comment>
    <comment authorId="0" ref="L15">
      <text>
        <t xml:space="preserve">현대, 1920, 미래 등 캐릭터가 살고 있는 시대를 자유롭게 입력</t>
      </text>
    </comment>
    <comment authorId="0" ref="B17">
      <text>
        <t xml:space="preserve">점수를 배분한 기능의 이름은 자동으로 강조됩니다.
기능 이름 왼쪽의 체크박스는 시나리오 안에서 해당 스킬을 성공했을 경우 체크, 시나리오 종료후 스킬성장을 위한 기록 용도입니다.</t>
      </text>
    </comment>
    <comment authorId="0" ref="O17">
      <text>
        <t xml:space="preserve">직업과 관련된 기능에 배분(최소 8개 이상)</t>
      </text>
    </comment>
    <comment authorId="0" ref="X17">
      <text>
        <t xml:space="preserve">자기가 원하는 기능에 배분
캐릭터가 살아오면서 취미나 백그라운드 등의 이유로 습득한 기능들입니다.</t>
      </text>
    </comment>
    <comment authorId="0" ref="C19">
      <text>
        <t xml:space="preserve">대항 기능: 은밀행동</t>
      </text>
    </comment>
    <comment authorId="0" ref="G19">
      <text>
        <t xml:space="preserve">======
ID#AAAAJvb_yu8
    (2020-07-05 05:55:29)
기본값</t>
      </text>
    </comment>
    <comment authorId="0" ref="H19">
      <text>
        <t xml:space="preserve">======
ID#AAAAJvb_yoM
    (2020-07-05 05:55:29)
기능점수 배분값</t>
      </text>
    </comment>
    <comment authorId="0" ref="I19">
      <text>
        <t xml:space="preserve">======
ID#AAAAJvb_yro
    (2020-07-05 05:55:29)
기본값+배분값
=일반 판정에 쓰는 값</t>
      </text>
    </comment>
    <comment authorId="0" ref="J19">
      <text>
        <t xml:space="preserve">======
ID#AAAAJvb_yak
    (2020-07-05 05:55:29)
어려운 판정에 쓰는 1/2 값</t>
      </text>
    </comment>
    <comment authorId="0" ref="K19">
      <text>
        <t xml:space="preserve">======
ID#AAAAJvb_y2c
    (2020-07-05 05:55:29)
극단적 판정에 쓰는 1/5 값</t>
      </text>
    </comment>
    <comment authorId="0" ref="M19">
      <text>
        <t xml:space="preserve">0:무일푼, 1~:가난,10~:보통, 50~:부유, 90~:자산가, 99:갑부</t>
      </text>
    </comment>
    <comment authorId="0" ref="W19">
      <text>
        <t xml:space="preserve">크툴루 신화에 대한 이해도를 반영합니다. 학문적인 기능처럼 연마를 통해 축적되는 지식은 아닙니다. 신화에 노출되면 이성이 침식됩니다.
(이성 최대치가 감소)
신화 수치의 증가량은 수호자가 정합니다.</t>
      </text>
    </comment>
    <comment authorId="0" ref="AB19">
      <text>
        <t xml:space="preserve">======
ID#AAAAJvb_yNg
    (2020-07-05 05:55:29)
신화 수치의 증가량은 수호자가 정합니다. 플레이어가 임의로 올릴 수 없습니다.</t>
      </text>
    </comment>
    <comment authorId="0" ref="AG19">
      <text>
        <t xml:space="preserve">사고, 부상, 질병, 중독등을 진단하고 치료. 치료에 1시간 소요. 성공시 1d3회복.
빈사 상태는 응급처치로 안정시켜야 의료판정 가능.</t>
      </text>
    </comment>
    <comment authorId="0" ref="C20">
      <text>
        <t xml:space="preserve">각종 소리를 듣고 이해, 해석</t>
      </text>
    </comment>
    <comment authorId="0" ref="W20">
      <text>
        <t xml:space="preserve">오컬트 관련 개념, 물품, 마법서 등을 판별(크툴루 관련 제외). 타로나 별자리 포함</t>
      </text>
    </comment>
    <comment authorId="0" ref="AG20">
      <text>
        <t xml:space="preserve">1시간 이내에 다친 플레이어의 hp 1 치료, 기절 회복, 빈사 회복</t>
      </text>
    </comment>
    <comment authorId="0" ref="C21">
      <text>
        <t xml:space="preserve">책, 문서들 또는 데이터베이스에서 원하는 정보 탐색</t>
      </text>
    </comment>
    <comment authorId="0" ref="M21">
      <text>
        <t xml:space="preserve">전통적이고 비과학적인 지식과 개인적인 관찰을 의미합니다.
농부, 어부, 또는 취미로 연구하는 사람 등이 가질 법한 지식 기능입니다.</t>
      </text>
    </comment>
    <comment authorId="0" ref="W21">
      <text>
        <t xml:space="preserve">일시적으로 광기를 치료하고 이성을 회복시킵니다.
한 달간 시도하여(성공시+1d3, 대실패시-1d6)</t>
      </text>
    </comment>
    <comment authorId="0" ref="AG21">
      <text>
        <t xml:space="preserve">극한 환경이나 야생에서 생존하는 방법에 관한 지식. 사냥, 피난처, 위험요소 등에 관한 지식이 포함되어 있습니다. 특정 환경을 반드시 기입해야 합니다. (사막, 바다, 숲, 극지방 등)</t>
      </text>
    </comment>
    <comment authorId="0" ref="C22">
      <text>
        <t xml:space="preserve">컴퓨터를 특수하게 사용할 경우 판정
프로그래밍, 데이터 분석, 보안 침투, 네트워크 탐색, 침입이나 바이러스 탐지 또는 악용</t>
      </text>
    </comment>
    <comment authorId="0" ref="M22">
      <text>
        <t xml:space="preserve">공학, 기상학, 동물학, 물리학, 생물학, 수사과학, 수학(기본 수치 10), 식물학, 암호학, 약학, 지질학, 천문학, 화학 중 선택 입력</t>
      </text>
    </comment>
    <comment authorId="0" ref="W22">
      <text>
        <t xml:space="preserve">목표 대상의 심리상태를 파악합니다. 대항 기능: 말재주, 매혹, 설득, 위협, 변장</t>
      </text>
    </comment>
    <comment authorId="0" ref="AG22">
      <text>
        <t xml:space="preserve">액체 위나 속에서 이동하는 능력</t>
      </text>
    </comment>
    <comment authorId="0" ref="C23">
      <text>
        <t xml:space="preserve">마이크로칩과 기판이 들어가는 현대기기를 수리하거나 다룹니다.</t>
      </text>
    </comment>
    <comment authorId="0" ref="W23">
      <text>
        <t xml:space="preserve">폭력적 협박, 공격적 태도. 대항 기능: 위협, 심리학</t>
      </text>
    </comment>
    <comment authorId="0" ref="AG23">
      <text>
        <t xml:space="preserve">나무, 벽, 그 외 수직면을 오를 수 있습니다. 밧줄이나 등반장비를 사용할 수 있습니다.</t>
      </text>
    </comment>
    <comment authorId="0" ref="C24">
      <text>
        <t xml:space="preserve">1920녀대 기능
자동 점화 장치, 전기 모터, 퓨즈 박스, 도난 경보
기와 같은 전기 장비를 수리하거나 개조할 수 있습니다.</t>
      </text>
    </comment>
    <comment authorId="0" ref="W24">
      <text>
        <t xml:space="preserve">친한 척, 유혹, 아부, 따뜻한 성품 등으로 특정 행동 유도. 대항 기능: 매혹, 심리학</t>
      </text>
    </comment>
    <comment authorId="0" ref="AG24">
      <text>
        <t xml:space="preserve">추락할 때 판정 성공 시 피해 감소</t>
      </text>
    </comment>
    <comment authorId="0" ref="C25">
      <text>
        <t xml:space="preserve">1920년대에는 전기수리로 대체
고장난 기계 수리, 새 기계 제작</t>
      </text>
    </comment>
    <comment authorId="0" ref="M25">
      <text>
        <t xml:space="preserve">법적인 수단이나 소송 절차에 관한 지식</t>
      </text>
    </comment>
    <comment authorId="0" ref="W25">
      <text>
        <t xml:space="preserve">빠른 말이나 궤변으로 상대를 속이고 착각하게 만듭니다. 대항 기능: 말재주, 심리학.</t>
      </text>
    </comment>
    <comment authorId="0" ref="C26">
      <text>
        <t xml:space="preserve">시대에 따라 썰매 운전, 마차 운전 등으로 변경
승용차나 소형 트럭 운행. 대항 기능: 추적, 미행</t>
      </text>
    </comment>
    <comment authorId="0" ref="M26">
      <text>
        <t xml:space="preserve">문화권 또는 대상의 생활 방식 식별 및 이해</t>
      </text>
    </comment>
    <comment authorId="0" ref="W26">
      <text>
        <t xml:space="preserve">합리적이고 이성적인 주장과 토론으로 상대를 납득 시킵니다. 대항 기능:설득</t>
      </text>
    </comment>
    <comment authorId="0" ref="AG26">
      <text>
        <t xml:space="preserve">특정인 또는 자신이 아닌 사람인 척</t>
      </text>
    </comment>
    <comment authorId="0" ref="C27">
      <text>
        <t xml:space="preserve">탱크, 굴착기, 굴삭기, 각종 대형 건설 장비를 운전하고 조작하는 데 필요합니다.</t>
      </text>
    </comment>
    <comment authorId="0" ref="M27">
      <text>
        <t xml:space="preserve">역사적으로 중요한 사실을 기억, 조상들은 익숙하나 현대에는 잘 모르는 것 판별</t>
      </text>
    </comment>
    <comment authorId="0" ref="W27">
      <text>
        <t xml:space="preserve">국적에 따라 자동 입력됨</t>
      </text>
    </comment>
    <comment authorId="0" ref="AG27">
      <text>
        <t xml:space="preserve">잠행과 숨기 기능이 7판에서
은밀행동으로 통합되었습니다. 들키지 않고 조용히 움직이거나 숨기. 대항 기능: 관찰력, 듣기</t>
      </text>
    </comment>
    <comment authorId="0" ref="C28">
      <text>
        <t xml:space="preserve">특수 탑승장비를 조종하는 기능.
조종할 장비 종류에 따라 나뉩니다. 전문 분야 반드시 기입 필요. (ex. 비행기, 대형선박...)</t>
      </text>
    </comment>
    <comment authorId="0" ref="M28">
      <text>
        <t xml:space="preserve">유물 식별, 연대 확인, 유물 위조 여부 감별, 생활 방식 추론, 멸종 언어 판별</t>
      </text>
    </comment>
    <comment authorId="0" ref="W28">
      <text>
        <t xml:space="preserve">5-판정 없이 언어 식별
10-간단한 대화
30-거래 요청
50-유창함
75-모국어급</t>
      </text>
    </comment>
    <comment authorId="0" ref="AG28">
      <text>
        <t xml:space="preserve">소매치기, 카드 마술, 휴대폰 몰래 사용하기, 물건 숨기기 등이 포함됩니다. 대항 기능: 관찰력</t>
      </text>
    </comment>
    <comment authorId="0" ref="M29">
      <text>
        <t xml:space="preserve">물건의 품질, 사용 재료, 세공 솜씨, 제작 시기, 위조 여부 등을 판별</t>
      </text>
    </comment>
    <comment authorId="0" ref="AG29">
      <text>
        <t xml:space="preserve">문 따기, 열쇠 없이 시동걸기, 지레로 문 뜯기, 경보 시스템 통과, 자물쇠 수리, 열쇠 복제</t>
      </text>
    </comment>
    <comment authorId="0" ref="C30">
      <text>
        <t xml:space="preserve">위치와 좌표를 읽고 지도, 나침반, GPS 등을 다루는 능력입니다</t>
      </text>
    </comment>
    <comment authorId="0" ref="M30">
      <text>
        <t xml:space="preserve">예술/공예 글자를 지우고, 인테리어디자인, 연기, 성악, 요리, 작가, 사진, 미술, 목수, 춤, 조각, 위조, 이발, 미용 등 전문분야를 반드시 적어주세요.</t>
      </text>
    </comment>
    <comment authorId="0" ref="W30">
      <text>
        <t xml:space="preserve">적당한 물건 또는 투척용 무기를 근력 다이스 스탯(m)만큼 던짐</t>
      </text>
    </comment>
    <comment authorId="0" ref="AG30">
      <text>
        <t xml:space="preserve">연사는 기관단총으로 판정</t>
      </text>
    </comment>
    <comment authorId="0" ref="C31">
      <text>
        <t xml:space="preserve">흔적을 찾아 대상을 따라감. 대항 기능: 은밀행동</t>
      </text>
    </comment>
    <comment authorId="0" ref="W31">
      <text>
        <t xml:space="preserve">아무나 들고 싸울 수 있는 기본적인 무기를 이용하는 전문분야
밀치거나, 던지거나, 무장을 해제하거나, 넘어뜨리는 등의 목표를 달성하겠다고 선어할 때도 근접전 액션을 사용합니다.
하나 이상의 전문분야가 50이상이면 다른 전문분야들도 10씩 증가, 하나 이상의 전문분야가 90이상이면 다른 전문분야들도 추가로 10씩 증가</t>
      </text>
    </comment>
    <comment authorId="0" ref="AG31">
      <text>
        <t xml:space="preserve">연사는 기관단총으로 판정
산탄총을 포함한 단발사격 장총은 모두 이 기능으로 판정합니다.</t>
      </text>
    </comment>
    <comment authorId="0" ref="C32">
      <text>
        <t xml:space="preserve">말을 다루는 전반적인 방법</t>
      </text>
    </comment>
    <comment authorId="0" ref="M32">
      <text>
        <t xml:space="preserve">입술의 움직임으로 대화의 내용 파악. 희귀 기능. 특수한 이유 없이 사용 불가.</t>
      </text>
    </comment>
    <comment authorId="0" ref="BA32">
      <text>
        <t xml:space="preserve">크툴루 신화 지능이 높아질수록 최대치가 자동 감산됩니다.</t>
      </text>
    </comment>
    <comment authorId="0" ref="M33">
      <text>
        <t xml:space="preserve">길들인 동물 훈련, 명령. 희귀 기능. 특수한 이유 없이 사용 불가.</t>
      </text>
    </comment>
    <comment authorId="0" ref="M34">
      <text>
        <t xml:space="preserve">잠수 장비 사용, 관리. 희귀 기능. 특수한 이유 없이 사용 불가.</t>
      </text>
    </comment>
    <comment authorId="0" ref="AG34">
      <text>
        <t xml:space="preserve">활은 라운드마다 1발 사격.
쇠뇌는 기본치가 25지만 쏠 때마다 재장전에 한 라운드 소요.</t>
      </text>
    </comment>
    <comment authorId="0" ref="C35">
      <text>
        <t xml:space="preserve">폭발물을 안전하게 사용, 설치, 해체. 희귀 기능. 특수한 이유 없이 사용 불가.</t>
      </text>
    </comment>
    <comment authorId="0" ref="M35">
      <text>
        <t xml:space="preserve">자발적인 대상에게 트랜스 상태 유도(광기-공포증, 집착증 치료). 희귀 기능. 특수한 이유 없이 사용 불가. 대항 기능: 심리학 또는 정신력(비자발적 대상 한정)</t>
      </text>
    </comment>
    <comment authorId="0" ref="AG35">
      <text>
        <t xml:space="preserve">유탄발사기, 대전차 로켓 등</t>
      </text>
    </comment>
    <comment authorId="0" ref="C36">
      <text>
        <t xml:space="preserve">야전 병기 조작 가능. 희귀 기능. 특수한 이유 없이 사용 불가.</t>
      </text>
    </comment>
    <comment authorId="0" ref="M36">
      <text>
        <t xml:space="preserve">일반적인 것이 아닌 희귀한 영역의 지식(전문 영역 기입 필요, 비밀 지식 글자를 지우고 전문영역을 작성해주세요.). 희귀 기능. 특수한 이유 없이 사용 불가.</t>
      </text>
    </comment>
    <comment authorId="0" ref="AG36">
      <text>
        <t xml:space="preserve">기계에 장착된 것 포함</t>
      </text>
    </comment>
    <comment authorId="0" ref="AL40">
      <text>
        <t xml:space="preserve">사격판정시 이 수치 이상인 경우 총기 고장</t>
      </text>
    </comment>
    <comment authorId="0" ref="B48">
      <text>
        <t xml:space="preserve">첫째 칸은 가장 소중한 물건.
상세 설명을 하고 싶다면 툴팁을 이용 (우클릭&gt;Insert Note).</t>
      </text>
    </comment>
    <comment authorId="0" ref="V48">
      <text>
        <t xml:space="preserve">캐릭터에게 의미있는 관계.
첫번째 칸은 현재 가장 소중한 관계. 상세 설명을 하고 싶다면 툴팁을 이용 (우클릭&gt;Insert Note)</t>
      </text>
    </comment>
    <comment authorId="0" ref="AQ49">
      <text>
        <t xml:space="preserve">랜덤 배정 1d10
1번 굴려서 해당값을 우측에 입력.
마음에 안 들 경우 공란으로 내버려둔다. (리롤 없음)</t>
      </text>
    </comment>
    <comment authorId="0" ref="B50">
      <text>
        <t xml:space="preserve">현재 가장 소중한 물건</t>
      </text>
    </comment>
    <comment authorId="0" ref="V50">
      <text>
        <t xml:space="preserve">현재 가장 소중한 관계</t>
      </text>
    </comment>
    <comment authorId="0" ref="AQ59">
      <text>
        <t xml:space="preserve">랜덤 배정 1d10
1번 굴려서 해당값을 우측에 입력.
마음에 안 들 경우 공란으로 내버려둔다. (리롤 없음)</t>
      </text>
    </comment>
    <comment authorId="0" ref="AQ61">
      <text>
        <t xml:space="preserve">각 세션 클리어후 키퍼의 지시가 있다면 스킬 성장 다이스를 굴려 증가치를 이곳에 입력후, 기능 목록에서 분배합니다. 크툴루 신화는 이곳에서 제외합니다.</t>
      </text>
    </comment>
    <comment authorId="0" ref="B63">
      <text>
        <t xml:space="preserve">자유롭게 작성.
외모: 외적으로 보이는 캐릭터를 묘사. 눈 색, 머리색, 인상 등
성격: 캐릭터의 성격을 묘사.
기타: 그 외 모든 것은 여기에 기록</t>
      </text>
    </comment>
    <comment authorId="0" ref="B75">
      <text>
        <t xml:space="preserve">(기록용) 이 캐릭터로 겪은 시나리오를 기록합니다. 없다면 공란으로 내버려둡니다.</t>
      </text>
    </comment>
    <comment authorId="0" ref="N75">
      <text>
        <t xml:space="preserve">(기록용) 이 캐릭터가 가지고 있는/배운 주문을 기록합니다. 키퍼님께 미리 설명을 드리면 좋습니다. 없다면 공란으로 내버려둡니다.</t>
      </text>
    </comment>
    <comment authorId="0" ref="Z75">
      <text>
        <t xml:space="preserve">(기록용) 이 캐릭터가 현재 가지고 있는 정신적 질환을 서술합니다. 없다면 공란으로 내버려둡니다.</t>
      </text>
    </comment>
    <comment authorId="0" ref="AL75">
      <text>
        <t xml:space="preserve">그 외 키퍼가 시나리오를 진행하며 이 캐릭터에 대해 알아야 할 점이 있다면 적어주세요. (경험 패키지 등)</t>
      </text>
    </comment>
    <comment authorId="0" ref="AY75">
      <text>
        <t xml:space="preserve">http://www.icongenerators.net/pixelavatar.html
● 키퍼의 요청이 있을 때만 필수입니다. (48x48로 저장)</t>
      </text>
    </comment>
    <comment authorId="0" ref="B82">
      <text>
        <t xml:space="preserve">======
ID#AAAAJvb_yno
    (2020-07-05 05:55:29)
Roll20 굴림식들로 초심자는 사용하지 않는 것을 추천합니다.</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플레이어가 입력할 부분은 흰색,
나머지는 자동화입니다.
작은 모니터를 위한 슬림디자인.
이곳에 캐릭터 한마디를 적어주세요.</t>
      </text>
    </comment>
    <comment authorId="0" ref="AZ4">
      <text>
        <t xml:space="preserve">!!이 부분을 지우거나 수정하지 말아주세요!!
앤서님 동의하에 시트용 틀을 제작·수정했습니다. 공개용. 하우스룰이 소량 포함되어 있습니다. 
재배포를 금지합니다! 공유시 이 시트 주소를 공유해주세요.</t>
      </text>
    </comment>
    <comment authorId="0" ref="R8">
      <text>
        <t xml:space="preserve">주사위를 굴려 결정
근력: (3d6)*5		
건강: (3d6)*5
크기: (2d6+6)*5
교육: (2d6+6)*5
외모: (3d6)*5
민첩: (3d6)*5
지능: (2d6+6)*5
정신력: (3d6)*5
행운: (3d6)*5</t>
      </text>
    </comment>
    <comment authorId="0" ref="AQ8">
      <text>
        <t xml:space="preserve">======
ID#AAAAJvb_yRQ
    (2020-07-05 05:55:29)
그림 또는
● www.rinmarugames.com/game/?game_id=421
● http://www.rinmarugames.com/playgame.php?game_link=anime-elf-creator
● http://www.rinmarugames.com/all_games.php?category=16
사용 가능, 위 메뉴 Insert&gt;Images 로 삽입</t>
      </text>
    </comment>
    <comment authorId="0" ref="E12">
      <text>
        <t xml:space="preserve">어느 직업은 선택하느냐에 따라 직업기능점수가 변화합니다. 잘 모르겠는 경우엔, 마스터에게 질문하고 선택해 보도록 합시다.</t>
      </text>
    </comment>
    <comment authorId="0" ref="L12">
      <text>
        <t xml:space="preserve">직업유형에 원하는 직업이 없을 경우 가장 비슷한 특성치를 사용할 것 같은 직업을 고르시거나 기타를 선택하시고 여기에 커스텀 직업명을 넣어주세요.</t>
      </text>
    </comment>
    <comment authorId="0" ref="L13">
      <text>
        <t xml:space="preserve">탐사자의 나이는 플레이어가 15~89세 중에서 마음대로 선택합니다. 이 범위를 벗어나는 나이를 선택하고 싶은 플레이어가 있으면 수호자 재량으로 허용할 수 있습니다. 나이에 따른 수정사항은 누적되지 않습니다. 선택한 나이에 나온 항목만 적용하세요.
15 ~ 19세 :근력과 크기 사이에서 총 5점을 워하는대로 뺍니다. 교육에서 5점을 뺍니다. 운 수치를 한 번 더 굴려서 높은 쪽을 씁니다.
20 ~ 39세 : 교육의 향상판정을 한 번 합니다.
40 ~ 49세 : 교육의 향상 판정을 두 번 하고 근력, 건강, 민첩성 사이에서 총 5점을 원하는 대로 뺍니다. 외모에서 5점을 뺍니다.
50 ~ 59세 : 교육의 향상 판정을 세 번 하고 근력, 건강, 민첩성 사이에서 총 10점을 원하는 대로 뺍니다. 외모에서 10점을 뺍니다.
60 ~ 69  : 교육의 향상 판정을 네 번 하고 근력, 건강, 민첩성 사이에서 총 20점을 원하는 대로 뺍니다. 외모에서 15점을 뺍니다.
70 ~ 79  : 교육의 향상 판정을 네 번 하고 근력, 건강, 민첩성 사이에서 총 40점을 원하는 대로 뺍니다. 외모에서 20점을 뺍니다.
80 ~ 89  : 교육의 향상 판정을 네 번 하고 근력, 건강, 민첩성 사이에서 총 80점을 원하는 대로 뺍니다. 외모에서 25점을 뺍니다.</t>
      </text>
    </comment>
    <comment authorId="0" ref="AH14">
      <text>
        <t xml:space="preserve">행운,피해,이성,이성손실을 제외하면 운을 소모해서 결과를 바꿀수 있음
단, 강행,대성공,대실패,총기고장은 제외</t>
      </text>
    </comment>
    <comment authorId="0" ref="L15">
      <text>
        <t xml:space="preserve">현대, 1920, 미래 등 캐릭터가 살고 있는 시대를 자유롭게 입력</t>
      </text>
    </comment>
    <comment authorId="0" ref="B17">
      <text>
        <t xml:space="preserve">점수를 배분한 기능의 이름은 자동으로 강조됩니다.
기능 이름 왼쪽의 체크박스는 시나리오 안에서 해당 스킬을 성공했을 경우 체크, 시나리오 종료후 스킬성장을 위한 기록 용도입니다.</t>
      </text>
    </comment>
    <comment authorId="0" ref="O17">
      <text>
        <t xml:space="preserve">직업과 관련된 기능에 배분(최소 8개 이상)</t>
      </text>
    </comment>
    <comment authorId="0" ref="X17">
      <text>
        <t xml:space="preserve">자기가 원하는 기능에 배분
캐릭터가 살아오면서 취미나 백그라운드 등의 이유로 습득한 기능들입니다.</t>
      </text>
    </comment>
    <comment authorId="0" ref="C19">
      <text>
        <t xml:space="preserve">대항 기능: 은밀행동</t>
      </text>
    </comment>
    <comment authorId="0" ref="G19">
      <text>
        <t xml:space="preserve">======
ID#AAAAJvb_yu8
    (2020-07-05 05:55:29)
기본값</t>
      </text>
    </comment>
    <comment authorId="0" ref="H19">
      <text>
        <t xml:space="preserve">======
ID#AAAAJvb_yoM
    (2020-07-05 05:55:29)
기능점수 배분값</t>
      </text>
    </comment>
    <comment authorId="0" ref="I19">
      <text>
        <t xml:space="preserve">======
ID#AAAAJvb_yro
    (2020-07-05 05:55:29)
기본값+배분값
=일반 판정에 쓰는 값</t>
      </text>
    </comment>
    <comment authorId="0" ref="J19">
      <text>
        <t xml:space="preserve">======
ID#AAAAJvb_yak
    (2020-07-05 05:55:29)
어려운 판정에 쓰는 1/2 값</t>
      </text>
    </comment>
    <comment authorId="0" ref="K19">
      <text>
        <t xml:space="preserve">======
ID#AAAAJvb_y2c
    (2020-07-05 05:55:29)
극단적 판정에 쓰는 1/5 값</t>
      </text>
    </comment>
    <comment authorId="0" ref="M19">
      <text>
        <t xml:space="preserve">0:무일푼, 1~:가난,10~:보통, 50~:부유, 90~:자산가, 99:갑부</t>
      </text>
    </comment>
    <comment authorId="0" ref="W19">
      <text>
        <t xml:space="preserve">크툴루 신화에 대한 이해도를 반영합니다. 학문적인 기능처럼 연마를 통해 축적되는 지식은 아닙니다. 신화에 노출되면 이성이 침식됩니다.
(이성 최대치가 감소)
신화 수치의 증가량은 수호자가 정합니다.</t>
      </text>
    </comment>
    <comment authorId="0" ref="AB19">
      <text>
        <t xml:space="preserve">======
ID#AAAAJvb_yNg
    (2020-07-05 05:55:29)
신화 수치의 증가량은 수호자가 정합니다. 플레이어가 임의로 올릴 수 없습니다.</t>
      </text>
    </comment>
    <comment authorId="0" ref="AG19">
      <text>
        <t xml:space="preserve">사고, 부상, 질병, 중독등을 진단하고 치료. 치료에 1시간 소요. 성공시 1d3회복.
빈사 상태는 응급처치로 안정시켜야 의료판정 가능.</t>
      </text>
    </comment>
    <comment authorId="0" ref="C20">
      <text>
        <t xml:space="preserve">각종 소리를 듣고 이해, 해석</t>
      </text>
    </comment>
    <comment authorId="0" ref="W20">
      <text>
        <t xml:space="preserve">오컬트 관련 개념, 물품, 마법서 등을 판별(크툴루 관련 제외). 타로나 별자리 포함</t>
      </text>
    </comment>
    <comment authorId="0" ref="AG20">
      <text>
        <t xml:space="preserve">1시간 이내에 다친 플레이어의 hp 1 치료, 기절 회복, 빈사 회복</t>
      </text>
    </comment>
    <comment authorId="0" ref="C21">
      <text>
        <t xml:space="preserve">책, 문서들 또는 데이터베이스에서 원하는 정보 탐색</t>
      </text>
    </comment>
    <comment authorId="0" ref="M21">
      <text>
        <t xml:space="preserve">전통적이고 비과학적인 지식과 개인적인 관찰을 의미합니다.
농부, 어부, 또는 취미로 연구하는 사람 등이 가질 법한 지식 기능입니다.</t>
      </text>
    </comment>
    <comment authorId="0" ref="W21">
      <text>
        <t xml:space="preserve">일시적으로 광기를 치료하고 이성을 회복시킵니다.
한 달간 시도하여(성공시+1d3, 대실패시-1d6)</t>
      </text>
    </comment>
    <comment authorId="0" ref="AG21">
      <text>
        <t xml:space="preserve">극한 환경이나 야생에서 생존하는 방법에 관한 지식. 사냥, 피난처, 위험요소 등에 관한 지식이 포함되어 있습니다. 특정 환경을 반드시 기입해야 합니다. (사막, 바다, 숲, 극지방 등)</t>
      </text>
    </comment>
    <comment authorId="0" ref="C22">
      <text>
        <t xml:space="preserve">컴퓨터를 특수하게 사용할 경우 판정
프로그래밍, 데이터 분석, 보안 침투, 네트워크 탐색, 침입이나 바이러스 탐지 또는 악용</t>
      </text>
    </comment>
    <comment authorId="0" ref="M22">
      <text>
        <t xml:space="preserve">공학, 기상학, 동물학, 물리학, 생물학, 수사과학, 수학(기본 수치 10), 식물학, 암호학, 약학, 지질학, 천문학, 화학 중 선택 입력</t>
      </text>
    </comment>
    <comment authorId="0" ref="W22">
      <text>
        <t xml:space="preserve">목표 대상의 심리상태를 파악합니다. 대항 기능: 말재주, 매혹, 설득, 위협, 변장</t>
      </text>
    </comment>
    <comment authorId="0" ref="AG22">
      <text>
        <t xml:space="preserve">액체 위나 속에서 이동하는 능력</t>
      </text>
    </comment>
    <comment authorId="0" ref="C23">
      <text>
        <t xml:space="preserve">마이크로칩과 기판이 들어가는 현대기기를 수리하거나 다룹니다.</t>
      </text>
    </comment>
    <comment authorId="0" ref="W23">
      <text>
        <t xml:space="preserve">폭력적 협박, 공격적 태도. 대항 기능: 위협, 심리학</t>
      </text>
    </comment>
    <comment authorId="0" ref="AG23">
      <text>
        <t xml:space="preserve">나무, 벽, 그 외 수직면을 오를 수 있습니다. 밧줄이나 등반장비를 사용할 수 있습니다.</t>
      </text>
    </comment>
    <comment authorId="0" ref="C24">
      <text>
        <t xml:space="preserve">1920녀대 기능
자동 점화 장치, 전기 모터, 퓨즈 박스, 도난 경보
기와 같은 전기 장비를 수리하거나 개조할 수 있습니다.</t>
      </text>
    </comment>
    <comment authorId="0" ref="W24">
      <text>
        <t xml:space="preserve">친한 척, 유혹, 아부, 따뜻한 성품 등으로 특정 행동 유도. 대항 기능: 매혹, 심리학</t>
      </text>
    </comment>
    <comment authorId="0" ref="AG24">
      <text>
        <t xml:space="preserve">추락할 때 판정 성공 시 피해 감소</t>
      </text>
    </comment>
    <comment authorId="0" ref="C25">
      <text>
        <t xml:space="preserve">1920년대에는 전기수리로 대체
고장난 기계 수리, 새 기계 제작</t>
      </text>
    </comment>
    <comment authorId="0" ref="M25">
      <text>
        <t xml:space="preserve">법적인 수단이나 소송 절차에 관한 지식</t>
      </text>
    </comment>
    <comment authorId="0" ref="W25">
      <text>
        <t xml:space="preserve">빠른 말이나 궤변으로 상대를 속이고 착각하게 만듭니다. 대항 기능: 말재주, 심리학.</t>
      </text>
    </comment>
    <comment authorId="0" ref="C26">
      <text>
        <t xml:space="preserve">시대에 따라 썰매 운전, 마차 운전 등으로 변경
승용차나 소형 트럭 운행. 대항 기능: 추적, 미행</t>
      </text>
    </comment>
    <comment authorId="0" ref="M26">
      <text>
        <t xml:space="preserve">문화권 또는 대상의 생활 방식 식별 및 이해</t>
      </text>
    </comment>
    <comment authorId="0" ref="W26">
      <text>
        <t xml:space="preserve">합리적이고 이성적인 주장과 토론으로 상대를 납득 시킵니다. 대항 기능:설득</t>
      </text>
    </comment>
    <comment authorId="0" ref="AG26">
      <text>
        <t xml:space="preserve">특정인 또는 자신이 아닌 사람인 척</t>
      </text>
    </comment>
    <comment authorId="0" ref="C27">
      <text>
        <t xml:space="preserve">탱크, 굴착기, 굴삭기, 각종 대형 건설 장비를 운전하고 조작하는 데 필요합니다.</t>
      </text>
    </comment>
    <comment authorId="0" ref="M27">
      <text>
        <t xml:space="preserve">역사적으로 중요한 사실을 기억, 조상들은 익숙하나 현대에는 잘 모르는 것 판별</t>
      </text>
    </comment>
    <comment authorId="0" ref="W27">
      <text>
        <t xml:space="preserve">국적에 따라 자동 입력됨</t>
      </text>
    </comment>
    <comment authorId="0" ref="AG27">
      <text>
        <t xml:space="preserve">잠행과 숨기 기능이 7판에서
은밀행동으로 통합되었습니다. 들키지 않고 조용히 움직이거나 숨기. 대항 기능: 관찰력, 듣기</t>
      </text>
    </comment>
    <comment authorId="0" ref="C28">
      <text>
        <t xml:space="preserve">특수 탑승장비를 조종하는 기능.
조종할 장비 종류에 따라 나뉩니다. 전문 분야 반드시 기입 필요. (ex. 비행기, 대형선박...)</t>
      </text>
    </comment>
    <comment authorId="0" ref="M28">
      <text>
        <t xml:space="preserve">유물 식별, 연대 확인, 유물 위조 여부 감별, 생활 방식 추론, 멸종 언어 판별</t>
      </text>
    </comment>
    <comment authorId="0" ref="W28">
      <text>
        <t xml:space="preserve">5-판정 없이 언어 식별
10-간단한 대화
30-거래 요청
50-유창함
75-모국어급</t>
      </text>
    </comment>
    <comment authorId="0" ref="AG28">
      <text>
        <t xml:space="preserve">소매치기, 카드 마술, 휴대폰 몰래 사용하기, 물건 숨기기 등이 포함됩니다. 대항 기능: 관찰력</t>
      </text>
    </comment>
    <comment authorId="0" ref="M29">
      <text>
        <t xml:space="preserve">물건의 품질, 사용 재료, 세공 솜씨, 제작 시기, 위조 여부 등을 판별</t>
      </text>
    </comment>
    <comment authorId="0" ref="AG29">
      <text>
        <t xml:space="preserve">문 따기, 열쇠 없이 시동걸기, 지레로 문 뜯기, 경보 시스템 통과, 자물쇠 수리, 열쇠 복제</t>
      </text>
    </comment>
    <comment authorId="0" ref="C30">
      <text>
        <t xml:space="preserve">위치와 좌표를 읽고 지도, 나침반, GPS 등을 다루는 능력입니다</t>
      </text>
    </comment>
    <comment authorId="0" ref="M30">
      <text>
        <t xml:space="preserve">예술/공예 글자를 지우고, 인테리어디자인, 연기, 성악, 요리, 작가, 사진, 미술, 목수, 춤, 조각, 위조, 이발, 미용 등 전문분야를 반드시 적어주세요.</t>
      </text>
    </comment>
    <comment authorId="0" ref="W30">
      <text>
        <t xml:space="preserve">적당한 물건 또는 투척용 무기를 근력 다이스 스탯(m)만큼 던짐</t>
      </text>
    </comment>
    <comment authorId="0" ref="AG30">
      <text>
        <t xml:space="preserve">연사는 기관단총으로 판정</t>
      </text>
    </comment>
    <comment authorId="0" ref="C31">
      <text>
        <t xml:space="preserve">흔적을 찾아 대상을 따라감. 대항 기능: 은밀행동</t>
      </text>
    </comment>
    <comment authorId="0" ref="W31">
      <text>
        <t xml:space="preserve">아무나 들고 싸울 수 있는 기본적인 무기를 이용하는 전문분야
밀치거나, 던지거나, 무장을 해제하거나, 넘어뜨리는 등의 목표를 달성하겠다고 선어할 때도 근접전 액션을 사용합니다.
하나 이상의 전문분야가 50이상이면 다른 전문분야들도 10씩 증가, 하나 이상의 전문분야가 90이상이면 다른 전문분야들도 추가로 10씩 증가</t>
      </text>
    </comment>
    <comment authorId="0" ref="AG31">
      <text>
        <t xml:space="preserve">연사는 기관단총으로 판정
산탄총을 포함한 단발사격 장총은 모두 이 기능으로 판정합니다.</t>
      </text>
    </comment>
    <comment authorId="0" ref="C32">
      <text>
        <t xml:space="preserve">말을 다루는 전반적인 방법</t>
      </text>
    </comment>
    <comment authorId="0" ref="M32">
      <text>
        <t xml:space="preserve">입술의 움직임으로 대화의 내용 파악. 희귀 기능. 특수한 이유 없이 사용 불가.</t>
      </text>
    </comment>
    <comment authorId="0" ref="BA32">
      <text>
        <t xml:space="preserve">크툴루 신화 지능이 높아질수록 최대치가 자동 감산됩니다.</t>
      </text>
    </comment>
    <comment authorId="0" ref="M33">
      <text>
        <t xml:space="preserve">길들인 동물 훈련, 명령. 희귀 기능. 특수한 이유 없이 사용 불가.</t>
      </text>
    </comment>
    <comment authorId="0" ref="M34">
      <text>
        <t xml:space="preserve">잠수 장비 사용, 관리. 희귀 기능. 특수한 이유 없이 사용 불가.</t>
      </text>
    </comment>
    <comment authorId="0" ref="AG34">
      <text>
        <t xml:space="preserve">활은 라운드마다 1발 사격.
쇠뇌는 기본치가 25지만 쏠 때마다 재장전에 한 라운드 소요.</t>
      </text>
    </comment>
    <comment authorId="0" ref="C35">
      <text>
        <t xml:space="preserve">폭발물을 안전하게 사용, 설치, 해체. 희귀 기능. 특수한 이유 없이 사용 불가.</t>
      </text>
    </comment>
    <comment authorId="0" ref="M35">
      <text>
        <t xml:space="preserve">자발적인 대상에게 트랜스 상태 유도(광기-공포증, 집착증 치료). 희귀 기능. 특수한 이유 없이 사용 불가. 대항 기능: 심리학 또는 정신력(비자발적 대상 한정)</t>
      </text>
    </comment>
    <comment authorId="0" ref="AG35">
      <text>
        <t xml:space="preserve">유탄발사기, 대전차 로켓 등</t>
      </text>
    </comment>
    <comment authorId="0" ref="C36">
      <text>
        <t xml:space="preserve">야전 병기 조작 가능. 희귀 기능. 특수한 이유 없이 사용 불가.</t>
      </text>
    </comment>
    <comment authorId="0" ref="M36">
      <text>
        <t xml:space="preserve">일반적인 것이 아닌 희귀한 영역의 지식(전문 영역 기입 필요, 비밀 지식 글자를 지우고 전문영역을 작성해주세요.). 희귀 기능. 특수한 이유 없이 사용 불가.</t>
      </text>
    </comment>
    <comment authorId="0" ref="AG36">
      <text>
        <t xml:space="preserve">기계에 장착된 것 포함</t>
      </text>
    </comment>
    <comment authorId="0" ref="AL40">
      <text>
        <t xml:space="preserve">사격판정시 이 수치 이상인 경우 총기 고장</t>
      </text>
    </comment>
    <comment authorId="0" ref="B48">
      <text>
        <t xml:space="preserve">첫째 칸은 가장 소중한 물건.
상세 설명을 하고 싶다면 툴팁을 이용 (우클릭&gt;Insert Note).</t>
      </text>
    </comment>
    <comment authorId="0" ref="V48">
      <text>
        <t xml:space="preserve">캐릭터에게 의미있는 관계.
첫번째 칸은 현재 가장 소중한 관계. 상세 설명을 하고 싶다면 툴팁을 이용 (우클릭&gt;Insert Note)</t>
      </text>
    </comment>
    <comment authorId="0" ref="AQ49">
      <text>
        <t xml:space="preserve">랜덤 배정 1d10
1번 굴려서 해당값을 우측에 입력.
마음에 안 들 경우 공란으로 내버려둔다. (리롤 없음)</t>
      </text>
    </comment>
    <comment authorId="0" ref="B50">
      <text>
        <t xml:space="preserve">현재 가장 소중한 물건</t>
      </text>
    </comment>
    <comment authorId="0" ref="V50">
      <text>
        <t xml:space="preserve">현재 가장 소중한 관계</t>
      </text>
    </comment>
    <comment authorId="0" ref="AQ59">
      <text>
        <t xml:space="preserve">랜덤 배정 1d10
1번 굴려서 해당값을 우측에 입력.
마음에 안 들 경우 공란으로 내버려둔다. (리롤 없음)</t>
      </text>
    </comment>
    <comment authorId="0" ref="AQ61">
      <text>
        <t xml:space="preserve">각 세션 클리어후 키퍼의 지시가 있다면 스킬 성장 다이스를 굴려 증가치를 이곳에 입력후, 기능 목록에서 분배합니다. 크툴루 신화는 이곳에서 제외합니다.</t>
      </text>
    </comment>
    <comment authorId="0" ref="B63">
      <text>
        <t xml:space="preserve">자유롭게 작성.
외모: 외적으로 보이는 캐릭터를 묘사. 눈 색, 머리색, 인상 등
성격: 캐릭터의 성격을 묘사.
기타: 그 외 모든 것은 여기에 기록</t>
      </text>
    </comment>
    <comment authorId="0" ref="B75">
      <text>
        <t xml:space="preserve">(기록용) 이 캐릭터로 겪은 시나리오를 기록합니다. 없다면 공란으로 내버려둡니다.</t>
      </text>
    </comment>
    <comment authorId="0" ref="N75">
      <text>
        <t xml:space="preserve">(기록용) 이 캐릭터가 가지고 있는/배운 주문을 기록합니다. 키퍼님께 미리 설명을 드리면 좋습니다. 없다면 공란으로 내버려둡니다.</t>
      </text>
    </comment>
    <comment authorId="0" ref="Z75">
      <text>
        <t xml:space="preserve">(기록용) 이 캐릭터가 현재 가지고 있는 정신적 질환을 서술합니다. 없다면 공란으로 내버려둡니다.</t>
      </text>
    </comment>
    <comment authorId="0" ref="AL75">
      <text>
        <t xml:space="preserve">그 외 키퍼가 시나리오를 진행하며 이 캐릭터에 대해 알아야 할 점이 있다면 적어주세요. (경험 패키지 등)</t>
      </text>
    </comment>
    <comment authorId="0" ref="AY75">
      <text>
        <t xml:space="preserve">http://www.icongenerators.net/pixelavatar.html
● 키퍼의 요청이 있을 때만 필수입니다. (48x48로 저장)</t>
      </text>
    </comment>
    <comment authorId="0" ref="B82">
      <text>
        <t xml:space="preserve">======
ID#AAAAJvb_yno
    (2020-07-05 05:55:29)
Roll20 굴림식들로 초심자는 사용하지 않는 것을 추천합니다.</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플레이어가 입력할 부분은 흰색,
나머지는 자동화입니다.
작은 모니터를 위한 슬림디자인.
이곳에 캐릭터 한마디를 적어주세요.</t>
      </text>
    </comment>
    <comment authorId="0" ref="AZ4">
      <text>
        <t xml:space="preserve">!!이 부분을 지우거나 수정하지 말아주세요!!
앤서님 동의하에 시트용 틀을 제작·수정했습니다. 공개용. 하우스룰이 소량 포함되어 있습니다. 
재배포를 금지합니다! 공유시 이 시트 주소를 공유해주세요.</t>
      </text>
    </comment>
    <comment authorId="0" ref="R8">
      <text>
        <t xml:space="preserve">주사위를 굴려 결정
근력: (3d6)*5		
건강: (3d6)*5
크기: (2d6+6)*5
교육: (2d6+6)*5
외모: (3d6)*5
민첩: (3d6)*5
지능: (2d6+6)*5
정신력: (3d6)*5
행운: (3d6)*5</t>
      </text>
    </comment>
    <comment authorId="0" ref="AQ8">
      <text>
        <t xml:space="preserve">======
ID#AAAAJvb_yRQ
    (2020-07-05 05:55:29)
그림 또는
● www.rinmarugames.com/game/?game_id=421
● http://www.rinmarugames.com/playgame.php?game_link=anime-elf-creator
● http://www.rinmarugames.com/all_games.php?category=16
사용 가능, 위 메뉴 Insert&gt;Images 로 삽입</t>
      </text>
    </comment>
    <comment authorId="0" ref="E12">
      <text>
        <t xml:space="preserve">어느 직업은 선택하느냐에 따라 직업기능점수가 변화합니다. 잘 모르겠는 경우엔, 마스터에게 질문하고 선택해 보도록 합시다.</t>
      </text>
    </comment>
    <comment authorId="0" ref="L12">
      <text>
        <t xml:space="preserve">직업유형에 원하는 직업이 없을 경우 가장 비슷한 특성치를 사용할 것 같은 직업을 고르시거나 기타를 선택하시고 여기에 커스텀 직업명을 넣어주세요.</t>
      </text>
    </comment>
    <comment authorId="0" ref="L13">
      <text>
        <t xml:space="preserve">탐사자의 나이는 플레이어가 15~89세 중에서 마음대로 선택합니다. 이 범위를 벗어나는 나이를 선택하고 싶은 플레이어가 있으면 수호자 재량으로 허용할 수 있습니다. 나이에 따른 수정사항은 누적되지 않습니다. 선택한 나이에 나온 항목만 적용하세요.
15 ~ 19세 :근력과 크기 사이에서 총 5점을 워하는대로 뺍니다. 교육에서 5점을 뺍니다. 운 수치를 한 번 더 굴려서 높은 쪽을 씁니다.
20 ~ 39세 : 교육의 향상판정을 한 번 합니다.
40 ~ 49세 : 교육의 향상 판정을 두 번 하고 근력, 건강, 민첩성 사이에서 총 5점을 원하는 대로 뺍니다. 외모에서 5점을 뺍니다.
50 ~ 59세 : 교육의 향상 판정을 세 번 하고 근력, 건강, 민첩성 사이에서 총 10점을 원하는 대로 뺍니다. 외모에서 10점을 뺍니다.
60 ~ 69  : 교육의 향상 판정을 네 번 하고 근력, 건강, 민첩성 사이에서 총 20점을 원하는 대로 뺍니다. 외모에서 15점을 뺍니다.
70 ~ 79  : 교육의 향상 판정을 네 번 하고 근력, 건강, 민첩성 사이에서 총 40점을 원하는 대로 뺍니다. 외모에서 20점을 뺍니다.
80 ~ 89  : 교육의 향상 판정을 네 번 하고 근력, 건강, 민첩성 사이에서 총 80점을 원하는 대로 뺍니다. 외모에서 25점을 뺍니다.</t>
      </text>
    </comment>
    <comment authorId="0" ref="AH14">
      <text>
        <t xml:space="preserve">행운,피해,이성,이성손실을 제외하면 운을 소모해서 결과를 바꿀수 있음
단, 강행,대성공,대실패,총기고장은 제외</t>
      </text>
    </comment>
    <comment authorId="0" ref="L15">
      <text>
        <t xml:space="preserve">현대, 1920, 미래 등 캐릭터가 살고 있는 시대를 자유롭게 입력</t>
      </text>
    </comment>
    <comment authorId="0" ref="B17">
      <text>
        <t xml:space="preserve">점수를 배분한 기능의 이름은 자동으로 강조됩니다.
기능 이름 왼쪽의 체크박스는 시나리오 안에서 해당 스킬을 성공했을 경우 체크, 시나리오 종료후 스킬성장을 위한 기록 용도입니다.</t>
      </text>
    </comment>
    <comment authorId="0" ref="O17">
      <text>
        <t xml:space="preserve">직업과 관련된 기능에 배분(최소 8개 이상)</t>
      </text>
    </comment>
    <comment authorId="0" ref="X17">
      <text>
        <t xml:space="preserve">자기가 원하는 기능에 배분
캐릭터가 살아오면서 취미나 백그라운드 등의 이유로 습득한 기능들입니다.</t>
      </text>
    </comment>
    <comment authorId="0" ref="C19">
      <text>
        <t xml:space="preserve">대항 기능: 은밀행동</t>
      </text>
    </comment>
    <comment authorId="0" ref="G19">
      <text>
        <t xml:space="preserve">======
ID#AAAAJvb_yu8
    (2020-07-05 05:55:29)
기본값</t>
      </text>
    </comment>
    <comment authorId="0" ref="H19">
      <text>
        <t xml:space="preserve">======
ID#AAAAJvb_yoM
    (2020-07-05 05:55:29)
기능점수 배분값</t>
      </text>
    </comment>
    <comment authorId="0" ref="I19">
      <text>
        <t xml:space="preserve">======
ID#AAAAJvb_yro
    (2020-07-05 05:55:29)
기본값+배분값
=일반 판정에 쓰는 값</t>
      </text>
    </comment>
    <comment authorId="0" ref="J19">
      <text>
        <t xml:space="preserve">======
ID#AAAAJvb_yak
    (2020-07-05 05:55:29)
어려운 판정에 쓰는 1/2 값</t>
      </text>
    </comment>
    <comment authorId="0" ref="K19">
      <text>
        <t xml:space="preserve">======
ID#AAAAJvb_y2c
    (2020-07-05 05:55:29)
극단적 판정에 쓰는 1/5 값</t>
      </text>
    </comment>
    <comment authorId="0" ref="M19">
      <text>
        <t xml:space="preserve">0:무일푼, 1~:가난,10~:보통, 50~:부유, 90~:자산가, 99:갑부</t>
      </text>
    </comment>
    <comment authorId="0" ref="W19">
      <text>
        <t xml:space="preserve">크툴루 신화에 대한 이해도를 반영합니다. 학문적인 기능처럼 연마를 통해 축적되는 지식은 아닙니다. 신화에 노출되면 이성이 침식됩니다.
(이성 최대치가 감소)
신화 수치의 증가량은 수호자가 정합니다.</t>
      </text>
    </comment>
    <comment authorId="0" ref="AB19">
      <text>
        <t xml:space="preserve">======
ID#AAAAJvb_yNg
    (2020-07-05 05:55:29)
신화 수치의 증가량은 수호자가 정합니다. 플레이어가 임의로 올릴 수 없습니다.</t>
      </text>
    </comment>
    <comment authorId="0" ref="AG19">
      <text>
        <t xml:space="preserve">사고, 부상, 질병, 중독등을 진단하고 치료. 치료에 1시간 소요. 성공시 1d3회복.
빈사 상태는 응급처치로 안정시켜야 의료판정 가능.</t>
      </text>
    </comment>
    <comment authorId="0" ref="C20">
      <text>
        <t xml:space="preserve">각종 소리를 듣고 이해, 해석</t>
      </text>
    </comment>
    <comment authorId="0" ref="W20">
      <text>
        <t xml:space="preserve">오컬트 관련 개념, 물품, 마법서 등을 판별(크툴루 관련 제외). 타로나 별자리 포함</t>
      </text>
    </comment>
    <comment authorId="0" ref="AG20">
      <text>
        <t xml:space="preserve">1시간 이내에 다친 플레이어의 hp 1 치료, 기절 회복, 빈사 회복</t>
      </text>
    </comment>
    <comment authorId="0" ref="C21">
      <text>
        <t xml:space="preserve">책, 문서들 또는 데이터베이스에서 원하는 정보 탐색</t>
      </text>
    </comment>
    <comment authorId="0" ref="M21">
      <text>
        <t xml:space="preserve">전통적이고 비과학적인 지식과 개인적인 관찰을 의미합니다.
농부, 어부, 또는 취미로 연구하는 사람 등이 가질 법한 지식 기능입니다.</t>
      </text>
    </comment>
    <comment authorId="0" ref="W21">
      <text>
        <t xml:space="preserve">일시적으로 광기를 치료하고 이성을 회복시킵니다.
한 달간 시도하여(성공시+1d3, 대실패시-1d6)</t>
      </text>
    </comment>
    <comment authorId="0" ref="AG21">
      <text>
        <t xml:space="preserve">극한 환경이나 야생에서 생존하는 방법에 관한 지식. 사냥, 피난처, 위험요소 등에 관한 지식이 포함되어 있습니다. 특정 환경을 반드시 기입해야 합니다. (사막, 바다, 숲, 극지방 등)</t>
      </text>
    </comment>
    <comment authorId="0" ref="C22">
      <text>
        <t xml:space="preserve">컴퓨터를 특수하게 사용할 경우 판정
프로그래밍, 데이터 분석, 보안 침투, 네트워크 탐색, 침입이나 바이러스 탐지 또는 악용</t>
      </text>
    </comment>
    <comment authorId="0" ref="M22">
      <text>
        <t xml:space="preserve">공학, 기상학, 동물학, 물리학, 생물학, 수사과학, 수학(기본 수치 10), 식물학, 암호학, 약학, 지질학, 천문학, 화학 중 선택 입력</t>
      </text>
    </comment>
    <comment authorId="0" ref="W22">
      <text>
        <t xml:space="preserve">목표 대상의 심리상태를 파악합니다. 대항 기능: 말재주, 매혹, 설득, 위협, 변장</t>
      </text>
    </comment>
    <comment authorId="0" ref="AG22">
      <text>
        <t xml:space="preserve">액체 위나 속에서 이동하는 능력</t>
      </text>
    </comment>
    <comment authorId="0" ref="C23">
      <text>
        <t xml:space="preserve">마이크로칩과 기판이 들어가는 현대기기를 수리하거나 다룹니다.</t>
      </text>
    </comment>
    <comment authorId="0" ref="W23">
      <text>
        <t xml:space="preserve">폭력적 협박, 공격적 태도. 대항 기능: 위협, 심리학</t>
      </text>
    </comment>
    <comment authorId="0" ref="AG23">
      <text>
        <t xml:space="preserve">나무, 벽, 그 외 수직면을 오를 수 있습니다. 밧줄이나 등반장비를 사용할 수 있습니다.</t>
      </text>
    </comment>
    <comment authorId="0" ref="C24">
      <text>
        <t xml:space="preserve">1920녀대 기능
자동 점화 장치, 전기 모터, 퓨즈 박스, 도난 경보
기와 같은 전기 장비를 수리하거나 개조할 수 있습니다.</t>
      </text>
    </comment>
    <comment authorId="0" ref="W24">
      <text>
        <t xml:space="preserve">친한 척, 유혹, 아부, 따뜻한 성품 등으로 특정 행동 유도. 대항 기능: 매혹, 심리학</t>
      </text>
    </comment>
    <comment authorId="0" ref="AG24">
      <text>
        <t xml:space="preserve">추락할 때 판정 성공 시 피해 감소</t>
      </text>
    </comment>
    <comment authorId="0" ref="C25">
      <text>
        <t xml:space="preserve">1920년대에는 전기수리로 대체
고장난 기계 수리, 새 기계 제작</t>
      </text>
    </comment>
    <comment authorId="0" ref="M25">
      <text>
        <t xml:space="preserve">법적인 수단이나 소송 절차에 관한 지식</t>
      </text>
    </comment>
    <comment authorId="0" ref="W25">
      <text>
        <t xml:space="preserve">빠른 말이나 궤변으로 상대를 속이고 착각하게 만듭니다. 대항 기능: 말재주, 심리학.</t>
      </text>
    </comment>
    <comment authorId="0" ref="C26">
      <text>
        <t xml:space="preserve">시대에 따라 썰매 운전, 마차 운전 등으로 변경
승용차나 소형 트럭 운행. 대항 기능: 추적, 미행</t>
      </text>
    </comment>
    <comment authorId="0" ref="M26">
      <text>
        <t xml:space="preserve">문화권 또는 대상의 생활 방식 식별 및 이해</t>
      </text>
    </comment>
    <comment authorId="0" ref="W26">
      <text>
        <t xml:space="preserve">합리적이고 이성적인 주장과 토론으로 상대를 납득 시킵니다. 대항 기능:설득</t>
      </text>
    </comment>
    <comment authorId="0" ref="AG26">
      <text>
        <t xml:space="preserve">특정인 또는 자신이 아닌 사람인 척</t>
      </text>
    </comment>
    <comment authorId="0" ref="C27">
      <text>
        <t xml:space="preserve">탱크, 굴착기, 굴삭기, 각종 대형 건설 장비를 운전하고 조작하는 데 필요합니다.</t>
      </text>
    </comment>
    <comment authorId="0" ref="M27">
      <text>
        <t xml:space="preserve">역사적으로 중요한 사실을 기억, 조상들은 익숙하나 현대에는 잘 모르는 것 판별</t>
      </text>
    </comment>
    <comment authorId="0" ref="W27">
      <text>
        <t xml:space="preserve">국적에 따라 자동 입력됨</t>
      </text>
    </comment>
    <comment authorId="0" ref="AG27">
      <text>
        <t xml:space="preserve">잠행과 숨기 기능이 7판에서
은밀행동으로 통합되었습니다. 들키지 않고 조용히 움직이거나 숨기. 대항 기능: 관찰력, 듣기</t>
      </text>
    </comment>
    <comment authorId="0" ref="C28">
      <text>
        <t xml:space="preserve">특수 탑승장비를 조종하는 기능.
조종할 장비 종류에 따라 나뉩니다. 전문 분야 반드시 기입 필요. (ex. 비행기, 대형선박...)</t>
      </text>
    </comment>
    <comment authorId="0" ref="M28">
      <text>
        <t xml:space="preserve">유물 식별, 연대 확인, 유물 위조 여부 감별, 생활 방식 추론, 멸종 언어 판별</t>
      </text>
    </comment>
    <comment authorId="0" ref="W28">
      <text>
        <t xml:space="preserve">5-판정 없이 언어 식별
10-간단한 대화
30-거래 요청
50-유창함
75-모국어급</t>
      </text>
    </comment>
    <comment authorId="0" ref="AG28">
      <text>
        <t xml:space="preserve">소매치기, 카드 마술, 휴대폰 몰래 사용하기, 물건 숨기기 등이 포함됩니다. 대항 기능: 관찰력</t>
      </text>
    </comment>
    <comment authorId="0" ref="M29">
      <text>
        <t xml:space="preserve">물건의 품질, 사용 재료, 세공 솜씨, 제작 시기, 위조 여부 등을 판별</t>
      </text>
    </comment>
    <comment authorId="0" ref="AG29">
      <text>
        <t xml:space="preserve">문 따기, 열쇠 없이 시동걸기, 지레로 문 뜯기, 경보 시스템 통과, 자물쇠 수리, 열쇠 복제</t>
      </text>
    </comment>
    <comment authorId="0" ref="C30">
      <text>
        <t xml:space="preserve">위치와 좌표를 읽고 지도, 나침반, GPS 등을 다루는 능력입니다</t>
      </text>
    </comment>
    <comment authorId="0" ref="M30">
      <text>
        <t xml:space="preserve">예술/공예 글자를 지우고, 인테리어디자인, 연기, 성악, 요리, 작가, 사진, 미술, 목수, 춤, 조각, 위조, 이발, 미용 등 전문분야를 반드시 적어주세요.</t>
      </text>
    </comment>
    <comment authorId="0" ref="W30">
      <text>
        <t xml:space="preserve">적당한 물건 또는 투척용 무기를 근력 다이스 스탯(m)만큼 던짐</t>
      </text>
    </comment>
    <comment authorId="0" ref="AG30">
      <text>
        <t xml:space="preserve">연사는 기관단총으로 판정</t>
      </text>
    </comment>
    <comment authorId="0" ref="C31">
      <text>
        <t xml:space="preserve">흔적을 찾아 대상을 따라감. 대항 기능: 은밀행동</t>
      </text>
    </comment>
    <comment authorId="0" ref="W31">
      <text>
        <t xml:space="preserve">아무나 들고 싸울 수 있는 기본적인 무기를 이용하는 전문분야
밀치거나, 던지거나, 무장을 해제하거나, 넘어뜨리는 등의 목표를 달성하겠다고 선어할 때도 근접전 액션을 사용합니다.
하나 이상의 전문분야가 50이상이면 다른 전문분야들도 10씩 증가, 하나 이상의 전문분야가 90이상이면 다른 전문분야들도 추가로 10씩 증가</t>
      </text>
    </comment>
    <comment authorId="0" ref="AG31">
      <text>
        <t xml:space="preserve">연사는 기관단총으로 판정
산탄총을 포함한 단발사격 장총은 모두 이 기능으로 판정합니다.</t>
      </text>
    </comment>
    <comment authorId="0" ref="C32">
      <text>
        <t xml:space="preserve">말을 다루는 전반적인 방법</t>
      </text>
    </comment>
    <comment authorId="0" ref="M32">
      <text>
        <t xml:space="preserve">입술의 움직임으로 대화의 내용 파악. 희귀 기능. 특수한 이유 없이 사용 불가.</t>
      </text>
    </comment>
    <comment authorId="0" ref="BA32">
      <text>
        <t xml:space="preserve">크툴루 신화 지능이 높아질수록 최대치가 자동 감산됩니다.</t>
      </text>
    </comment>
    <comment authorId="0" ref="M33">
      <text>
        <t xml:space="preserve">길들인 동물 훈련, 명령. 희귀 기능. 특수한 이유 없이 사용 불가.</t>
      </text>
    </comment>
    <comment authorId="0" ref="M34">
      <text>
        <t xml:space="preserve">잠수 장비 사용, 관리. 희귀 기능. 특수한 이유 없이 사용 불가.</t>
      </text>
    </comment>
    <comment authorId="0" ref="AG34">
      <text>
        <t xml:space="preserve">활은 라운드마다 1발 사격.
쇠뇌는 기본치가 25지만 쏠 때마다 재장전에 한 라운드 소요.</t>
      </text>
    </comment>
    <comment authorId="0" ref="C35">
      <text>
        <t xml:space="preserve">폭발물을 안전하게 사용, 설치, 해체. 희귀 기능. 특수한 이유 없이 사용 불가.</t>
      </text>
    </comment>
    <comment authorId="0" ref="M35">
      <text>
        <t xml:space="preserve">자발적인 대상에게 트랜스 상태 유도(광기-공포증, 집착증 치료). 희귀 기능. 특수한 이유 없이 사용 불가. 대항 기능: 심리학 또는 정신력(비자발적 대상 한정)</t>
      </text>
    </comment>
    <comment authorId="0" ref="AG35">
      <text>
        <t xml:space="preserve">유탄발사기, 대전차 로켓 등</t>
      </text>
    </comment>
    <comment authorId="0" ref="C36">
      <text>
        <t xml:space="preserve">야전 병기 조작 가능. 희귀 기능. 특수한 이유 없이 사용 불가.</t>
      </text>
    </comment>
    <comment authorId="0" ref="M36">
      <text>
        <t xml:space="preserve">일반적인 것이 아닌 희귀한 영역의 지식(전문 영역 기입 필요, 비밀 지식 글자를 지우고 전문영역을 작성해주세요.). 희귀 기능. 특수한 이유 없이 사용 불가.</t>
      </text>
    </comment>
    <comment authorId="0" ref="AG36">
      <text>
        <t xml:space="preserve">기계에 장착된 것 포함</t>
      </text>
    </comment>
    <comment authorId="0" ref="AL40">
      <text>
        <t xml:space="preserve">사격판정시 이 수치 이상인 경우 총기 고장</t>
      </text>
    </comment>
    <comment authorId="0" ref="B48">
      <text>
        <t xml:space="preserve">첫째 칸은 가장 소중한 물건.
상세 설명을 하고 싶다면 툴팁을 이용 (우클릭&gt;Insert Note).</t>
      </text>
    </comment>
    <comment authorId="0" ref="V48">
      <text>
        <t xml:space="preserve">캐릭터에게 의미있는 관계.
첫번째 칸은 현재 가장 소중한 관계. 상세 설명을 하고 싶다면 툴팁을 이용 (우클릭&gt;Insert Note)</t>
      </text>
    </comment>
    <comment authorId="0" ref="AQ49">
      <text>
        <t xml:space="preserve">랜덤 배정 1d10
1번 굴려서 해당값을 우측에 입력.
마음에 안 들 경우 공란으로 내버려둔다. (리롤 없음)</t>
      </text>
    </comment>
    <comment authorId="0" ref="B50">
      <text>
        <t xml:space="preserve">현재 가장 소중한 물건</t>
      </text>
    </comment>
    <comment authorId="0" ref="V50">
      <text>
        <t xml:space="preserve">현재 가장 소중한 관계</t>
      </text>
    </comment>
    <comment authorId="0" ref="AQ59">
      <text>
        <t xml:space="preserve">랜덤 배정 1d10
1번 굴려서 해당값을 우측에 입력.
마음에 안 들 경우 공란으로 내버려둔다. (리롤 없음)</t>
      </text>
    </comment>
    <comment authorId="0" ref="AQ61">
      <text>
        <t xml:space="preserve">각 세션 클리어후 키퍼의 지시가 있다면 스킬 성장 다이스를 굴려 증가치를 이곳에 입력후, 기능 목록에서 분배합니다. 크툴루 신화는 이곳에서 제외합니다.</t>
      </text>
    </comment>
    <comment authorId="0" ref="B63">
      <text>
        <t xml:space="preserve">자유롭게 작성.
외모: 외적으로 보이는 캐릭터를 묘사. 눈 색, 머리색, 인상 등
성격: 캐릭터의 성격을 묘사.
기타: 그 외 모든 것은 여기에 기록</t>
      </text>
    </comment>
    <comment authorId="0" ref="B75">
      <text>
        <t xml:space="preserve">(기록용) 이 캐릭터로 겪은 시나리오를 기록합니다. 없다면 공란으로 내버려둡니다.</t>
      </text>
    </comment>
    <comment authorId="0" ref="N75">
      <text>
        <t xml:space="preserve">(기록용) 이 캐릭터가 가지고 있는/배운 주문을 기록합니다. 키퍼님께 미리 설명을 드리면 좋습니다. 없다면 공란으로 내버려둡니다.</t>
      </text>
    </comment>
    <comment authorId="0" ref="Z75">
      <text>
        <t xml:space="preserve">(기록용) 이 캐릭터가 현재 가지고 있는 정신적 질환을 서술합니다. 없다면 공란으로 내버려둡니다.</t>
      </text>
    </comment>
    <comment authorId="0" ref="AL75">
      <text>
        <t xml:space="preserve">그 외 키퍼가 시나리오를 진행하며 이 캐릭터에 대해 알아야 할 점이 있다면 적어주세요. (경험 패키지 등)</t>
      </text>
    </comment>
    <comment authorId="0" ref="AY75">
      <text>
        <t xml:space="preserve">http://www.icongenerators.net/pixelavatar.html
● 키퍼의 요청이 있을 때만 필수입니다. (48x48로 저장)</t>
      </text>
    </comment>
    <comment authorId="0" ref="B82">
      <text>
        <t xml:space="preserve">======
ID#AAAAJvb_yno
    (2020-07-05 05:55:29)
Roll20 굴림식들로 초심자는 사용하지 않는 것을 추천합니다.</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플레이어가 입력할 부분은 흰색,
나머지는 자동화입니다.
작은 모니터를 위한 슬림디자인.
이곳에 캐릭터 한마디를 적어주세요.</t>
      </text>
    </comment>
    <comment authorId="0" ref="AZ4">
      <text>
        <t xml:space="preserve">!!이 부분을 지우거나 수정하지 말아주세요!!
앤서님 동의하에 시트용 틀을 제작·수정했습니다. 공개용. 하우스룰이 소량 포함되어 있습니다. 
재배포를 금지합니다! 공유시 이 시트 주소를 공유해주세요.</t>
      </text>
    </comment>
    <comment authorId="0" ref="R8">
      <text>
        <t xml:space="preserve">주사위를 굴려 결정
근력: (3d6)*5		
건강: (3d6)*5
크기: (2d6+6)*5
교육: (2d6+6)*5
외모: (3d6)*5
민첩: (3d6)*5
지능: (2d6+6)*5
정신력: (3d6)*5
행운: (3d6)*5</t>
      </text>
    </comment>
    <comment authorId="0" ref="AQ8">
      <text>
        <t xml:space="preserve">======
ID#AAAAJvb_yRQ
    (2020-07-05 05:55:29)
그림 또는
● www.rinmarugames.com/game/?game_id=421
● http://www.rinmarugames.com/playgame.php?game_link=anime-elf-creator
● http://www.rinmarugames.com/all_games.php?category=16
사용 가능, 위 메뉴 Insert&gt;Images 로 삽입</t>
      </text>
    </comment>
    <comment authorId="0" ref="E12">
      <text>
        <t xml:space="preserve">어느 직업은 선택하느냐에 따라 직업기능점수가 변화합니다. 잘 모르겠는 경우엔, 마스터에게 질문하고 선택해 보도록 합시다.</t>
      </text>
    </comment>
    <comment authorId="0" ref="L12">
      <text>
        <t xml:space="preserve">직업유형에 원하는 직업이 없을 경우 가장 비슷한 특성치를 사용할 것 같은 직업을 고르시거나 기타를 선택하시고 여기에 커스텀 직업명을 넣어주세요.</t>
      </text>
    </comment>
    <comment authorId="0" ref="L13">
      <text>
        <t xml:space="preserve">탐사자의 나이는 플레이어가 15~89세 중에서 마음대로 선택합니다. 이 범위를 벗어나는 나이를 선택하고 싶은 플레이어가 있으면 수호자 재량으로 허용할 수 있습니다. 나이에 따른 수정사항은 누적되지 않습니다. 선택한 나이에 나온 항목만 적용하세요.
15 ~ 19세 :근력과 크기 사이에서 총 5점을 워하는대로 뺍니다. 교육에서 5점을 뺍니다. 운 수치를 한 번 더 굴려서 높은 쪽을 씁니다.
20 ~ 39세 : 교육의 향상판정을 한 번 합니다.
40 ~ 49세 : 교육의 향상 판정을 두 번 하고 근력, 건강, 민첩성 사이에서 총 5점을 원하는 대로 뺍니다. 외모에서 5점을 뺍니다.
50 ~ 59세 : 교육의 향상 판정을 세 번 하고 근력, 건강, 민첩성 사이에서 총 10점을 원하는 대로 뺍니다. 외모에서 10점을 뺍니다.
60 ~ 69  : 교육의 향상 판정을 네 번 하고 근력, 건강, 민첩성 사이에서 총 20점을 원하는 대로 뺍니다. 외모에서 15점을 뺍니다.
70 ~ 79  : 교육의 향상 판정을 네 번 하고 근력, 건강, 민첩성 사이에서 총 40점을 원하는 대로 뺍니다. 외모에서 20점을 뺍니다.
80 ~ 89  : 교육의 향상 판정을 네 번 하고 근력, 건강, 민첩성 사이에서 총 80점을 원하는 대로 뺍니다. 외모에서 25점을 뺍니다.</t>
      </text>
    </comment>
    <comment authorId="0" ref="AH14">
      <text>
        <t xml:space="preserve">행운,피해,이성,이성손실을 제외하면 운을 소모해서 결과를 바꿀수 있음
단, 강행,대성공,대실패,총기고장은 제외</t>
      </text>
    </comment>
    <comment authorId="0" ref="L15">
      <text>
        <t xml:space="preserve">현대, 1920, 미래 등 캐릭터가 살고 있는 시대를 자유롭게 입력</t>
      </text>
    </comment>
    <comment authorId="0" ref="B17">
      <text>
        <t xml:space="preserve">점수를 배분한 기능의 이름은 자동으로 강조됩니다.
기능 이름 왼쪽의 체크박스는 시나리오 안에서 해당 스킬을 성공했을 경우 체크, 시나리오 종료후 스킬성장을 위한 기록 용도입니다.</t>
      </text>
    </comment>
    <comment authorId="0" ref="O17">
      <text>
        <t xml:space="preserve">직업과 관련된 기능에 배분(최소 8개 이상)</t>
      </text>
    </comment>
    <comment authorId="0" ref="X17">
      <text>
        <t xml:space="preserve">자기가 원하는 기능에 배분
캐릭터가 살아오면서 취미나 백그라운드 등의 이유로 습득한 기능들입니다.</t>
      </text>
    </comment>
    <comment authorId="0" ref="C19">
      <text>
        <t xml:space="preserve">대항 기능: 은밀행동</t>
      </text>
    </comment>
    <comment authorId="0" ref="G19">
      <text>
        <t xml:space="preserve">======
ID#AAAAJvb_yu8
    (2020-07-05 05:55:29)
기본값</t>
      </text>
    </comment>
    <comment authorId="0" ref="H19">
      <text>
        <t xml:space="preserve">======
ID#AAAAJvb_yoM
    (2020-07-05 05:55:29)
기능점수 배분값</t>
      </text>
    </comment>
    <comment authorId="0" ref="I19">
      <text>
        <t xml:space="preserve">======
ID#AAAAJvb_yro
    (2020-07-05 05:55:29)
기본값+배분값
=일반 판정에 쓰는 값</t>
      </text>
    </comment>
    <comment authorId="0" ref="J19">
      <text>
        <t xml:space="preserve">======
ID#AAAAJvb_yak
    (2020-07-05 05:55:29)
어려운 판정에 쓰는 1/2 값</t>
      </text>
    </comment>
    <comment authorId="0" ref="K19">
      <text>
        <t xml:space="preserve">======
ID#AAAAJvb_y2c
    (2020-07-05 05:55:29)
극단적 판정에 쓰는 1/5 값</t>
      </text>
    </comment>
    <comment authorId="0" ref="M19">
      <text>
        <t xml:space="preserve">0:무일푼, 1~:가난,10~:보통, 50~:부유, 90~:자산가, 99:갑부</t>
      </text>
    </comment>
    <comment authorId="0" ref="W19">
      <text>
        <t xml:space="preserve">크툴루 신화에 대한 이해도를 반영합니다. 학문적인 기능처럼 연마를 통해 축적되는 지식은 아닙니다. 신화에 노출되면 이성이 침식됩니다.
(이성 최대치가 감소)
신화 수치의 증가량은 수호자가 정합니다.</t>
      </text>
    </comment>
    <comment authorId="0" ref="AB19">
      <text>
        <t xml:space="preserve">======
ID#AAAAJvb_yNg
    (2020-07-05 05:55:29)
신화 수치의 증가량은 수호자가 정합니다. 플레이어가 임의로 올릴 수 없습니다.</t>
      </text>
    </comment>
    <comment authorId="0" ref="AG19">
      <text>
        <t xml:space="preserve">사고, 부상, 질병, 중독등을 진단하고 치료. 치료에 1시간 소요. 성공시 1d3회복.
빈사 상태는 응급처치로 안정시켜야 의료판정 가능.</t>
      </text>
    </comment>
    <comment authorId="0" ref="C20">
      <text>
        <t xml:space="preserve">각종 소리를 듣고 이해, 해석</t>
      </text>
    </comment>
    <comment authorId="0" ref="W20">
      <text>
        <t xml:space="preserve">오컬트 관련 개념, 물품, 마법서 등을 판별(크툴루 관련 제외). 타로나 별자리 포함</t>
      </text>
    </comment>
    <comment authorId="0" ref="AG20">
      <text>
        <t xml:space="preserve">1시간 이내에 다친 플레이어의 hp 1 치료, 기절 회복, 빈사 회복</t>
      </text>
    </comment>
    <comment authorId="0" ref="C21">
      <text>
        <t xml:space="preserve">책, 문서들 또는 데이터베이스에서 원하는 정보 탐색</t>
      </text>
    </comment>
    <comment authorId="0" ref="M21">
      <text>
        <t xml:space="preserve">전통적이고 비과학적인 지식과 개인적인 관찰을 의미합니다.
농부, 어부, 또는 취미로 연구하는 사람 등이 가질 법한 지식 기능입니다.</t>
      </text>
    </comment>
    <comment authorId="0" ref="W21">
      <text>
        <t xml:space="preserve">일시적으로 광기를 치료하고 이성을 회복시킵니다.
한 달간 시도하여(성공시+1d3, 대실패시-1d6)</t>
      </text>
    </comment>
    <comment authorId="0" ref="AG21">
      <text>
        <t xml:space="preserve">극한 환경이나 야생에서 생존하는 방법에 관한 지식. 사냥, 피난처, 위험요소 등에 관한 지식이 포함되어 있습니다. 특정 환경을 반드시 기입해야 합니다. (사막, 바다, 숲, 극지방 등)</t>
      </text>
    </comment>
    <comment authorId="0" ref="C22">
      <text>
        <t xml:space="preserve">컴퓨터를 특수하게 사용할 경우 판정
프로그래밍, 데이터 분석, 보안 침투, 네트워크 탐색, 침입이나 바이러스 탐지 또는 악용</t>
      </text>
    </comment>
    <comment authorId="0" ref="M22">
      <text>
        <t xml:space="preserve">공학, 기상학, 동물학, 물리학, 생물학, 수사과학, 수학(기본 수치 10), 식물학, 암호학, 약학, 지질학, 천문학, 화학 중 선택 입력</t>
      </text>
    </comment>
    <comment authorId="0" ref="W22">
      <text>
        <t xml:space="preserve">목표 대상의 심리상태를 파악합니다. 대항 기능: 말재주, 매혹, 설득, 위협, 변장</t>
      </text>
    </comment>
    <comment authorId="0" ref="AG22">
      <text>
        <t xml:space="preserve">액체 위나 속에서 이동하는 능력</t>
      </text>
    </comment>
    <comment authorId="0" ref="C23">
      <text>
        <t xml:space="preserve">마이크로칩과 기판이 들어가는 현대기기를 수리하거나 다룹니다.</t>
      </text>
    </comment>
    <comment authorId="0" ref="W23">
      <text>
        <t xml:space="preserve">폭력적 협박, 공격적 태도. 대항 기능: 위협, 심리학</t>
      </text>
    </comment>
    <comment authorId="0" ref="AG23">
      <text>
        <t xml:space="preserve">나무, 벽, 그 외 수직면을 오를 수 있습니다. 밧줄이나 등반장비를 사용할 수 있습니다.</t>
      </text>
    </comment>
    <comment authorId="0" ref="C24">
      <text>
        <t xml:space="preserve">1920녀대 기능
자동 점화 장치, 전기 모터, 퓨즈 박스, 도난 경보
기와 같은 전기 장비를 수리하거나 개조할 수 있습니다.</t>
      </text>
    </comment>
    <comment authorId="0" ref="W24">
      <text>
        <t xml:space="preserve">친한 척, 유혹, 아부, 따뜻한 성품 등으로 특정 행동 유도. 대항 기능: 매혹, 심리학</t>
      </text>
    </comment>
    <comment authorId="0" ref="AG24">
      <text>
        <t xml:space="preserve">추락할 때 판정 성공 시 피해 감소</t>
      </text>
    </comment>
    <comment authorId="0" ref="C25">
      <text>
        <t xml:space="preserve">1920년대에는 전기수리로 대체
고장난 기계 수리, 새 기계 제작</t>
      </text>
    </comment>
    <comment authorId="0" ref="M25">
      <text>
        <t xml:space="preserve">법적인 수단이나 소송 절차에 관한 지식</t>
      </text>
    </comment>
    <comment authorId="0" ref="W25">
      <text>
        <t xml:space="preserve">빠른 말이나 궤변으로 상대를 속이고 착각하게 만듭니다. 대항 기능: 말재주, 심리학.</t>
      </text>
    </comment>
    <comment authorId="0" ref="C26">
      <text>
        <t xml:space="preserve">시대에 따라 썰매 운전, 마차 운전 등으로 변경
승용차나 소형 트럭 운행. 대항 기능: 추적, 미행</t>
      </text>
    </comment>
    <comment authorId="0" ref="M26">
      <text>
        <t xml:space="preserve">문화권 또는 대상의 생활 방식 식별 및 이해</t>
      </text>
    </comment>
    <comment authorId="0" ref="W26">
      <text>
        <t xml:space="preserve">합리적이고 이성적인 주장과 토론으로 상대를 납득 시킵니다. 대항 기능:설득</t>
      </text>
    </comment>
    <comment authorId="0" ref="AG26">
      <text>
        <t xml:space="preserve">특정인 또는 자신이 아닌 사람인 척</t>
      </text>
    </comment>
    <comment authorId="0" ref="C27">
      <text>
        <t xml:space="preserve">탱크, 굴착기, 굴삭기, 각종 대형 건설 장비를 운전하고 조작하는 데 필요합니다.</t>
      </text>
    </comment>
    <comment authorId="0" ref="M27">
      <text>
        <t xml:space="preserve">역사적으로 중요한 사실을 기억, 조상들은 익숙하나 현대에는 잘 모르는 것 판별</t>
      </text>
    </comment>
    <comment authorId="0" ref="W27">
      <text>
        <t xml:space="preserve">국적에 따라 자동 입력됨</t>
      </text>
    </comment>
    <comment authorId="0" ref="AG27">
      <text>
        <t xml:space="preserve">잠행과 숨기 기능이 7판에서
은밀행동으로 통합되었습니다. 들키지 않고 조용히 움직이거나 숨기. 대항 기능: 관찰력, 듣기</t>
      </text>
    </comment>
    <comment authorId="0" ref="C28">
      <text>
        <t xml:space="preserve">특수 탑승장비를 조종하는 기능.
조종할 장비 종류에 따라 나뉩니다. 전문 분야 반드시 기입 필요. (ex. 비행기, 대형선박...)</t>
      </text>
    </comment>
    <comment authorId="0" ref="M28">
      <text>
        <t xml:space="preserve">유물 식별, 연대 확인, 유물 위조 여부 감별, 생활 방식 추론, 멸종 언어 판별</t>
      </text>
    </comment>
    <comment authorId="0" ref="W28">
      <text>
        <t xml:space="preserve">5-판정 없이 언어 식별
10-간단한 대화
30-거래 요청
50-유창함
75-모국어급</t>
      </text>
    </comment>
    <comment authorId="0" ref="AG28">
      <text>
        <t xml:space="preserve">소매치기, 카드 마술, 휴대폰 몰래 사용하기, 물건 숨기기 등이 포함됩니다. 대항 기능: 관찰력</t>
      </text>
    </comment>
    <comment authorId="0" ref="M29">
      <text>
        <t xml:space="preserve">물건의 품질, 사용 재료, 세공 솜씨, 제작 시기, 위조 여부 등을 판별</t>
      </text>
    </comment>
    <comment authorId="0" ref="AG29">
      <text>
        <t xml:space="preserve">문 따기, 열쇠 없이 시동걸기, 지레로 문 뜯기, 경보 시스템 통과, 자물쇠 수리, 열쇠 복제</t>
      </text>
    </comment>
    <comment authorId="0" ref="C30">
      <text>
        <t xml:space="preserve">위치와 좌표를 읽고 지도, 나침반, GPS 등을 다루는 능력입니다</t>
      </text>
    </comment>
    <comment authorId="0" ref="M30">
      <text>
        <t xml:space="preserve">예술/공예 글자를 지우고, 인테리어디자인, 연기, 성악, 요리, 작가, 사진, 미술, 목수, 춤, 조각, 위조, 이발, 미용 등 전문분야를 반드시 적어주세요.</t>
      </text>
    </comment>
    <comment authorId="0" ref="W30">
      <text>
        <t xml:space="preserve">적당한 물건 또는 투척용 무기를 근력 다이스 스탯(m)만큼 던짐</t>
      </text>
    </comment>
    <comment authorId="0" ref="AG30">
      <text>
        <t xml:space="preserve">연사는 기관단총으로 판정</t>
      </text>
    </comment>
    <comment authorId="0" ref="C31">
      <text>
        <t xml:space="preserve">흔적을 찾아 대상을 따라감. 대항 기능: 은밀행동</t>
      </text>
    </comment>
    <comment authorId="0" ref="W31">
      <text>
        <t xml:space="preserve">아무나 들고 싸울 수 있는 기본적인 무기를 이용하는 전문분야
밀치거나, 던지거나, 무장을 해제하거나, 넘어뜨리는 등의 목표를 달성하겠다고 선어할 때도 근접전 액션을 사용합니다.
하나 이상의 전문분야가 50이상이면 다른 전문분야들도 10씩 증가, 하나 이상의 전문분야가 90이상이면 다른 전문분야들도 추가로 10씩 증가</t>
      </text>
    </comment>
    <comment authorId="0" ref="AG31">
      <text>
        <t xml:space="preserve">연사는 기관단총으로 판정
산탄총을 포함한 단발사격 장총은 모두 이 기능으로 판정합니다.</t>
      </text>
    </comment>
    <comment authorId="0" ref="C32">
      <text>
        <t xml:space="preserve">말을 다루는 전반적인 방법</t>
      </text>
    </comment>
    <comment authorId="0" ref="M32">
      <text>
        <t xml:space="preserve">입술의 움직임으로 대화의 내용 파악. 희귀 기능. 특수한 이유 없이 사용 불가.</t>
      </text>
    </comment>
    <comment authorId="0" ref="BA32">
      <text>
        <t xml:space="preserve">크툴루 신화 지능이 높아질수록 최대치가 자동 감산됩니다.</t>
      </text>
    </comment>
    <comment authorId="0" ref="M33">
      <text>
        <t xml:space="preserve">길들인 동물 훈련, 명령. 희귀 기능. 특수한 이유 없이 사용 불가.</t>
      </text>
    </comment>
    <comment authorId="0" ref="M34">
      <text>
        <t xml:space="preserve">잠수 장비 사용, 관리. 희귀 기능. 특수한 이유 없이 사용 불가.</t>
      </text>
    </comment>
    <comment authorId="0" ref="AG34">
      <text>
        <t xml:space="preserve">활은 라운드마다 1발 사격.
쇠뇌는 기본치가 25지만 쏠 때마다 재장전에 한 라운드 소요.</t>
      </text>
    </comment>
    <comment authorId="0" ref="C35">
      <text>
        <t xml:space="preserve">폭발물을 안전하게 사용, 설치, 해체. 희귀 기능. 특수한 이유 없이 사용 불가.</t>
      </text>
    </comment>
    <comment authorId="0" ref="M35">
      <text>
        <t xml:space="preserve">자발적인 대상에게 트랜스 상태 유도(광기-공포증, 집착증 치료). 희귀 기능. 특수한 이유 없이 사용 불가. 대항 기능: 심리학 또는 정신력(비자발적 대상 한정)</t>
      </text>
    </comment>
    <comment authorId="0" ref="AG35">
      <text>
        <t xml:space="preserve">유탄발사기, 대전차 로켓 등</t>
      </text>
    </comment>
    <comment authorId="0" ref="C36">
      <text>
        <t xml:space="preserve">야전 병기 조작 가능. 희귀 기능. 특수한 이유 없이 사용 불가.</t>
      </text>
    </comment>
    <comment authorId="0" ref="M36">
      <text>
        <t xml:space="preserve">일반적인 것이 아닌 희귀한 영역의 지식(전문 영역 기입 필요, 비밀 지식 글자를 지우고 전문영역을 작성해주세요.). 희귀 기능. 특수한 이유 없이 사용 불가.</t>
      </text>
    </comment>
    <comment authorId="0" ref="AG36">
      <text>
        <t xml:space="preserve">기계에 장착된 것 포함</t>
      </text>
    </comment>
    <comment authorId="0" ref="AL40">
      <text>
        <t xml:space="preserve">사격판정시 이 수치 이상인 경우 총기 고장</t>
      </text>
    </comment>
    <comment authorId="0" ref="B48">
      <text>
        <t xml:space="preserve">첫째 칸은 가장 소중한 물건.
상세 설명을 하고 싶다면 툴팁을 이용 (우클릭&gt;Insert Note).</t>
      </text>
    </comment>
    <comment authorId="0" ref="V48">
      <text>
        <t xml:space="preserve">캐릭터에게 의미있는 관계.
첫번째 칸은 현재 가장 소중한 관계. 상세 설명을 하고 싶다면 툴팁을 이용 (우클릭&gt;Insert Note)</t>
      </text>
    </comment>
    <comment authorId="0" ref="AQ49">
      <text>
        <t xml:space="preserve">랜덤 배정 1d10
1번 굴려서 해당값을 우측에 입력.
마음에 안 들 경우 공란으로 내버려둔다. (리롤 없음)</t>
      </text>
    </comment>
    <comment authorId="0" ref="B50">
      <text>
        <t xml:space="preserve">현재 가장 소중한 물건</t>
      </text>
    </comment>
    <comment authorId="0" ref="V50">
      <text>
        <t xml:space="preserve">현재 가장 소중한 관계</t>
      </text>
    </comment>
    <comment authorId="0" ref="AQ59">
      <text>
        <t xml:space="preserve">랜덤 배정 1d10
1번 굴려서 해당값을 우측에 입력.
마음에 안 들 경우 공란으로 내버려둔다. (리롤 없음)</t>
      </text>
    </comment>
    <comment authorId="0" ref="AQ61">
      <text>
        <t xml:space="preserve">각 세션 클리어후 키퍼의 지시가 있다면 스킬 성장 다이스를 굴려 증가치를 이곳에 입력후, 기능 목록에서 분배합니다. 크툴루 신화는 이곳에서 제외합니다.</t>
      </text>
    </comment>
    <comment authorId="0" ref="B63">
      <text>
        <t xml:space="preserve">자유롭게 작성.
외모: 외적으로 보이는 캐릭터를 묘사. 눈 색, 머리색, 인상 등
성격: 캐릭터의 성격을 묘사.
기타: 그 외 모든 것은 여기에 기록</t>
      </text>
    </comment>
    <comment authorId="0" ref="B75">
      <text>
        <t xml:space="preserve">(기록용) 이 캐릭터로 겪은 시나리오를 기록합니다. 없다면 공란으로 내버려둡니다.</t>
      </text>
    </comment>
    <comment authorId="0" ref="N75">
      <text>
        <t xml:space="preserve">(기록용) 이 캐릭터가 가지고 있는/배운 주문을 기록합니다. 키퍼님께 미리 설명을 드리면 좋습니다. 없다면 공란으로 내버려둡니다.</t>
      </text>
    </comment>
    <comment authorId="0" ref="Z75">
      <text>
        <t xml:space="preserve">(기록용) 이 캐릭터가 현재 가지고 있는 정신적 질환을 서술합니다. 없다면 공란으로 내버려둡니다.</t>
      </text>
    </comment>
    <comment authorId="0" ref="AL75">
      <text>
        <t xml:space="preserve">그 외 키퍼가 시나리오를 진행하며 이 캐릭터에 대해 알아야 할 점이 있다면 적어주세요. (경험 패키지 등)</t>
      </text>
    </comment>
    <comment authorId="0" ref="AY75">
      <text>
        <t xml:space="preserve">http://www.icongenerators.net/pixelavatar.html
● 키퍼의 요청이 있을 때만 필수입니다. (48x48로 저장)</t>
      </text>
    </comment>
    <comment authorId="0" ref="B82">
      <text>
        <t xml:space="preserve">======
ID#AAAAJvb_yno
    (2020-07-05 05:55:29)
Roll20 굴림식들로 초심자는 사용하지 않는 것을 추천합니다.</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플레이어가 입력할 부분은 흰색,
나머지는 자동화입니다.
작은 모니터를 위한 슬림디자인.
이곳에 캐릭터 한마디를 적어주세요.</t>
      </text>
    </comment>
    <comment authorId="0" ref="AZ4">
      <text>
        <t xml:space="preserve">!!이 부분을 지우거나 수정하지 말아주세요!!
앤서님 동의하에 시트용 틀을 제작·수정했습니다. 공개용. 하우스룰이 소량 포함되어 있습니다. 
재배포를 금지합니다! 공유시 이 시트 주소를 공유해주세요.</t>
      </text>
    </comment>
    <comment authorId="0" ref="R8">
      <text>
        <t xml:space="preserve">주사위를 굴려 결정
근력: (3d6)*5		
건강: (3d6)*5
크기: (2d6+6)*5
교육: (2d6+6)*5
외모: (3d6)*5
민첩: (3d6)*5
지능: (2d6+6)*5
정신력: (3d6)*5
행운: (3d6)*5</t>
      </text>
    </comment>
    <comment authorId="0" ref="AQ8">
      <text>
        <t xml:space="preserve">======
ID#AAAAJvb_yRQ
    (2020-07-05 05:55:29)
그림 또는
● www.rinmarugames.com/game/?game_id=421
● http://www.rinmarugames.com/playgame.php?game_link=anime-elf-creator
● http://www.rinmarugames.com/all_games.php?category=16
사용 가능, 위 메뉴 Insert&gt;Images 로 삽입</t>
      </text>
    </comment>
    <comment authorId="0" ref="E12">
      <text>
        <t xml:space="preserve">어느 직업은 선택하느냐에 따라 직업기능점수가 변화합니다. 잘 모르겠는 경우엔, 마스터에게 질문하고 선택해 보도록 합시다.</t>
      </text>
    </comment>
    <comment authorId="0" ref="L12">
      <text>
        <t xml:space="preserve">직업유형에 원하는 직업이 없을 경우 가장 비슷한 특성치를 사용할 것 같은 직업을 고르시거나 기타를 선택하시고 여기에 커스텀 직업명을 넣어주세요.</t>
      </text>
    </comment>
    <comment authorId="0" ref="L13">
      <text>
        <t xml:space="preserve">탐사자의 나이는 플레이어가 15~89세 중에서 마음대로 선택합니다. 이 범위를 벗어나는 나이를 선택하고 싶은 플레이어가 있으면 수호자 재량으로 허용할 수 있습니다. 나이에 따른 수정사항은 누적되지 않습니다. 선택한 나이에 나온 항목만 적용하세요.
15 ~ 19세 :근력과 크기 사이에서 총 5점을 워하는대로 뺍니다. 교육에서 5점을 뺍니다. 운 수치를 한 번 더 굴려서 높은 쪽을 씁니다.
20 ~ 39세 : 교육의 향상판정을 한 번 합니다.
40 ~ 49세 : 교육의 향상 판정을 두 번 하고 근력, 건강, 민첩성 사이에서 총 5점을 원하는 대로 뺍니다. 외모에서 5점을 뺍니다.
50 ~ 59세 : 교육의 향상 판정을 세 번 하고 근력, 건강, 민첩성 사이에서 총 10점을 원하는 대로 뺍니다. 외모에서 10점을 뺍니다.
60 ~ 69  : 교육의 향상 판정을 네 번 하고 근력, 건강, 민첩성 사이에서 총 20점을 원하는 대로 뺍니다. 외모에서 15점을 뺍니다.
70 ~ 79  : 교육의 향상 판정을 네 번 하고 근력, 건강, 민첩성 사이에서 총 40점을 원하는 대로 뺍니다. 외모에서 20점을 뺍니다.
80 ~ 89  : 교육의 향상 판정을 네 번 하고 근력, 건강, 민첩성 사이에서 총 80점을 원하는 대로 뺍니다. 외모에서 25점을 뺍니다.</t>
      </text>
    </comment>
    <comment authorId="0" ref="AH14">
      <text>
        <t xml:space="preserve">행운,피해,이성,이성손실을 제외하면 운을 소모해서 결과를 바꿀수 있음
단, 강행,대성공,대실패,총기고장은 제외</t>
      </text>
    </comment>
    <comment authorId="0" ref="L15">
      <text>
        <t xml:space="preserve">현대, 1920, 미래 등 캐릭터가 살고 있는 시대를 자유롭게 입력</t>
      </text>
    </comment>
    <comment authorId="0" ref="B17">
      <text>
        <t xml:space="preserve">점수를 배분한 기능의 이름은 자동으로 강조됩니다.
기능 이름 왼쪽의 체크박스는 시나리오 안에서 해당 스킬을 성공했을 경우 체크, 시나리오 종료후 스킬성장을 위한 기록 용도입니다.</t>
      </text>
    </comment>
    <comment authorId="0" ref="O17">
      <text>
        <t xml:space="preserve">직업과 관련된 기능에 배분(최소 8개 이상)</t>
      </text>
    </comment>
    <comment authorId="0" ref="X17">
      <text>
        <t xml:space="preserve">자기가 원하는 기능에 배분
캐릭터가 살아오면서 취미나 백그라운드 등의 이유로 습득한 기능들입니다.</t>
      </text>
    </comment>
    <comment authorId="0" ref="C19">
      <text>
        <t xml:space="preserve">대항 기능: 은밀행동</t>
      </text>
    </comment>
    <comment authorId="0" ref="G19">
      <text>
        <t xml:space="preserve">======
ID#AAAAJvb_yu8
    (2020-07-05 05:55:29)
기본값</t>
      </text>
    </comment>
    <comment authorId="0" ref="H19">
      <text>
        <t xml:space="preserve">======
ID#AAAAJvb_yoM
    (2020-07-05 05:55:29)
기능점수 배분값</t>
      </text>
    </comment>
    <comment authorId="0" ref="I19">
      <text>
        <t xml:space="preserve">======
ID#AAAAJvb_yro
    (2020-07-05 05:55:29)
기본값+배분값
=일반 판정에 쓰는 값</t>
      </text>
    </comment>
    <comment authorId="0" ref="J19">
      <text>
        <t xml:space="preserve">======
ID#AAAAJvb_yak
    (2020-07-05 05:55:29)
어려운 판정에 쓰는 1/2 값</t>
      </text>
    </comment>
    <comment authorId="0" ref="K19">
      <text>
        <t xml:space="preserve">======
ID#AAAAJvb_y2c
    (2020-07-05 05:55:29)
극단적 판정에 쓰는 1/5 값</t>
      </text>
    </comment>
    <comment authorId="0" ref="M19">
      <text>
        <t xml:space="preserve">0:무일푼, 1~:가난,10~:보통, 50~:부유, 90~:자산가, 99:갑부</t>
      </text>
    </comment>
    <comment authorId="0" ref="W19">
      <text>
        <t xml:space="preserve">크툴루 신화에 대한 이해도를 반영합니다. 학문적인 기능처럼 연마를 통해 축적되는 지식은 아닙니다. 신화에 노출되면 이성이 침식됩니다.
(이성 최대치가 감소)
신화 수치의 증가량은 수호자가 정합니다.</t>
      </text>
    </comment>
    <comment authorId="0" ref="AB19">
      <text>
        <t xml:space="preserve">======
ID#AAAAJvb_yNg
    (2020-07-05 05:55:29)
신화 수치의 증가량은 수호자가 정합니다. 플레이어가 임의로 올릴 수 없습니다.</t>
      </text>
    </comment>
    <comment authorId="0" ref="AG19">
      <text>
        <t xml:space="preserve">사고, 부상, 질병, 중독등을 진단하고 치료. 치료에 1시간 소요. 성공시 1d3회복.
빈사 상태는 응급처치로 안정시켜야 의료판정 가능.</t>
      </text>
    </comment>
    <comment authorId="0" ref="C20">
      <text>
        <t xml:space="preserve">각종 소리를 듣고 이해, 해석</t>
      </text>
    </comment>
    <comment authorId="0" ref="W20">
      <text>
        <t xml:space="preserve">오컬트 관련 개념, 물품, 마법서 등을 판별(크툴루 관련 제외). 타로나 별자리 포함</t>
      </text>
    </comment>
    <comment authorId="0" ref="AG20">
      <text>
        <t xml:space="preserve">1시간 이내에 다친 플레이어의 hp 1 치료, 기절 회복, 빈사 회복</t>
      </text>
    </comment>
    <comment authorId="0" ref="C21">
      <text>
        <t xml:space="preserve">책, 문서들 또는 데이터베이스에서 원하는 정보 탐색</t>
      </text>
    </comment>
    <comment authorId="0" ref="M21">
      <text>
        <t xml:space="preserve">전통적이고 비과학적인 지식과 개인적인 관찰을 의미합니다.
농부, 어부, 또는 취미로 연구하는 사람 등이 가질 법한 지식 기능입니다.</t>
      </text>
    </comment>
    <comment authorId="0" ref="W21">
      <text>
        <t xml:space="preserve">일시적으로 광기를 치료하고 이성을 회복시킵니다.
한 달간 시도하여(성공시+1d3, 대실패시-1d6)</t>
      </text>
    </comment>
    <comment authorId="0" ref="AG21">
      <text>
        <t xml:space="preserve">극한 환경이나 야생에서 생존하는 방법에 관한 지식. 사냥, 피난처, 위험요소 등에 관한 지식이 포함되어 있습니다. 특정 환경을 반드시 기입해야 합니다. (사막, 바다, 숲, 극지방 등)</t>
      </text>
    </comment>
    <comment authorId="0" ref="C22">
      <text>
        <t xml:space="preserve">컴퓨터를 특수하게 사용할 경우 판정
프로그래밍, 데이터 분석, 보안 침투, 네트워크 탐색, 침입이나 바이러스 탐지 또는 악용</t>
      </text>
    </comment>
    <comment authorId="0" ref="M22">
      <text>
        <t xml:space="preserve">공학, 기상학, 동물학, 물리학, 생물학, 수사과학, 수학(기본 수치 10), 식물학, 암호학, 약학, 지질학, 천문학, 화학 중 선택 입력</t>
      </text>
    </comment>
    <comment authorId="0" ref="W22">
      <text>
        <t xml:space="preserve">목표 대상의 심리상태를 파악합니다. 대항 기능: 말재주, 매혹, 설득, 위협, 변장</t>
      </text>
    </comment>
    <comment authorId="0" ref="AG22">
      <text>
        <t xml:space="preserve">액체 위나 속에서 이동하는 능력</t>
      </text>
    </comment>
    <comment authorId="0" ref="C23">
      <text>
        <t xml:space="preserve">마이크로칩과 기판이 들어가는 현대기기를 수리하거나 다룹니다.</t>
      </text>
    </comment>
    <comment authorId="0" ref="W23">
      <text>
        <t xml:space="preserve">폭력적 협박, 공격적 태도. 대항 기능: 위협, 심리학</t>
      </text>
    </comment>
    <comment authorId="0" ref="AG23">
      <text>
        <t xml:space="preserve">나무, 벽, 그 외 수직면을 오를 수 있습니다. 밧줄이나 등반장비를 사용할 수 있습니다.</t>
      </text>
    </comment>
    <comment authorId="0" ref="C24">
      <text>
        <t xml:space="preserve">1920녀대 기능
자동 점화 장치, 전기 모터, 퓨즈 박스, 도난 경보
기와 같은 전기 장비를 수리하거나 개조할 수 있습니다.</t>
      </text>
    </comment>
    <comment authorId="0" ref="W24">
      <text>
        <t xml:space="preserve">친한 척, 유혹, 아부, 따뜻한 성품 등으로 특정 행동 유도. 대항 기능: 매혹, 심리학</t>
      </text>
    </comment>
    <comment authorId="0" ref="AG24">
      <text>
        <t xml:space="preserve">추락할 때 판정 성공 시 피해 감소</t>
      </text>
    </comment>
    <comment authorId="0" ref="C25">
      <text>
        <t xml:space="preserve">1920년대에는 전기수리로 대체
고장난 기계 수리, 새 기계 제작</t>
      </text>
    </comment>
    <comment authorId="0" ref="M25">
      <text>
        <t xml:space="preserve">법적인 수단이나 소송 절차에 관한 지식</t>
      </text>
    </comment>
    <comment authorId="0" ref="W25">
      <text>
        <t xml:space="preserve">빠른 말이나 궤변으로 상대를 속이고 착각하게 만듭니다. 대항 기능: 말재주, 심리학.</t>
      </text>
    </comment>
    <comment authorId="0" ref="C26">
      <text>
        <t xml:space="preserve">시대에 따라 썰매 운전, 마차 운전 등으로 변경
승용차나 소형 트럭 운행. 대항 기능: 추적, 미행</t>
      </text>
    </comment>
    <comment authorId="0" ref="M26">
      <text>
        <t xml:space="preserve">문화권 또는 대상의 생활 방식 식별 및 이해</t>
      </text>
    </comment>
    <comment authorId="0" ref="W26">
      <text>
        <t xml:space="preserve">합리적이고 이성적인 주장과 토론으로 상대를 납득 시킵니다. 대항 기능:설득</t>
      </text>
    </comment>
    <comment authorId="0" ref="AG26">
      <text>
        <t xml:space="preserve">특정인 또는 자신이 아닌 사람인 척</t>
      </text>
    </comment>
    <comment authorId="0" ref="C27">
      <text>
        <t xml:space="preserve">탱크, 굴착기, 굴삭기, 각종 대형 건설 장비를 운전하고 조작하는 데 필요합니다.</t>
      </text>
    </comment>
    <comment authorId="0" ref="M27">
      <text>
        <t xml:space="preserve">역사적으로 중요한 사실을 기억, 조상들은 익숙하나 현대에는 잘 모르는 것 판별</t>
      </text>
    </comment>
    <comment authorId="0" ref="W27">
      <text>
        <t xml:space="preserve">국적에 따라 자동 입력됨</t>
      </text>
    </comment>
    <comment authorId="0" ref="AG27">
      <text>
        <t xml:space="preserve">잠행과 숨기 기능이 7판에서
은밀행동으로 통합되었습니다. 들키지 않고 조용히 움직이거나 숨기. 대항 기능: 관찰력, 듣기</t>
      </text>
    </comment>
    <comment authorId="0" ref="C28">
      <text>
        <t xml:space="preserve">특수 탑승장비를 조종하는 기능.
조종할 장비 종류에 따라 나뉩니다. 전문 분야 반드시 기입 필요. (ex. 비행기, 대형선박...)</t>
      </text>
    </comment>
    <comment authorId="0" ref="M28">
      <text>
        <t xml:space="preserve">유물 식별, 연대 확인, 유물 위조 여부 감별, 생활 방식 추론, 멸종 언어 판별</t>
      </text>
    </comment>
    <comment authorId="0" ref="W28">
      <text>
        <t xml:space="preserve">5-판정 없이 언어 식별
10-간단한 대화
30-거래 요청
50-유창함
75-모국어급</t>
      </text>
    </comment>
    <comment authorId="0" ref="AG28">
      <text>
        <t xml:space="preserve">소매치기, 카드 마술, 휴대폰 몰래 사용하기, 물건 숨기기 등이 포함됩니다. 대항 기능: 관찰력</t>
      </text>
    </comment>
    <comment authorId="0" ref="M29">
      <text>
        <t xml:space="preserve">물건의 품질, 사용 재료, 세공 솜씨, 제작 시기, 위조 여부 등을 판별</t>
      </text>
    </comment>
    <comment authorId="0" ref="AG29">
      <text>
        <t xml:space="preserve">문 따기, 열쇠 없이 시동걸기, 지레로 문 뜯기, 경보 시스템 통과, 자물쇠 수리, 열쇠 복제</t>
      </text>
    </comment>
    <comment authorId="0" ref="C30">
      <text>
        <t xml:space="preserve">위치와 좌표를 읽고 지도, 나침반, GPS 등을 다루는 능력입니다</t>
      </text>
    </comment>
    <comment authorId="0" ref="M30">
      <text>
        <t xml:space="preserve">예술/공예 글자를 지우고, 인테리어디자인, 연기, 성악, 요리, 작가, 사진, 미술, 목수, 춤, 조각, 위조, 이발, 미용 등 전문분야를 반드시 적어주세요.</t>
      </text>
    </comment>
    <comment authorId="0" ref="W30">
      <text>
        <t xml:space="preserve">적당한 물건 또는 투척용 무기를 근력 다이스 스탯(m)만큼 던짐</t>
      </text>
    </comment>
    <comment authorId="0" ref="AG30">
      <text>
        <t xml:space="preserve">연사는 기관단총으로 판정</t>
      </text>
    </comment>
    <comment authorId="0" ref="C31">
      <text>
        <t xml:space="preserve">흔적을 찾아 대상을 따라감. 대항 기능: 은밀행동</t>
      </text>
    </comment>
    <comment authorId="0" ref="W31">
      <text>
        <t xml:space="preserve">아무나 들고 싸울 수 있는 기본적인 무기를 이용하는 전문분야
밀치거나, 던지거나, 무장을 해제하거나, 넘어뜨리는 등의 목표를 달성하겠다고 선어할 때도 근접전 액션을 사용합니다.
하나 이상의 전문분야가 50이상이면 다른 전문분야들도 10씩 증가, 하나 이상의 전문분야가 90이상이면 다른 전문분야들도 추가로 10씩 증가</t>
      </text>
    </comment>
    <comment authorId="0" ref="AG31">
      <text>
        <t xml:space="preserve">연사는 기관단총으로 판정
산탄총을 포함한 단발사격 장총은 모두 이 기능으로 판정합니다.</t>
      </text>
    </comment>
    <comment authorId="0" ref="C32">
      <text>
        <t xml:space="preserve">말을 다루는 전반적인 방법</t>
      </text>
    </comment>
    <comment authorId="0" ref="M32">
      <text>
        <t xml:space="preserve">입술의 움직임으로 대화의 내용 파악. 희귀 기능. 특수한 이유 없이 사용 불가.</t>
      </text>
    </comment>
    <comment authorId="0" ref="BA32">
      <text>
        <t xml:space="preserve">크툴루 신화 지능이 높아질수록 최대치가 자동 감산됩니다.</t>
      </text>
    </comment>
    <comment authorId="0" ref="M33">
      <text>
        <t xml:space="preserve">길들인 동물 훈련, 명령. 희귀 기능. 특수한 이유 없이 사용 불가.</t>
      </text>
    </comment>
    <comment authorId="0" ref="M34">
      <text>
        <t xml:space="preserve">잠수 장비 사용, 관리. 희귀 기능. 특수한 이유 없이 사용 불가.</t>
      </text>
    </comment>
    <comment authorId="0" ref="AG34">
      <text>
        <t xml:space="preserve">활은 라운드마다 1발 사격.
쇠뇌는 기본치가 25지만 쏠 때마다 재장전에 한 라운드 소요.</t>
      </text>
    </comment>
    <comment authorId="0" ref="C35">
      <text>
        <t xml:space="preserve">폭발물을 안전하게 사용, 설치, 해체. 희귀 기능. 특수한 이유 없이 사용 불가.</t>
      </text>
    </comment>
    <comment authorId="0" ref="M35">
      <text>
        <t xml:space="preserve">자발적인 대상에게 트랜스 상태 유도(광기-공포증, 집착증 치료). 희귀 기능. 특수한 이유 없이 사용 불가. 대항 기능: 심리학 또는 정신력(비자발적 대상 한정)</t>
      </text>
    </comment>
    <comment authorId="0" ref="AG35">
      <text>
        <t xml:space="preserve">유탄발사기, 대전차 로켓 등</t>
      </text>
    </comment>
    <comment authorId="0" ref="C36">
      <text>
        <t xml:space="preserve">야전 병기 조작 가능. 희귀 기능. 특수한 이유 없이 사용 불가.</t>
      </text>
    </comment>
    <comment authorId="0" ref="M36">
      <text>
        <t xml:space="preserve">일반적인 것이 아닌 희귀한 영역의 지식(전문 영역 기입 필요, 비밀 지식 글자를 지우고 전문영역을 작성해주세요.). 희귀 기능. 특수한 이유 없이 사용 불가.</t>
      </text>
    </comment>
    <comment authorId="0" ref="AG36">
      <text>
        <t xml:space="preserve">기계에 장착된 것 포함</t>
      </text>
    </comment>
    <comment authorId="0" ref="AL40">
      <text>
        <t xml:space="preserve">사격판정시 이 수치 이상인 경우 총기 고장</t>
      </text>
    </comment>
    <comment authorId="0" ref="B48">
      <text>
        <t xml:space="preserve">첫째 칸은 가장 소중한 물건.
상세 설명을 하고 싶다면 툴팁을 이용 (우클릭&gt;Insert Note).</t>
      </text>
    </comment>
    <comment authorId="0" ref="V48">
      <text>
        <t xml:space="preserve">캐릭터에게 의미있는 관계.
첫번째 칸은 현재 가장 소중한 관계. 상세 설명을 하고 싶다면 툴팁을 이용 (우클릭&gt;Insert Note)</t>
      </text>
    </comment>
    <comment authorId="0" ref="AQ49">
      <text>
        <t xml:space="preserve">랜덤 배정 1d10
1번 굴려서 해당값을 우측에 입력.
마음에 안 들 경우 공란으로 내버려둔다. (리롤 없음)</t>
      </text>
    </comment>
    <comment authorId="0" ref="B50">
      <text>
        <t xml:space="preserve">현재 가장 소중한 물건</t>
      </text>
    </comment>
    <comment authorId="0" ref="V50">
      <text>
        <t xml:space="preserve">현재 가장 소중한 관계</t>
      </text>
    </comment>
    <comment authorId="0" ref="AQ59">
      <text>
        <t xml:space="preserve">랜덤 배정 1d10
1번 굴려서 해당값을 우측에 입력.
마음에 안 들 경우 공란으로 내버려둔다. (리롤 없음)</t>
      </text>
    </comment>
    <comment authorId="0" ref="AQ61">
      <text>
        <t xml:space="preserve">각 세션 클리어후 키퍼의 지시가 있다면 스킬 성장 다이스를 굴려 증가치를 이곳에 입력후, 기능 목록에서 분배합니다. 크툴루 신화는 이곳에서 제외합니다.</t>
      </text>
    </comment>
    <comment authorId="0" ref="B63">
      <text>
        <t xml:space="preserve">자유롭게 작성.
외모: 외적으로 보이는 캐릭터를 묘사. 눈 색, 머리색, 인상 등
성격: 캐릭터의 성격을 묘사.
기타: 그 외 모든 것은 여기에 기록</t>
      </text>
    </comment>
    <comment authorId="0" ref="B75">
      <text>
        <t xml:space="preserve">(기록용) 이 캐릭터로 겪은 시나리오를 기록합니다. 없다면 공란으로 내버려둡니다.</t>
      </text>
    </comment>
    <comment authorId="0" ref="N75">
      <text>
        <t xml:space="preserve">(기록용) 이 캐릭터가 가지고 있는/배운 주문을 기록합니다. 키퍼님께 미리 설명을 드리면 좋습니다. 없다면 공란으로 내버려둡니다.</t>
      </text>
    </comment>
    <comment authorId="0" ref="Z75">
      <text>
        <t xml:space="preserve">(기록용) 이 캐릭터가 현재 가지고 있는 정신적 질환을 서술합니다. 없다면 공란으로 내버려둡니다.</t>
      </text>
    </comment>
    <comment authorId="0" ref="AL75">
      <text>
        <t xml:space="preserve">그 외 키퍼가 시나리오를 진행하며 이 캐릭터에 대해 알아야 할 점이 있다면 적어주세요. (경험 패키지 등)</t>
      </text>
    </comment>
    <comment authorId="0" ref="AY75">
      <text>
        <t xml:space="preserve">http://www.icongenerators.net/pixelavatar.html
● 키퍼의 요청이 있을 때만 필수입니다. (48x48로 저장)</t>
      </text>
    </comment>
    <comment authorId="0" ref="B82">
      <text>
        <t xml:space="preserve">======
ID#AAAAJvb_yno
    (2020-07-05 05:55:29)
Roll20 굴림식들로 초심자는 사용하지 않는 것을 추천합니다.</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플레이어가 입력할 부분은 흰색,
나머지는 자동화입니다.
작은 모니터를 위한 슬림디자인.
이곳에 캐릭터 한마디를 적어주세요.</t>
      </text>
    </comment>
    <comment authorId="0" ref="AZ4">
      <text>
        <t xml:space="preserve">!!이 부분을 지우거나 수정하지 말아주세요!!
앤서님 동의하에 시트용 틀을 제작·수정했습니다. 공개용. 하우스룰이 소량 포함되어 있습니다. 
재배포를 금지합니다! 공유시 이 시트 주소를 공유해주세요.</t>
      </text>
    </comment>
    <comment authorId="0" ref="R8">
      <text>
        <t xml:space="preserve">주사위를 굴려 결정
근력: (3d6)*5		
건강: (3d6)*5
크기: (2d6+6)*5
교육: (2d6+6)*5
외모: (3d6)*5
민첩: (3d6)*5
지능: (2d6+6)*5
정신력: (3d6)*5
행운: (3d6)*5</t>
      </text>
    </comment>
    <comment authorId="0" ref="AQ8">
      <text>
        <t xml:space="preserve">======
ID#AAAAJvb_yRQ
    (2020-07-05 05:55:29)
그림 또는
● www.rinmarugames.com/game/?game_id=421
● http://www.rinmarugames.com/playgame.php?game_link=anime-elf-creator
● http://www.rinmarugames.com/all_games.php?category=16
사용 가능, 위 메뉴 Insert&gt;Images 로 삽입</t>
      </text>
    </comment>
    <comment authorId="0" ref="L12">
      <text>
        <t xml:space="preserve">직업유형에 원하는 직업이 없을 경우 가장 비슷한 특성치를 사용할 것 같은 직업을 고르시거나 기타를 선택하시고 여기에 커스텀 직업명을 넣어주세요.</t>
      </text>
    </comment>
    <comment authorId="0" ref="L13">
      <text>
        <t xml:space="preserve">탐사자의 나이는 플레이어가 15~89세 중에서 마음대로 선택합니다. 이 범위를 벗어나는 나이를 선택하고 싶은 플레이어가 있으면 수호자 재량으로 허용할 수 있습니다. 나이에 따른 수정사항은 누적되지 않습니다. 선택한 나이에 나온 항목만 적용하세요.
15 ~ 19세 :근력과 크기 사이에서 총 5점을 워하는대로 뺍니다. 교육에서 5점을 뺍니다. 운 수치를 한 번 더 굴려서 높은 쪽을 씁니다.
20 ~ 39세 : 교육의 향상판정을 한 번 합니다.
40 ~ 49세 : 교육의 향상 판정을 두 번 하고 근력, 건강, 민첩성 사이에서 총 5점을 원하는 대로 뺍니다. 외모에서 5점을 뺍니다.
50 ~ 59세 : 교육의 향상 판정을 세 번 하고 근력, 건강, 민첩성 사이에서 총 10점을 원하는 대로 뺍니다. 외모에서 10점을 뺍니다.
60 ~ 69  : 교육의 향상 판정을 네 번 하고 근력, 건강, 민첩성 사이에서 총 20점을 원하는 대로 뺍니다. 외모에서 15점을 뺍니다.
70 ~ 79  : 교육의 향상 판정을 네 번 하고 근력, 건강, 민첩성 사이에서 총 40점을 원하는 대로 뺍니다. 외모에서 20점을 뺍니다.
80 ~ 89  : 교육의 향상 판정을 네 번 하고 근력, 건강, 민첩성 사이에서 총 80점을 원하는 대로 뺍니다. 외모에서 25점을 뺍니다.</t>
      </text>
    </comment>
    <comment authorId="0" ref="AH14">
      <text>
        <t xml:space="preserve">행운,피해,이성,이성손실을 제외하면 운을 소모해서 결과를 바꿀수 있음
단, 강행,대성공,대실패,총기고장은 제외</t>
      </text>
    </comment>
    <comment authorId="0" ref="L15">
      <text>
        <t xml:space="preserve">현대, 1920, 미래 등 캐릭터가 살고 있는 시대를 자유롭게 입력</t>
      </text>
    </comment>
    <comment authorId="0" ref="B17">
      <text>
        <t xml:space="preserve">점수를 배분한 기능의 이름은 자동으로 강조됩니다.
기능 이름 왼쪽의 체크박스는 시나리오 안에서 해당 스킬을 성공했을 경우 체크, 시나리오 종료후 스킬성장을 위한 기록 용도입니다.</t>
      </text>
    </comment>
    <comment authorId="0" ref="O17">
      <text>
        <t xml:space="preserve">직업과 관련된 기능에 배분(최소 8개 이상)</t>
      </text>
    </comment>
    <comment authorId="0" ref="X17">
      <text>
        <t xml:space="preserve">자기가 원하는 기능에 배분
캐릭터가 살아오면서 취미나 백그라운드 등의 이유로 습득한 기능들입니다.</t>
      </text>
    </comment>
    <comment authorId="0" ref="C19">
      <text>
        <t xml:space="preserve">대항 기능: 은밀행동</t>
      </text>
    </comment>
    <comment authorId="0" ref="G19">
      <text>
        <t xml:space="preserve">======
ID#AAAAJvb_yu8
    (2020-07-05 05:55:29)
기본값</t>
      </text>
    </comment>
    <comment authorId="0" ref="H19">
      <text>
        <t xml:space="preserve">======
ID#AAAAJvb_yoM
    (2020-07-05 05:55:29)
기능점수 배분값</t>
      </text>
    </comment>
    <comment authorId="0" ref="I19">
      <text>
        <t xml:space="preserve">======
ID#AAAAJvb_yro
    (2020-07-05 05:55:29)
기본값+배분값
=일반 판정에 쓰는 값</t>
      </text>
    </comment>
    <comment authorId="0" ref="J19">
      <text>
        <t xml:space="preserve">======
ID#AAAAJvb_yak
    (2020-07-05 05:55:29)
어려운 판정에 쓰는 1/2 값</t>
      </text>
    </comment>
    <comment authorId="0" ref="K19">
      <text>
        <t xml:space="preserve">======
ID#AAAAJvb_y2c
    (2020-07-05 05:55:29)
극단적 판정에 쓰는 1/5 값</t>
      </text>
    </comment>
    <comment authorId="0" ref="M19">
      <text>
        <t xml:space="preserve">0:무일푼, 1~:가난,10~:보통, 50~:부유, 90~:자산가, 99:갑부
신용 : 탐사자가 자신이 속한 사회에서 얼마나 믿음을 사고 있는지를 나타낸다. 은행의 대출이나 지역 사회의 도움 등을 판정할 때 유용하다. 신용 기능은 재력에 포함되지만 재력이 낮더라도 15이하로 떨어지지 않는다.</t>
      </text>
    </comment>
    <comment authorId="0" ref="W19">
      <text>
        <t xml:space="preserve">크툴루 신화에 대한 이해도를 반영합니다. 학문적인 기능처럼 연마를 통해 축적되는 지식은 아닙니다. 신화에 노출되면 이성이 침식됩니다.
(이성 최대치가 감소)
신화 수치의 증가량은 수호자가 정합니다.</t>
      </text>
    </comment>
    <comment authorId="0" ref="AB19">
      <text>
        <t xml:space="preserve">======
ID#AAAAJvb_yNg
    (2020-07-05 05:55:29)
신화 수치의 증가량은 수호자가 정합니다. 플레이어가 임의로 올릴 수 없습니다.</t>
      </text>
    </comment>
    <comment authorId="0" ref="AG19">
      <text>
        <t xml:space="preserve">사고, 부상, 질병, 중독등을 진단하고 치료. 치료에 1시간 소요. 성공시 1d3회복.
빈사 상태는 응급처치로 안정시켜야 의료판정 가능.</t>
      </text>
    </comment>
    <comment authorId="0" ref="C20">
      <text>
        <t xml:space="preserve">각종 소리를 듣고 이해, 해석</t>
      </text>
    </comment>
    <comment authorId="0" ref="W20">
      <text>
        <t xml:space="preserve">오컬트 관련 개념, 물품, 마법서 등을 판별(크툴루 관련 제외). 타로나 별자리 포함</t>
      </text>
    </comment>
    <comment authorId="0" ref="AG20">
      <text>
        <t xml:space="preserve">1시간 이내에 다친 플레이어의 hp 1 치료, 기절 회복, 빈사 회복</t>
      </text>
    </comment>
    <comment authorId="0" ref="C21">
      <text>
        <t xml:space="preserve">책, 문서들 또는 데이터베이스에서 원하는 정보 탐색</t>
      </text>
    </comment>
    <comment authorId="0" ref="M21">
      <text>
        <t xml:space="preserve">전통적이고 비과학적인 지식과 개인적인 관찰을 의미합니다.
농부, 어부, 또는 취미로 연구하는 사람 등이 가질 법한 지식 기능입니다.</t>
      </text>
    </comment>
    <comment authorId="0" ref="W21">
      <text>
        <t xml:space="preserve">일시적으로 광기를 치료하고 이성을 회복시킵니다.
한 달간 시도하여(성공시+1d3, 대실패시-1d6)</t>
      </text>
    </comment>
    <comment authorId="0" ref="AG21">
      <text>
        <t xml:space="preserve">극한 환경이나 야생에서 생존하는 방법에 관한 지식. 사냥, 피난처, 위험요소 등에 관한 지식이 포함되어 있습니다. 특정 환경을 반드시 기입해야 합니다. (사막, 바다, 숲, 극지방 등)</t>
      </text>
    </comment>
    <comment authorId="0" ref="C22">
      <text>
        <t xml:space="preserve">컴퓨터를 특수하게 사용할 경우 판정
프로그래밍, 데이터 분석, 보안 침투, 네트워크 탐색, 침입이나 바이러스 탐지 또는 악용</t>
      </text>
    </comment>
    <comment authorId="0" ref="M22">
      <text>
        <t xml:space="preserve">공학, 기상학, 동물학, 물리학, 생물학, 수사과학, 수학(기본 수치 10), 식물학, 암호학, 약학, 지질학, 천문학, 화학 중 선택 입력</t>
      </text>
    </comment>
    <comment authorId="0" ref="W22">
      <text>
        <t xml:space="preserve">목표 대상의 심리상태를 파악합니다. 대항 기능: 말재주, 매혹, 설득, 위협, 변장</t>
      </text>
    </comment>
    <comment authorId="0" ref="AG22">
      <text>
        <t xml:space="preserve">액체 위나 속에서 이동하는 능력</t>
      </text>
    </comment>
    <comment authorId="0" ref="C23">
      <text>
        <t xml:space="preserve">마이크로칩과 기판이 들어가는 현대기기를 수리하거나 다룹니다.</t>
      </text>
    </comment>
    <comment authorId="0" ref="W23">
      <text>
        <t xml:space="preserve">폭력적 협박, 공격적 태도. 대항 기능: 위협, 심리학</t>
      </text>
    </comment>
    <comment authorId="0" ref="AG23">
      <text>
        <t xml:space="preserve">나무, 벽, 그 외 수직면을 오를 수 있습니다. 밧줄이나 등반장비를 사용할 수 있습니다.</t>
      </text>
    </comment>
    <comment authorId="0" ref="C24">
      <text>
        <t xml:space="preserve">자동 점화 장치, 전기 모터, 퓨즈 박스, 도난 경보
기와 같은 전기 장비를 수리하거나 개조할 수 있습니다.</t>
      </text>
    </comment>
    <comment authorId="0" ref="W24">
      <text>
        <t xml:space="preserve">친한 척, 유혹, 아부, 따뜻한 성품 등으로 특정 행동 유도. 대항 기능: 매혹, 심리학</t>
      </text>
    </comment>
    <comment authorId="0" ref="AG24">
      <text>
        <t xml:space="preserve">추락할 때 판정 성공 시 피해 감소</t>
      </text>
    </comment>
    <comment authorId="0" ref="C25">
      <text>
        <t xml:space="preserve">고장난 기계 수리, 새 기계 제작</t>
      </text>
    </comment>
    <comment authorId="0" ref="M25">
      <text>
        <t xml:space="preserve">법적인 수단이나 소송 절차에 관한 지식</t>
      </text>
    </comment>
    <comment authorId="0" ref="W25">
      <text>
        <t xml:space="preserve">빠른 말이나 궤변으로 상대를 속이고 착각하게 만듭니다. 대항 기능: 말재주, 심리학.</t>
      </text>
    </comment>
    <comment authorId="0" ref="C26">
      <text>
        <t xml:space="preserve">시대에 따라 썰매 운전, 마차 운전 등으로 변경
승용차나 소형 트럭 운행. 대항 기능: 추적, 미행</t>
      </text>
    </comment>
    <comment authorId="0" ref="M26">
      <text>
        <t xml:space="preserve">문화권 또는 대상의 생활 방식 식별 및 이해</t>
      </text>
    </comment>
    <comment authorId="0" ref="W26">
      <text>
        <t xml:space="preserve">합리적이고 이성적인 주장과 토론으로 상대를 납득 시킵니다. 대항 기능:설득</t>
      </text>
    </comment>
    <comment authorId="0" ref="AG26">
      <text>
        <t xml:space="preserve">특정인 또는 자신이 아닌 사람인 척</t>
      </text>
    </comment>
    <comment authorId="0" ref="C27">
      <text>
        <t xml:space="preserve">탱크, 굴착기, 굴삭기, 각종 대형 건설 장비를 운전하고 조작하는 데 필요합니다.</t>
      </text>
    </comment>
    <comment authorId="0" ref="M27">
      <text>
        <t xml:space="preserve">역사적으로 중요한 사실을 기억, 조상들은 익숙하나 현대에는 잘 모르는 것 판별</t>
      </text>
    </comment>
    <comment authorId="0" ref="W27">
      <text>
        <t xml:space="preserve">국적에 따라 자동 입력됨</t>
      </text>
    </comment>
    <comment authorId="0" ref="AG27">
      <text>
        <t xml:space="preserve">잠행과 숨기 기능이 7판에서
은밀행동으로 통합되었습니다. 들키지 않고 조용히 움직이거나 숨기. 대항 기능: 관찰력, 듣기</t>
      </text>
    </comment>
    <comment authorId="0" ref="C28">
      <text>
        <t xml:space="preserve">특수 탑승장비를 조종하는 기능.
조종할 장비 종류에 따라 나뉩니다. 전문 분야 반드시 기입 필요. (ex. 비행기, 대형선박...)</t>
      </text>
    </comment>
    <comment authorId="0" ref="M28">
      <text>
        <t xml:space="preserve">유물 식별, 연대 확인, 유물 위조 여부 감별, 생활 방식 추론, 멸종 언어 판별</t>
      </text>
    </comment>
    <comment authorId="0" ref="W28">
      <text>
        <t xml:space="preserve">5-판정 없이 언어 식별
10-간단한 대화
30-거래 요청
50-유창함
75-모국어급</t>
      </text>
    </comment>
    <comment authorId="0" ref="AG28">
      <text>
        <t xml:space="preserve">소매치기, 카드 마술, 휴대폰 몰래 사용하기, 물건 숨기기 등이 포함됩니다. 대항 기능: 관찰력</t>
      </text>
    </comment>
    <comment authorId="0" ref="M29">
      <text>
        <t xml:space="preserve">물건의 품질, 사용 재료, 세공 솜씨, 제작 시기, 위조 여부 등을 판별</t>
      </text>
    </comment>
    <comment authorId="0" ref="AG29">
      <text>
        <t xml:space="preserve">문 따기, 열쇠 없이 시동걸기, 지레로 문 뜯기, 경보 시스템 통과, 자물쇠 수리, 열쇠 복제</t>
      </text>
    </comment>
    <comment authorId="0" ref="C30">
      <text>
        <t xml:space="preserve">위치와 좌표를 읽고 지도, 나침반, GPS 등을 다루는 능력입니다</t>
      </text>
    </comment>
    <comment authorId="0" ref="M30">
      <text>
        <t xml:space="preserve">예술/공예 글자를 지우고, 인테리어디자인, 연기, 성악, 요리, 작가, 사진, 미술, 목수, 춤, 조각, 위조, 이발, 미용 등 전문분야를 반드시 적어주세요.</t>
      </text>
    </comment>
    <comment authorId="0" ref="R30">
      <text>
        <t xml:space="preserve">어릴 때 기초만 배우고, 그 이후로는 입에 풀칠하기 바빠 학원에 다니지 못했다.</t>
      </text>
    </comment>
    <comment authorId="0" ref="W30">
      <text>
        <t xml:space="preserve">적당한 물건 또는 투척용 무기를 근력 다이스 스탯(m)만큼 던짐</t>
      </text>
    </comment>
    <comment authorId="0" ref="AG30">
      <text>
        <t xml:space="preserve">연사는 기관단총으로 판정</t>
      </text>
    </comment>
    <comment authorId="0" ref="C31">
      <text>
        <t xml:space="preserve">흔적을 찾아 대상을 따라감. 대항 기능: 은밀행동</t>
      </text>
    </comment>
    <comment authorId="0" ref="W31">
      <text>
        <t xml:space="preserve">아무나 들고 싸울 수 있는 기본적인 무기를 이용하는 전문분야
밀치거나, 던지거나, 무장을 해제하거나, 넘어뜨리는 등의 목표를 달성하겠다고 선어할 때도 근접전 액션을 사용합니다.
하나 이상의 전문분야가 50이상이면 다른 전문분야들도 10씩 증가, 하나 이상의 전문분야가 90이상이면 다른 전문분야들도 추가로 10씩 증가</t>
      </text>
    </comment>
    <comment authorId="0" ref="AG31">
      <text>
        <t xml:space="preserve">연사는 기관단총으로 판정
산탄총을 포함한 단발사격 장총은 모두 이 기능으로 판정합니다.</t>
      </text>
    </comment>
    <comment authorId="0" ref="C32">
      <text>
        <t xml:space="preserve">말을 다루는 전반적인 방법</t>
      </text>
    </comment>
    <comment authorId="0" ref="M32">
      <text>
        <t xml:space="preserve">입술의 움직임으로 대화의 내용 파악. 희귀 기능. 특수한 이유 없이 사용 불가.</t>
      </text>
    </comment>
    <comment authorId="0" ref="BA32">
      <text>
        <t xml:space="preserve">크툴루 신화 지능이 높아질수록 최대치가 자동 감산됩니다.</t>
      </text>
    </comment>
    <comment authorId="0" ref="M33">
      <text>
        <t xml:space="preserve">길들인 동물 훈련, 명령. 희귀 기능. 특수한 이유 없이 사용 불가.</t>
      </text>
    </comment>
    <comment authorId="0" ref="M34">
      <text>
        <t xml:space="preserve">잠수 장비 사용, 관리. 희귀 기능. 특수한 이유 없이 사용 불가.</t>
      </text>
    </comment>
    <comment authorId="0" ref="AG34">
      <text>
        <t xml:space="preserve">활은 라운드마다 1발 사격.
쇠뇌는 기본치가 25지만 쏠 때마다 재장전에 한 라운드 소요.</t>
      </text>
    </comment>
    <comment authorId="0" ref="C35">
      <text>
        <t xml:space="preserve">폭발물을 안전하게 사용, 설치, 해체. 희귀 기능. 특수한 이유 없이 사용 불가.</t>
      </text>
    </comment>
    <comment authorId="0" ref="M35">
      <text>
        <t xml:space="preserve">자발적인 대상에게 트랜스 상태 유도(광기-공포증, 집착증 치료). 희귀 기능. 특수한 이유 없이 사용 불가. 대항 기능: 심리학 또는 정신력(비자발적 대상 한정)</t>
      </text>
    </comment>
    <comment authorId="0" ref="AG35">
      <text>
        <t xml:space="preserve">유탄발사기, 대전차 로켓 등</t>
      </text>
    </comment>
    <comment authorId="0" ref="C36">
      <text>
        <t xml:space="preserve">야전 병기 조작 가능. 희귀 기능. 특수한 이유 없이 사용 불가.</t>
      </text>
    </comment>
    <comment authorId="0" ref="M36">
      <text>
        <t xml:space="preserve">일반적인 것이 아닌 희귀한 영역의 지식(전문 영역 기입 필요, 비밀 지식 글자를 지우고 전문영역을 작성해주세요.). 희귀 기능. 특수한 이유 없이 사용 불가.</t>
      </text>
    </comment>
    <comment authorId="0" ref="AG36">
      <text>
        <t xml:space="preserve">기계에 장착된 것 포함</t>
      </text>
    </comment>
    <comment authorId="0" ref="AL40">
      <text>
        <t xml:space="preserve">사격판정시 이 수치 이상인 경우 총기 고장</t>
      </text>
    </comment>
    <comment authorId="0" ref="B48">
      <text>
        <t xml:space="preserve">첫째 칸은 가장 소중한 물건.
상세 설명을 하고 싶다면 툴팁을 이용 (우클릭&gt;Insert Note).</t>
      </text>
    </comment>
    <comment authorId="0" ref="V48">
      <text>
        <t xml:space="preserve">캐릭터에게 의미있는 관계.
첫번째 칸은 현재 가장 소중한 관계. 상세 설명을 하고 싶다면 툴팁을 이용 (우클릭&gt;Insert Note)</t>
      </text>
    </comment>
    <comment authorId="0" ref="AQ49">
      <text>
        <t xml:space="preserve">랜덤 배정 1d10
1번 굴려서 해당값을 우측에 입력.
마음에 안 들 경우 공란으로 내버려둔다. (리롤 없음)</t>
      </text>
    </comment>
    <comment authorId="0" ref="B50">
      <text>
        <t xml:space="preserve">현재 가장 소중한 물건.</t>
      </text>
    </comment>
    <comment authorId="0" ref="AQ51">
      <text>
        <t xml:space="preserve">랜덤 배정 1d10
1번 굴려서 해당값을 우측에 입력.
마음에 안 들 경우 공란으로 내버려둔다. (리롤 없음)</t>
      </text>
    </comment>
    <comment authorId="0" ref="AQ53">
      <text>
        <t xml:space="preserve">각 세션 클리어후 키퍼의 지시가 있다면 스킬 성장 다이스를 굴려 증가치를 이곳에 입력후, 기능 목록에서 분배합니다. 크툴루 신화는 이곳에서 제외합니다.</t>
      </text>
    </comment>
    <comment authorId="0" ref="B55">
      <text>
        <t xml:space="preserve">자유롭게 작성.
외모: 외적으로 보이는 캐릭터를 묘사. 눈 색, 머리색, 인상 등
성격: 캐릭터의 성격을 묘사.
기타: 그 외 모든 것은 여기에 기록</t>
      </text>
    </comment>
    <comment authorId="0" ref="B67">
      <text>
        <t xml:space="preserve">(기록용) 이 캐릭터로 겪은 시나리오를 기록합니다. 없다면 공란으로 내버려둡니다.</t>
      </text>
    </comment>
    <comment authorId="0" ref="N67">
      <text>
        <t xml:space="preserve">(기록용) 이 캐릭터가 가지고 있는/배운 주문을 기록합니다. 키퍼님께 미리 설명을 드리면 좋습니다. 없다면 공란으로 내버려둡니다.</t>
      </text>
    </comment>
    <comment authorId="0" ref="Z67">
      <text>
        <t xml:space="preserve">(기록용) 이 캐릭터가 현재 가지고 있는 정신적 질환을 서술합니다. 없다면 공란으로 내버려둡니다.</t>
      </text>
    </comment>
    <comment authorId="0" ref="AL67">
      <text>
        <t xml:space="preserve">그 외 키퍼가 시나리오를 진행하며 이 캐릭터에 대해 알아야 할 점이 있다면 적어주세요. (경험 패키지 등)</t>
      </text>
    </comment>
    <comment authorId="0" ref="AY67">
      <text>
        <t xml:space="preserve">http://www.icongenerators.net/pixelavatar.html
● 키퍼의 요청이 있을 때만 필수입니다. (48x48로 저장)</t>
      </text>
    </comment>
    <comment authorId="0" ref="B74">
      <text>
        <t xml:space="preserve">======
ID#AAAAJvb_yno
    (2020-07-05 05:55:29)
Roll20 굴림식들로 초심자는 사용하지 않는 것을 추천합니다.</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플레이어가 입력할 부분은 흰색,
나머지는 자동화입니다.
작은 모니터를 위한 슬림디자인.
이곳에 캐릭터 한마디를 적어주세요.</t>
      </text>
    </comment>
    <comment authorId="0" ref="AZ4">
      <text>
        <t xml:space="preserve">!!이 부분을 지우거나 수정하지 말아주세요!!
앤서님 동의하에 시트용 틀을 제작·수정했습니다. 공개용. 하우스룰이 소량 포함되어 있습니다. 
재배포를 금지합니다! 공유시 이 시트 주소를 공유해주세요.</t>
      </text>
    </comment>
    <comment authorId="0" ref="R8">
      <text>
        <t xml:space="preserve">주사위를 굴려 결정
근력: (3d6)*5		
건강: (3d6)*5
크기: (2d6+6)*5
교육: (2d6+6)*5
외모: (3d6)*5
민첩: (3d6)*5
지능: (2d6+6)*5
정신력: (3d6)*5
행운: (3d6)*5</t>
      </text>
    </comment>
    <comment authorId="0" ref="AQ8">
      <text>
        <t xml:space="preserve">======
ID#AAAAJvb_yRQ
    (2020-07-05 05:55:29)
그림 또는
● www.rinmarugames.com/game/?game_id=421
● http://www.rinmarugames.com/playgame.php?game_link=anime-elf-creator
● http://www.rinmarugames.com/all_games.php?category=16
사용 가능, 위 메뉴 Insert&gt;Images 로 삽입</t>
      </text>
    </comment>
    <comment authorId="0" ref="E12">
      <text>
        <t xml:space="preserve">어느 직업은 선택하느냐에 따라 직업기능점수가 변화합니다. 잘 모르겠는 경우엔, 마스터에게 질문하고 선택해 보도록 합시다.</t>
      </text>
    </comment>
    <comment authorId="0" ref="L12">
      <text>
        <t xml:space="preserve">직업유형에 원하는 직업이 없을 경우 가장 비슷한 특성치를 사용할 것 같은 직업을 고르시거나 기타를 선택하시고 여기에 커스텀 직업명을 넣어주세요.</t>
      </text>
    </comment>
    <comment authorId="0" ref="L13">
      <text>
        <t xml:space="preserve">탐사자의 나이는 플레이어가 15~89세 중에서 마음대로 선택합니다. 이 범위를 벗어나는 나이를 선택하고 싶은 플레이어가 있으면 수호자 재량으로 허용할 수 있습니다. 나이에 따른 수정사항은 누적되지 않습니다. 선택한 나이에 나온 항목만 적용하세요.
15 ~ 19세 :근력과 크기 사이에서 총 5점을 워하는대로 뺍니다. 교육에서 5점을 뺍니다. 운 수치를 한 번 더 굴려서 높은 쪽을 씁니다.
20 ~ 39세 : 교육의 향상판정을 한 번 합니다.
40 ~ 49세 : 교육의 향상 판정을 두 번 하고 근력, 건강, 민첩성 사이에서 총 5점을 원하는 대로 뺍니다. 외모에서 5점을 뺍니다.
50 ~ 59세 : 교육의 향상 판정을 세 번 하고 근력, 건강, 민첩성 사이에서 총 10점을 원하는 대로 뺍니다. 외모에서 10점을 뺍니다.
60 ~ 69  : 교육의 향상 판정을 네 번 하고 근력, 건강, 민첩성 사이에서 총 20점을 원하는 대로 뺍니다. 외모에서 15점을 뺍니다.
70 ~ 79  : 교육의 향상 판정을 네 번 하고 근력, 건강, 민첩성 사이에서 총 40점을 원하는 대로 뺍니다. 외모에서 20점을 뺍니다.
80 ~ 89  : 교육의 향상 판정을 네 번 하고 근력, 건강, 민첩성 사이에서 총 80점을 원하는 대로 뺍니다. 외모에서 25점을 뺍니다.</t>
      </text>
    </comment>
    <comment authorId="0" ref="AH14">
      <text>
        <t xml:space="preserve">행운,피해,이성,이성손실을 제외하면 운을 소모해서 결과를 바꿀수 있음
단, 강행,대성공,대실패,총기고장은 제외</t>
      </text>
    </comment>
    <comment authorId="0" ref="L15">
      <text>
        <t xml:space="preserve">현대, 1920, 미래 등 캐릭터가 살고 있는 시대를 자유롭게 입력</t>
      </text>
    </comment>
    <comment authorId="0" ref="B17">
      <text>
        <t xml:space="preserve">점수를 배분한 기능의 이름은 자동으로 강조됩니다.
기능 이름 왼쪽의 체크박스는 시나리오 안에서 해당 스킬을 성공했을 경우 체크, 시나리오 종료후 스킬성장을 위한 기록 용도입니다.</t>
      </text>
    </comment>
    <comment authorId="0" ref="O17">
      <text>
        <t xml:space="preserve">직업과 관련된 기능에 배분(최소 8개 이상)</t>
      </text>
    </comment>
    <comment authorId="0" ref="X17">
      <text>
        <t xml:space="preserve">자기가 원하는 기능에 배분
캐릭터가 살아오면서 취미나 백그라운드 등의 이유로 습득한 기능들입니다.</t>
      </text>
    </comment>
    <comment authorId="0" ref="C19">
      <text>
        <t xml:space="preserve">대항 기능: 은밀행동</t>
      </text>
    </comment>
    <comment authorId="0" ref="G19">
      <text>
        <t xml:space="preserve">======
ID#AAAAJvb_yu8
    (2020-07-05 05:55:29)
기본값</t>
      </text>
    </comment>
    <comment authorId="0" ref="H19">
      <text>
        <t xml:space="preserve">======
ID#AAAAJvb_yoM
    (2020-07-05 05:55:29)
기능점수 배분값</t>
      </text>
    </comment>
    <comment authorId="0" ref="I19">
      <text>
        <t xml:space="preserve">======
ID#AAAAJvb_yro
    (2020-07-05 05:55:29)
기본값+배분값
=일반 판정에 쓰는 값</t>
      </text>
    </comment>
    <comment authorId="0" ref="J19">
      <text>
        <t xml:space="preserve">======
ID#AAAAJvb_yak
    (2020-07-05 05:55:29)
어려운 판정에 쓰는 1/2 값</t>
      </text>
    </comment>
    <comment authorId="0" ref="K19">
      <text>
        <t xml:space="preserve">======
ID#AAAAJvb_y2c
    (2020-07-05 05:55:29)
극단적 판정에 쓰는 1/5 값</t>
      </text>
    </comment>
    <comment authorId="0" ref="M19">
      <text>
        <t xml:space="preserve">0:무일푼, 1~:가난,10~:보통, 50~:부유, 90~:자산가, 99:갑부</t>
      </text>
    </comment>
    <comment authorId="0" ref="W19">
      <text>
        <t xml:space="preserve">크툴루 신화에 대한 이해도를 반영합니다. 학문적인 기능처럼 연마를 통해 축적되는 지식은 아닙니다. 신화에 노출되면 이성이 침식됩니다.
(이성 최대치가 감소)
신화 수치의 증가량은 수호자가 정합니다.</t>
      </text>
    </comment>
    <comment authorId="0" ref="AB19">
      <text>
        <t xml:space="preserve">======
ID#AAAAJvb_yNg
    (2020-07-05 05:55:29)
신화 수치의 증가량은 수호자가 정합니다. 플레이어가 임의로 올릴 수 없습니다.</t>
      </text>
    </comment>
    <comment authorId="0" ref="AG19">
      <text>
        <t xml:space="preserve">사고, 부상, 질병, 중독등을 진단하고 치료. 치료에 1시간 소요. 성공시 1d3회복.
빈사 상태는 응급처치로 안정시켜야 의료판정 가능.</t>
      </text>
    </comment>
    <comment authorId="0" ref="C20">
      <text>
        <t xml:space="preserve">각종 소리를 듣고 이해, 해석</t>
      </text>
    </comment>
    <comment authorId="0" ref="W20">
      <text>
        <t xml:space="preserve">오컬트 관련 개념, 물품, 마법서 등을 판별(크툴루 관련 제외). 타로나 별자리 포함</t>
      </text>
    </comment>
    <comment authorId="0" ref="AG20">
      <text>
        <t xml:space="preserve">1시간 이내에 다친 플레이어의 hp 1 치료, 기절 회복, 빈사 회복</t>
      </text>
    </comment>
    <comment authorId="0" ref="C21">
      <text>
        <t xml:space="preserve">책, 문서들 또는 데이터베이스에서 원하는 정보 탐색</t>
      </text>
    </comment>
    <comment authorId="0" ref="M21">
      <text>
        <t xml:space="preserve">전통적이고 비과학적인 지식과 개인적인 관찰을 의미합니다.
농부, 어부, 또는 취미로 연구하는 사람 등이 가질 법한 지식 기능입니다.</t>
      </text>
    </comment>
    <comment authorId="0" ref="W21">
      <text>
        <t xml:space="preserve">일시적으로 광기를 치료하고 이성을 회복시킵니다.
한 달간 시도하여(성공시+1d3, 대실패시-1d6)</t>
      </text>
    </comment>
    <comment authorId="0" ref="AG21">
      <text>
        <t xml:space="preserve">극한 환경이나 야생에서 생존하는 방법에 관한 지식. 사냥, 피난처, 위험요소 등에 관한 지식이 포함되어 있습니다. 특정 환경을 반드시 기입해야 합니다. (사막, 바다, 숲, 극지방 등)</t>
      </text>
    </comment>
    <comment authorId="0" ref="C22">
      <text>
        <t xml:space="preserve">컴퓨터를 특수하게 사용할 경우 판정
프로그래밍, 데이터 분석, 보안 침투, 네트워크 탐색, 침입이나 바이러스 탐지 또는 악용</t>
      </text>
    </comment>
    <comment authorId="0" ref="M22">
      <text>
        <t xml:space="preserve">공학, 기상학, 동물학, 물리학, 생물학, 수사과학, 수학(기본 수치 10), 식물학, 암호학, 약학, 지질학, 천문학, 화학 중 선택 입력</t>
      </text>
    </comment>
    <comment authorId="0" ref="W22">
      <text>
        <t xml:space="preserve">목표 대상의 심리상태를 파악합니다. 대항 기능: 말재주, 매혹, 설득, 위협, 변장</t>
      </text>
    </comment>
    <comment authorId="0" ref="AG22">
      <text>
        <t xml:space="preserve">액체 위나 속에서 이동하는 능력</t>
      </text>
    </comment>
    <comment authorId="0" ref="C23">
      <text>
        <t xml:space="preserve">마이크로칩과 기판이 들어가는 현대기기를 수리하거나 다룹니다.</t>
      </text>
    </comment>
    <comment authorId="0" ref="W23">
      <text>
        <t xml:space="preserve">폭력적 협박, 공격적 태도. 대항 기능: 위협, 심리학</t>
      </text>
    </comment>
    <comment authorId="0" ref="AG23">
      <text>
        <t xml:space="preserve">나무, 벽, 그 외 수직면을 오를 수 있습니다. 밧줄이나 등반장비를 사용할 수 있습니다.</t>
      </text>
    </comment>
    <comment authorId="0" ref="C24">
      <text>
        <t xml:space="preserve">1920녀대 기능
자동 점화 장치, 전기 모터, 퓨즈 박스, 도난 경보
기와 같은 전기 장비를 수리하거나 개조할 수 있습니다.</t>
      </text>
    </comment>
    <comment authorId="0" ref="W24">
      <text>
        <t xml:space="preserve">친한 척, 유혹, 아부, 따뜻한 성품 등으로 특정 행동 유도. 대항 기능: 매혹, 심리학</t>
      </text>
    </comment>
    <comment authorId="0" ref="AG24">
      <text>
        <t xml:space="preserve">추락할 때 판정 성공 시 피해 감소</t>
      </text>
    </comment>
    <comment authorId="0" ref="C25">
      <text>
        <t xml:space="preserve">1920년대에는 전기수리로 대체
고장난 기계 수리, 새 기계 제작</t>
      </text>
    </comment>
    <comment authorId="0" ref="M25">
      <text>
        <t xml:space="preserve">법적인 수단이나 소송 절차에 관한 지식</t>
      </text>
    </comment>
    <comment authorId="0" ref="W25">
      <text>
        <t xml:space="preserve">빠른 말이나 궤변으로 상대를 속이고 착각하게 만듭니다. 대항 기능: 말재주, 심리학.</t>
      </text>
    </comment>
    <comment authorId="0" ref="C26">
      <text>
        <t xml:space="preserve">시대에 따라 썰매 운전, 마차 운전 등으로 변경
승용차나 소형 트럭 운행. 대항 기능: 추적, 미행</t>
      </text>
    </comment>
    <comment authorId="0" ref="M26">
      <text>
        <t xml:space="preserve">문화권 또는 대상의 생활 방식 식별 및 이해</t>
      </text>
    </comment>
    <comment authorId="0" ref="W26">
      <text>
        <t xml:space="preserve">합리적이고 이성적인 주장과 토론으로 상대를 납득 시킵니다. 대항 기능:설득</t>
      </text>
    </comment>
    <comment authorId="0" ref="AG26">
      <text>
        <t xml:space="preserve">특정인 또는 자신이 아닌 사람인 척</t>
      </text>
    </comment>
    <comment authorId="0" ref="C27">
      <text>
        <t xml:space="preserve">탱크, 굴착기, 굴삭기, 각종 대형 건설 장비를 운전하고 조작하는 데 필요합니다.</t>
      </text>
    </comment>
    <comment authorId="0" ref="M27">
      <text>
        <t xml:space="preserve">역사적으로 중요한 사실을 기억, 조상들은 익숙하나 현대에는 잘 모르는 것 판별</t>
      </text>
    </comment>
    <comment authorId="0" ref="W27">
      <text>
        <t xml:space="preserve">국적에 따라 자동 입력됨</t>
      </text>
    </comment>
    <comment authorId="0" ref="AG27">
      <text>
        <t xml:space="preserve">잠행과 숨기 기능이 7판에서
은밀행동으로 통합되었습니다. 들키지 않고 조용히 움직이거나 숨기. 대항 기능: 관찰력, 듣기</t>
      </text>
    </comment>
    <comment authorId="0" ref="C28">
      <text>
        <t xml:space="preserve">특수 탑승장비를 조종하는 기능.
조종할 장비 종류에 따라 나뉩니다. 전문 분야 반드시 기입 필요. (ex. 비행기, 대형선박...)</t>
      </text>
    </comment>
    <comment authorId="0" ref="M28">
      <text>
        <t xml:space="preserve">유물 식별, 연대 확인, 유물 위조 여부 감별, 생활 방식 추론, 멸종 언어 판별</t>
      </text>
    </comment>
    <comment authorId="0" ref="W28">
      <text>
        <t xml:space="preserve">5-판정 없이 언어 식별
10-간단한 대화
30-거래 요청
50-유창함
75-모국어급</t>
      </text>
    </comment>
    <comment authorId="0" ref="AG28">
      <text>
        <t xml:space="preserve">소매치기, 카드 마술, 휴대폰 몰래 사용하기, 물건 숨기기 등이 포함됩니다. 대항 기능: 관찰력</t>
      </text>
    </comment>
    <comment authorId="0" ref="M29">
      <text>
        <t xml:space="preserve">물건의 품질, 사용 재료, 세공 솜씨, 제작 시기, 위조 여부 등을 판별</t>
      </text>
    </comment>
    <comment authorId="0" ref="AG29">
      <text>
        <t xml:space="preserve">문 따기, 열쇠 없이 시동걸기, 지레로 문 뜯기, 경보 시스템 통과, 자물쇠 수리, 열쇠 복제</t>
      </text>
    </comment>
    <comment authorId="0" ref="C30">
      <text>
        <t xml:space="preserve">위치와 좌표를 읽고 지도, 나침반, GPS 등을 다루는 능력입니다</t>
      </text>
    </comment>
    <comment authorId="0" ref="M30">
      <text>
        <t xml:space="preserve">예술/공예 글자를 지우고, 인테리어디자인, 연기, 성악, 요리, 작가, 사진, 미술, 목수, 춤, 조각, 위조, 이발, 미용 등 전문분야를 반드시 적어주세요.</t>
      </text>
    </comment>
    <comment authorId="0" ref="W30">
      <text>
        <t xml:space="preserve">적당한 물건 또는 투척용 무기를 근력 다이스 스탯(m)만큼 던짐</t>
      </text>
    </comment>
    <comment authorId="0" ref="AG30">
      <text>
        <t xml:space="preserve">연사는 기관단총으로 판정</t>
      </text>
    </comment>
    <comment authorId="0" ref="C31">
      <text>
        <t xml:space="preserve">흔적을 찾아 대상을 따라감. 대항 기능: 은밀행동</t>
      </text>
    </comment>
    <comment authorId="0" ref="W31">
      <text>
        <t xml:space="preserve">아무나 들고 싸울 수 있는 기본적인 무기를 이용하는 전문분야
밀치거나, 던지거나, 무장을 해제하거나, 넘어뜨리는 등의 목표를 달성하겠다고 선어할 때도 근접전 액션을 사용합니다.
하나 이상의 전문분야가 50이상이면 다른 전문분야들도 10씩 증가, 하나 이상의 전문분야가 90이상이면 다른 전문분야들도 추가로 10씩 증가</t>
      </text>
    </comment>
    <comment authorId="0" ref="AG31">
      <text>
        <t xml:space="preserve">연사는 기관단총으로 판정
산탄총을 포함한 단발사격 장총은 모두 이 기능으로 판정합니다.</t>
      </text>
    </comment>
    <comment authorId="0" ref="C32">
      <text>
        <t xml:space="preserve">말을 다루는 전반적인 방법</t>
      </text>
    </comment>
    <comment authorId="0" ref="M32">
      <text>
        <t xml:space="preserve">입술의 움직임으로 대화의 내용 파악. 희귀 기능. 특수한 이유 없이 사용 불가.</t>
      </text>
    </comment>
    <comment authorId="0" ref="BA32">
      <text>
        <t xml:space="preserve">크툴루 신화 지능이 높아질수록 최대치가 자동 감산됩니다.</t>
      </text>
    </comment>
    <comment authorId="0" ref="M33">
      <text>
        <t xml:space="preserve">길들인 동물 훈련, 명령. 희귀 기능. 특수한 이유 없이 사용 불가.</t>
      </text>
    </comment>
    <comment authorId="0" ref="M34">
      <text>
        <t xml:space="preserve">잠수 장비 사용, 관리. 희귀 기능. 특수한 이유 없이 사용 불가.</t>
      </text>
    </comment>
    <comment authorId="0" ref="AG34">
      <text>
        <t xml:space="preserve">활은 라운드마다 1발 사격.
쇠뇌는 기본치가 25지만 쏠 때마다 재장전에 한 라운드 소요.</t>
      </text>
    </comment>
    <comment authorId="0" ref="C35">
      <text>
        <t xml:space="preserve">폭발물을 안전하게 사용, 설치, 해체. 희귀 기능. 특수한 이유 없이 사용 불가.</t>
      </text>
    </comment>
    <comment authorId="0" ref="M35">
      <text>
        <t xml:space="preserve">자발적인 대상에게 트랜스 상태 유도(광기-공포증, 집착증 치료). 희귀 기능. 특수한 이유 없이 사용 불가. 대항 기능: 심리학 또는 정신력(비자발적 대상 한정)</t>
      </text>
    </comment>
    <comment authorId="0" ref="AG35">
      <text>
        <t xml:space="preserve">유탄발사기, 대전차 로켓 등</t>
      </text>
    </comment>
    <comment authorId="0" ref="C36">
      <text>
        <t xml:space="preserve">야전 병기 조작 가능. 희귀 기능. 특수한 이유 없이 사용 불가.</t>
      </text>
    </comment>
    <comment authorId="0" ref="M36">
      <text>
        <t xml:space="preserve">일반적인 것이 아닌 희귀한 영역의 지식(전문 영역 기입 필요, 비밀 지식 글자를 지우고 전문영역을 작성해주세요.). 희귀 기능. 특수한 이유 없이 사용 불가.</t>
      </text>
    </comment>
    <comment authorId="0" ref="AG36">
      <text>
        <t xml:space="preserve">기계에 장착된 것 포함</t>
      </text>
    </comment>
    <comment authorId="0" ref="AL40">
      <text>
        <t xml:space="preserve">사격판정시 이 수치 이상인 경우 총기 고장</t>
      </text>
    </comment>
    <comment authorId="0" ref="B48">
      <text>
        <t xml:space="preserve">첫째 칸은 가장 소중한 물건.
상세 설명을 하고 싶다면 툴팁을 이용 (우클릭&gt;Insert Note).</t>
      </text>
    </comment>
    <comment authorId="0" ref="V48">
      <text>
        <t xml:space="preserve">캐릭터에게 의미있는 관계.
첫번째 칸은 현재 가장 소중한 관계. 상세 설명을 하고 싶다면 툴팁을 이용 (우클릭&gt;Insert Note)</t>
      </text>
    </comment>
    <comment authorId="0" ref="AQ49">
      <text>
        <t xml:space="preserve">랜덤 배정 1d10
1번 굴려서 해당값을 우측에 입력.
마음에 안 들 경우 공란으로 내버려둔다. (리롤 없음)</t>
      </text>
    </comment>
    <comment authorId="0" ref="B50">
      <text>
        <t xml:space="preserve">현재 가장 소중한 물건</t>
      </text>
    </comment>
    <comment authorId="0" ref="V50">
      <text>
        <t xml:space="preserve">현재 가장 소중한 관계</t>
      </text>
    </comment>
    <comment authorId="0" ref="AQ59">
      <text>
        <t xml:space="preserve">랜덤 배정 1d10
1번 굴려서 해당값을 우측에 입력.
마음에 안 들 경우 공란으로 내버려둔다. (리롤 없음)</t>
      </text>
    </comment>
    <comment authorId="0" ref="AQ61">
      <text>
        <t xml:space="preserve">각 세션 클리어후 키퍼의 지시가 있다면 스킬 성장 다이스를 굴려 증가치를 이곳에 입력후, 기능 목록에서 분배합니다. 크툴루 신화는 이곳에서 제외합니다.</t>
      </text>
    </comment>
    <comment authorId="0" ref="B63">
      <text>
        <t xml:space="preserve">자유롭게 작성.
외모: 외적으로 보이는 캐릭터를 묘사. 눈 색, 머리색, 인상 등
성격: 캐릭터의 성격을 묘사.
기타: 그 외 모든 것은 여기에 기록</t>
      </text>
    </comment>
    <comment authorId="0" ref="B75">
      <text>
        <t xml:space="preserve">(기록용) 이 캐릭터로 겪은 시나리오를 기록합니다. 없다면 공란으로 내버려둡니다.</t>
      </text>
    </comment>
    <comment authorId="0" ref="N75">
      <text>
        <t xml:space="preserve">(기록용) 이 캐릭터가 가지고 있는/배운 주문을 기록합니다. 키퍼님께 미리 설명을 드리면 좋습니다. 없다면 공란으로 내버려둡니다.</t>
      </text>
    </comment>
    <comment authorId="0" ref="Z75">
      <text>
        <t xml:space="preserve">(기록용) 이 캐릭터가 현재 가지고 있는 정신적 질환을 서술합니다. 없다면 공란으로 내버려둡니다.</t>
      </text>
    </comment>
    <comment authorId="0" ref="AL75">
      <text>
        <t xml:space="preserve">그 외 키퍼가 시나리오를 진행하며 이 캐릭터에 대해 알아야 할 점이 있다면 적어주세요. (경험 패키지 등)</t>
      </text>
    </comment>
    <comment authorId="0" ref="AY75">
      <text>
        <t xml:space="preserve">http://www.icongenerators.net/pixelavatar.html
● 키퍼의 요청이 있을 때만 필수입니다. (48x48로 저장)</t>
      </text>
    </comment>
    <comment authorId="0" ref="B82">
      <text>
        <t xml:space="preserve">======
ID#AAAAJvb_yno
    (2020-07-05 05:55:29)
Roll20 굴림식들로 초심자는 사용하지 않는 것을 추천합니다.</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플레이어가 입력할 부분은 흰색,
나머지는 자동화입니다.
작은 모니터를 위한 슬림디자인.
이곳에 캐릭터 한마디를 적어주세요.</t>
      </text>
    </comment>
    <comment authorId="0" ref="AZ4">
      <text>
        <t xml:space="preserve">!!이 부분을 지우거나 수정하지 말아주세요!!
앤서님 동의하에 시트용 틀을 제작·수정했습니다. 공개용. 하우스룰이 소량 포함되어 있습니다. 
재배포를 금지합니다! 공유시 이 시트 주소를 공유해주세요.</t>
      </text>
    </comment>
    <comment authorId="0" ref="R8">
      <text>
        <t xml:space="preserve">주사위를 굴려 결정
근력: (3d6)*5		
건강: (3d6)*5
크기: (2d6+6)*5
교육: (2d6+6)*5
외모: (3d6)*5
민첩: (3d6)*5
지능: (2d6+6)*5
정신력: (3d6)*5
행운: (3d6)*5</t>
      </text>
    </comment>
    <comment authorId="0" ref="AQ8">
      <text>
        <t xml:space="preserve">======
ID#AAAAJvb_yRQ
    (2020-07-05 05:55:29)
그림 또는
● www.rinmarugames.com/game/?game_id=421
● http://www.rinmarugames.com/playgame.php?game_link=anime-elf-creator
● http://www.rinmarugames.com/all_games.php?category=16
사용 가능, 위 메뉴 Insert&gt;Images 로 삽입</t>
      </text>
    </comment>
    <comment authorId="0" ref="E12">
      <text>
        <t xml:space="preserve">어느 직업은 선택하느냐에 따라 직업기능점수가 변화합니다. 잘 모르겠는 경우엔, 마스터에게 질문하고 선택해 보도록 합시다.</t>
      </text>
    </comment>
    <comment authorId="0" ref="L12">
      <text>
        <t xml:space="preserve">직업유형에 원하는 직업이 없을 경우 가장 비슷한 특성치를 사용할 것 같은 직업을 고르시거나 기타를 선택하시고 여기에 커스텀 직업명을 넣어주세요.</t>
      </text>
    </comment>
    <comment authorId="0" ref="L13">
      <text>
        <t xml:space="preserve">탐사자의 나이는 플레이어가 15~89세 중에서 마음대로 선택합니다. 이 범위를 벗어나는 나이를 선택하고 싶은 플레이어가 있으면 수호자 재량으로 허용할 수 있습니다. 나이에 따른 수정사항은 누적되지 않습니다. 선택한 나이에 나온 항목만 적용하세요.
15 ~ 19세 :근력과 크기 사이에서 총 5점을 워하는대로 뺍니다. 교육에서 5점을 뺍니다. 운 수치를 한 번 더 굴려서 높은 쪽을 씁니다.
20 ~ 39세 : 교육의 향상판정을 한 번 합니다.
40 ~ 49세 : 교육의 향상 판정을 두 번 하고 근력, 건강, 민첩성 사이에서 총 5점을 원하는 대로 뺍니다. 외모에서 5점을 뺍니다.
50 ~ 59세 : 교육의 향상 판정을 세 번 하고 근력, 건강, 민첩성 사이에서 총 10점을 원하는 대로 뺍니다. 외모에서 10점을 뺍니다.
60 ~ 69  : 교육의 향상 판정을 네 번 하고 근력, 건강, 민첩성 사이에서 총 20점을 원하는 대로 뺍니다. 외모에서 15점을 뺍니다.
70 ~ 79  : 교육의 향상 판정을 네 번 하고 근력, 건강, 민첩성 사이에서 총 40점을 원하는 대로 뺍니다. 외모에서 20점을 뺍니다.
80 ~ 89  : 교육의 향상 판정을 네 번 하고 근력, 건강, 민첩성 사이에서 총 80점을 원하는 대로 뺍니다. 외모에서 25점을 뺍니다.</t>
      </text>
    </comment>
    <comment authorId="0" ref="AH14">
      <text>
        <t xml:space="preserve">행운,피해,이성,이성손실을 제외하면 운을 소모해서 결과를 바꿀수 있음
단, 강행,대성공,대실패,총기고장은 제외</t>
      </text>
    </comment>
    <comment authorId="0" ref="L15">
      <text>
        <t xml:space="preserve">현대, 1920, 미래 등 캐릭터가 살고 있는 시대를 자유롭게 입력</t>
      </text>
    </comment>
    <comment authorId="0" ref="B17">
      <text>
        <t xml:space="preserve">점수를 배분한 기능의 이름은 자동으로 강조됩니다.
기능 이름 왼쪽의 체크박스는 시나리오 안에서 해당 스킬을 성공했을 경우 체크, 시나리오 종료후 스킬성장을 위한 기록 용도입니다.</t>
      </text>
    </comment>
    <comment authorId="0" ref="O17">
      <text>
        <t xml:space="preserve">직업과 관련된 기능에 배분(최소 8개 이상)</t>
      </text>
    </comment>
    <comment authorId="0" ref="X17">
      <text>
        <t xml:space="preserve">자기가 원하는 기능에 배분
캐릭터가 살아오면서 취미나 백그라운드 등의 이유로 습득한 기능들입니다.</t>
      </text>
    </comment>
    <comment authorId="0" ref="C19">
      <text>
        <t xml:space="preserve">대항 기능: 은밀행동</t>
      </text>
    </comment>
    <comment authorId="0" ref="G19">
      <text>
        <t xml:space="preserve">======
ID#AAAAJvb_yu8
    (2020-07-05 05:55:29)
기본값</t>
      </text>
    </comment>
    <comment authorId="0" ref="H19">
      <text>
        <t xml:space="preserve">======
ID#AAAAJvb_yoM
    (2020-07-05 05:55:29)
기능점수 배분값</t>
      </text>
    </comment>
    <comment authorId="0" ref="I19">
      <text>
        <t xml:space="preserve">======
ID#AAAAJvb_yro
    (2020-07-05 05:55:29)
기본값+배분값
=일반 판정에 쓰는 값</t>
      </text>
    </comment>
    <comment authorId="0" ref="J19">
      <text>
        <t xml:space="preserve">======
ID#AAAAJvb_yak
    (2020-07-05 05:55:29)
어려운 판정에 쓰는 1/2 값</t>
      </text>
    </comment>
    <comment authorId="0" ref="K19">
      <text>
        <t xml:space="preserve">======
ID#AAAAJvb_y2c
    (2020-07-05 05:55:29)
극단적 판정에 쓰는 1/5 값</t>
      </text>
    </comment>
    <comment authorId="0" ref="M19">
      <text>
        <t xml:space="preserve">0:무일푼, 1~:가난,10~:보통, 50~:부유, 90~:자산가, 99:갑부</t>
      </text>
    </comment>
    <comment authorId="0" ref="W19">
      <text>
        <t xml:space="preserve">크툴루 신화에 대한 이해도를 반영합니다. 학문적인 기능처럼 연마를 통해 축적되는 지식은 아닙니다. 신화에 노출되면 이성이 침식됩니다.
(이성 최대치가 감소)
신화 수치의 증가량은 수호자가 정합니다.</t>
      </text>
    </comment>
    <comment authorId="0" ref="AB19">
      <text>
        <t xml:space="preserve">======
ID#AAAAJvb_yNg
    (2020-07-05 05:55:29)
신화 수치의 증가량은 수호자가 정합니다. 플레이어가 임의로 올릴 수 없습니다.</t>
      </text>
    </comment>
    <comment authorId="0" ref="AG19">
      <text>
        <t xml:space="preserve">사고, 부상, 질병, 중독등을 진단하고 치료. 치료에 1시간 소요. 성공시 1d3회복.
빈사 상태는 응급처치로 안정시켜야 의료판정 가능.</t>
      </text>
    </comment>
    <comment authorId="0" ref="C20">
      <text>
        <t xml:space="preserve">각종 소리를 듣고 이해, 해석</t>
      </text>
    </comment>
    <comment authorId="0" ref="W20">
      <text>
        <t xml:space="preserve">오컬트 관련 개념, 물품, 마법서 등을 판별(크툴루 관련 제외). 타로나 별자리 포함</t>
      </text>
    </comment>
    <comment authorId="0" ref="AG20">
      <text>
        <t xml:space="preserve">1시간 이내에 다친 플레이어의 hp 1 치료, 기절 회복, 빈사 회복</t>
      </text>
    </comment>
    <comment authorId="0" ref="C21">
      <text>
        <t xml:space="preserve">책, 문서들 또는 데이터베이스에서 원하는 정보 탐색</t>
      </text>
    </comment>
    <comment authorId="0" ref="M21">
      <text>
        <t xml:space="preserve">전통적이고 비과학적인 지식과 개인적인 관찰을 의미합니다.
농부, 어부, 또는 취미로 연구하는 사람 등이 가질 법한 지식 기능입니다.</t>
      </text>
    </comment>
    <comment authorId="0" ref="W21">
      <text>
        <t xml:space="preserve">일시적으로 광기를 치료하고 이성을 회복시킵니다.
한 달간 시도하여(성공시+1d3, 대실패시-1d6)</t>
      </text>
    </comment>
    <comment authorId="0" ref="AG21">
      <text>
        <t xml:space="preserve">극한 환경이나 야생에서 생존하는 방법에 관한 지식. 사냥, 피난처, 위험요소 등에 관한 지식이 포함되어 있습니다. 특정 환경을 반드시 기입해야 합니다. (사막, 바다, 숲, 극지방 등)</t>
      </text>
    </comment>
    <comment authorId="0" ref="C22">
      <text>
        <t xml:space="preserve">컴퓨터를 특수하게 사용할 경우 판정
프로그래밍, 데이터 분석, 보안 침투, 네트워크 탐색, 침입이나 바이러스 탐지 또는 악용</t>
      </text>
    </comment>
    <comment authorId="0" ref="M22">
      <text>
        <t xml:space="preserve">공학, 기상학, 동물학, 물리학, 생물학, 수사과학, 수학(기본 수치 10), 식물학, 암호학, 약학, 지질학, 천문학, 화학 중 선택 입력</t>
      </text>
    </comment>
    <comment authorId="0" ref="W22">
      <text>
        <t xml:space="preserve">목표 대상의 심리상태를 파악합니다. 대항 기능: 말재주, 매혹, 설득, 위협, 변장</t>
      </text>
    </comment>
    <comment authorId="0" ref="AG22">
      <text>
        <t xml:space="preserve">액체 위나 속에서 이동하는 능력</t>
      </text>
    </comment>
    <comment authorId="0" ref="C23">
      <text>
        <t xml:space="preserve">마이크로칩과 기판이 들어가는 현대기기를 수리하거나 다룹니다.</t>
      </text>
    </comment>
    <comment authorId="0" ref="W23">
      <text>
        <t xml:space="preserve">폭력적 협박, 공격적 태도. 대항 기능: 위협, 심리학</t>
      </text>
    </comment>
    <comment authorId="0" ref="AG23">
      <text>
        <t xml:space="preserve">나무, 벽, 그 외 수직면을 오를 수 있습니다. 밧줄이나 등반장비를 사용할 수 있습니다.</t>
      </text>
    </comment>
    <comment authorId="0" ref="C24">
      <text>
        <t xml:space="preserve">1920녀대 기능
자동 점화 장치, 전기 모터, 퓨즈 박스, 도난 경보
기와 같은 전기 장비를 수리하거나 개조할 수 있습니다.</t>
      </text>
    </comment>
    <comment authorId="0" ref="W24">
      <text>
        <t xml:space="preserve">친한 척, 유혹, 아부, 따뜻한 성품 등으로 특정 행동 유도. 대항 기능: 매혹, 심리학</t>
      </text>
    </comment>
    <comment authorId="0" ref="AG24">
      <text>
        <t xml:space="preserve">추락할 때 판정 성공 시 피해 감소</t>
      </text>
    </comment>
    <comment authorId="0" ref="C25">
      <text>
        <t xml:space="preserve">1920년대에는 전기수리로 대체
고장난 기계 수리, 새 기계 제작</t>
      </text>
    </comment>
    <comment authorId="0" ref="M25">
      <text>
        <t xml:space="preserve">법적인 수단이나 소송 절차에 관한 지식</t>
      </text>
    </comment>
    <comment authorId="0" ref="W25">
      <text>
        <t xml:space="preserve">빠른 말이나 궤변으로 상대를 속이고 착각하게 만듭니다. 대항 기능: 말재주, 심리학.</t>
      </text>
    </comment>
    <comment authorId="0" ref="C26">
      <text>
        <t xml:space="preserve">시대에 따라 썰매 운전, 마차 운전 등으로 변경
승용차나 소형 트럭 운행. 대항 기능: 추적, 미행</t>
      </text>
    </comment>
    <comment authorId="0" ref="M26">
      <text>
        <t xml:space="preserve">문화권 또는 대상의 생활 방식 식별 및 이해</t>
      </text>
    </comment>
    <comment authorId="0" ref="W26">
      <text>
        <t xml:space="preserve">합리적이고 이성적인 주장과 토론으로 상대를 납득 시킵니다. 대항 기능:설득</t>
      </text>
    </comment>
    <comment authorId="0" ref="AG26">
      <text>
        <t xml:space="preserve">특정인 또는 자신이 아닌 사람인 척</t>
      </text>
    </comment>
    <comment authorId="0" ref="C27">
      <text>
        <t xml:space="preserve">탱크, 굴착기, 굴삭기, 각종 대형 건설 장비를 운전하고 조작하는 데 필요합니다.</t>
      </text>
    </comment>
    <comment authorId="0" ref="M27">
      <text>
        <t xml:space="preserve">역사적으로 중요한 사실을 기억, 조상들은 익숙하나 현대에는 잘 모르는 것 판별</t>
      </text>
    </comment>
    <comment authorId="0" ref="W27">
      <text>
        <t xml:space="preserve">국적에 따라 자동 입력됨</t>
      </text>
    </comment>
    <comment authorId="0" ref="AG27">
      <text>
        <t xml:space="preserve">잠행과 숨기 기능이 7판에서
은밀행동으로 통합되었습니다. 들키지 않고 조용히 움직이거나 숨기. 대항 기능: 관찰력, 듣기</t>
      </text>
    </comment>
    <comment authorId="0" ref="C28">
      <text>
        <t xml:space="preserve">특수 탑승장비를 조종하는 기능.
조종할 장비 종류에 따라 나뉩니다. 전문 분야 반드시 기입 필요. (ex. 비행기, 대형선박...)</t>
      </text>
    </comment>
    <comment authorId="0" ref="M28">
      <text>
        <t xml:space="preserve">유물 식별, 연대 확인, 유물 위조 여부 감별, 생활 방식 추론, 멸종 언어 판별</t>
      </text>
    </comment>
    <comment authorId="0" ref="W28">
      <text>
        <t xml:space="preserve">5-판정 없이 언어 식별
10-간단한 대화
30-거래 요청
50-유창함
75-모국어급</t>
      </text>
    </comment>
    <comment authorId="0" ref="AG28">
      <text>
        <t xml:space="preserve">소매치기, 카드 마술, 휴대폰 몰래 사용하기, 물건 숨기기 등이 포함됩니다. 대항 기능: 관찰력</t>
      </text>
    </comment>
    <comment authorId="0" ref="M29">
      <text>
        <t xml:space="preserve">물건의 품질, 사용 재료, 세공 솜씨, 제작 시기, 위조 여부 등을 판별</t>
      </text>
    </comment>
    <comment authorId="0" ref="AG29">
      <text>
        <t xml:space="preserve">문 따기, 열쇠 없이 시동걸기, 지레로 문 뜯기, 경보 시스템 통과, 자물쇠 수리, 열쇠 복제</t>
      </text>
    </comment>
    <comment authorId="0" ref="C30">
      <text>
        <t xml:space="preserve">위치와 좌표를 읽고 지도, 나침반, GPS 등을 다루는 능력입니다</t>
      </text>
    </comment>
    <comment authorId="0" ref="M30">
      <text>
        <t xml:space="preserve">예술/공예 글자를 지우고, 인테리어디자인, 연기, 성악, 요리, 작가, 사진, 미술, 목수, 춤, 조각, 위조, 이발, 미용 등 전문분야를 반드시 적어주세요.</t>
      </text>
    </comment>
    <comment authorId="0" ref="W30">
      <text>
        <t xml:space="preserve">적당한 물건 또는 투척용 무기를 근력 다이스 스탯(m)만큼 던짐</t>
      </text>
    </comment>
    <comment authorId="0" ref="AG30">
      <text>
        <t xml:space="preserve">연사는 기관단총으로 판정</t>
      </text>
    </comment>
    <comment authorId="0" ref="C31">
      <text>
        <t xml:space="preserve">흔적을 찾아 대상을 따라감. 대항 기능: 은밀행동</t>
      </text>
    </comment>
    <comment authorId="0" ref="W31">
      <text>
        <t xml:space="preserve">아무나 들고 싸울 수 있는 기본적인 무기를 이용하는 전문분야
밀치거나, 던지거나, 무장을 해제하거나, 넘어뜨리는 등의 목표를 달성하겠다고 선어할 때도 근접전 액션을 사용합니다.
하나 이상의 전문분야가 50이상이면 다른 전문분야들도 10씩 증가, 하나 이상의 전문분야가 90이상이면 다른 전문분야들도 추가로 10씩 증가</t>
      </text>
    </comment>
    <comment authorId="0" ref="AG31">
      <text>
        <t xml:space="preserve">연사는 기관단총으로 판정
산탄총을 포함한 단발사격 장총은 모두 이 기능으로 판정합니다.</t>
      </text>
    </comment>
    <comment authorId="0" ref="C32">
      <text>
        <t xml:space="preserve">말을 다루는 전반적인 방법</t>
      </text>
    </comment>
    <comment authorId="0" ref="M32">
      <text>
        <t xml:space="preserve">입술의 움직임으로 대화의 내용 파악. 희귀 기능. 특수한 이유 없이 사용 불가.</t>
      </text>
    </comment>
    <comment authorId="0" ref="BA32">
      <text>
        <t xml:space="preserve">크툴루 신화 지능이 높아질수록 최대치가 자동 감산됩니다.</t>
      </text>
    </comment>
    <comment authorId="0" ref="M33">
      <text>
        <t xml:space="preserve">길들인 동물 훈련, 명령. 희귀 기능. 특수한 이유 없이 사용 불가.</t>
      </text>
    </comment>
    <comment authorId="0" ref="M34">
      <text>
        <t xml:space="preserve">잠수 장비 사용, 관리. 희귀 기능. 특수한 이유 없이 사용 불가.</t>
      </text>
    </comment>
    <comment authorId="0" ref="AG34">
      <text>
        <t xml:space="preserve">활은 라운드마다 1발 사격.
쇠뇌는 기본치가 25지만 쏠 때마다 재장전에 한 라운드 소요.</t>
      </text>
    </comment>
    <comment authorId="0" ref="C35">
      <text>
        <t xml:space="preserve">폭발물을 안전하게 사용, 설치, 해체. 희귀 기능. 특수한 이유 없이 사용 불가.</t>
      </text>
    </comment>
    <comment authorId="0" ref="M35">
      <text>
        <t xml:space="preserve">자발적인 대상에게 트랜스 상태 유도(광기-공포증, 집착증 치료). 희귀 기능. 특수한 이유 없이 사용 불가. 대항 기능: 심리학 또는 정신력(비자발적 대상 한정)</t>
      </text>
    </comment>
    <comment authorId="0" ref="AG35">
      <text>
        <t xml:space="preserve">유탄발사기, 대전차 로켓 등</t>
      </text>
    </comment>
    <comment authorId="0" ref="C36">
      <text>
        <t xml:space="preserve">야전 병기 조작 가능. 희귀 기능. 특수한 이유 없이 사용 불가.</t>
      </text>
    </comment>
    <comment authorId="0" ref="M36">
      <text>
        <t xml:space="preserve">일반적인 것이 아닌 희귀한 영역의 지식(전문 영역 기입 필요, 비밀 지식 글자를 지우고 전문영역을 작성해주세요.). 희귀 기능. 특수한 이유 없이 사용 불가.</t>
      </text>
    </comment>
    <comment authorId="0" ref="AG36">
      <text>
        <t xml:space="preserve">기계에 장착된 것 포함</t>
      </text>
    </comment>
    <comment authorId="0" ref="AL40">
      <text>
        <t xml:space="preserve">사격판정시 이 수치 이상인 경우 총기 고장</t>
      </text>
    </comment>
    <comment authorId="0" ref="B48">
      <text>
        <t xml:space="preserve">첫째 칸은 가장 소중한 물건.
상세 설명을 하고 싶다면 툴팁을 이용 (우클릭&gt;Insert Note).</t>
      </text>
    </comment>
    <comment authorId="0" ref="V48">
      <text>
        <t xml:space="preserve">캐릭터에게 의미있는 관계.
첫번째 칸은 현재 가장 소중한 관계. 상세 설명을 하고 싶다면 툴팁을 이용 (우클릭&gt;Insert Note)</t>
      </text>
    </comment>
    <comment authorId="0" ref="AQ49">
      <text>
        <t xml:space="preserve">랜덤 배정 1d10
1번 굴려서 해당값을 우측에 입력.
마음에 안 들 경우 공란으로 내버려둔다. (리롤 없음)</t>
      </text>
    </comment>
    <comment authorId="0" ref="B50">
      <text>
        <t xml:space="preserve">현재 가장 소중한 물건</t>
      </text>
    </comment>
    <comment authorId="0" ref="V50">
      <text>
        <t xml:space="preserve">현재 가장 소중한 관계</t>
      </text>
    </comment>
    <comment authorId="0" ref="AQ59">
      <text>
        <t xml:space="preserve">랜덤 배정 1d10
1번 굴려서 해당값을 우측에 입력.
마음에 안 들 경우 공란으로 내버려둔다. (리롤 없음)</t>
      </text>
    </comment>
    <comment authorId="0" ref="AQ61">
      <text>
        <t xml:space="preserve">각 세션 클리어후 키퍼의 지시가 있다면 스킬 성장 다이스를 굴려 증가치를 이곳에 입력후, 기능 목록에서 분배합니다. 크툴루 신화는 이곳에서 제외합니다.</t>
      </text>
    </comment>
    <comment authorId="0" ref="B63">
      <text>
        <t xml:space="preserve">자유롭게 작성.
외모: 외적으로 보이는 캐릭터를 묘사. 눈 색, 머리색, 인상 등
성격: 캐릭터의 성격을 묘사.
기타: 그 외 모든 것은 여기에 기록</t>
      </text>
    </comment>
    <comment authorId="0" ref="B75">
      <text>
        <t xml:space="preserve">(기록용) 이 캐릭터로 겪은 시나리오를 기록합니다. 없다면 공란으로 내버려둡니다.</t>
      </text>
    </comment>
    <comment authorId="0" ref="N75">
      <text>
        <t xml:space="preserve">(기록용) 이 캐릭터가 가지고 있는/배운 주문을 기록합니다. 키퍼님께 미리 설명을 드리면 좋습니다. 없다면 공란으로 내버려둡니다.</t>
      </text>
    </comment>
    <comment authorId="0" ref="Z75">
      <text>
        <t xml:space="preserve">(기록용) 이 캐릭터가 현재 가지고 있는 정신적 질환을 서술합니다. 없다면 공란으로 내버려둡니다.</t>
      </text>
    </comment>
    <comment authorId="0" ref="AL75">
      <text>
        <t xml:space="preserve">그 외 키퍼가 시나리오를 진행하며 이 캐릭터에 대해 알아야 할 점이 있다면 적어주세요. (경험 패키지 등)</t>
      </text>
    </comment>
    <comment authorId="0" ref="AY75">
      <text>
        <t xml:space="preserve">http://www.icongenerators.net/pixelavatar.html
● 키퍼의 요청이 있을 때만 필수입니다. (48x48로 저장)</t>
      </text>
    </comment>
    <comment authorId="0" ref="B82">
      <text>
        <t xml:space="preserve">======
ID#AAAAJvb_yno
    (2020-07-05 05:55:29)
Roll20 굴림식들로 초심자는 사용하지 않는 것을 추천합니다.</t>
      </text>
    </comment>
  </commentList>
</comments>
</file>

<file path=xl/sharedStrings.xml><?xml version="1.0" encoding="utf-8"?>
<sst xmlns="http://schemas.openxmlformats.org/spreadsheetml/2006/main" count="2207" uniqueCount="174">
  <si>
    <t>"캐릭터 한마디"</t>
  </si>
  <si>
    <t>플레이어</t>
  </si>
  <si>
    <t>템플릿</t>
  </si>
  <si>
    <t>제작·수정</t>
  </si>
  <si>
    <t>호성
앤서</t>
  </si>
  <si>
    <t>B</t>
  </si>
  <si>
    <t>프로필</t>
  </si>
  <si>
    <t>특성치</t>
  </si>
  <si>
    <t>사진</t>
  </si>
  <si>
    <t>이름</t>
  </si>
  <si>
    <t>근력 STR</t>
  </si>
  <si>
    <t>민첩 DEX</t>
  </si>
  <si>
    <t>정신 POW</t>
  </si>
  <si>
    <t>키 / 몸무게</t>
  </si>
  <si>
    <t>직업 유형</t>
  </si>
  <si>
    <t>기타</t>
  </si>
  <si>
    <t>커스텀</t>
  </si>
  <si>
    <t>건강 CON</t>
  </si>
  <si>
    <t>외모 APP</t>
  </si>
  <si>
    <t>교육 EDU</t>
  </si>
  <si>
    <t>성별</t>
  </si>
  <si>
    <t>나이</t>
  </si>
  <si>
    <t>거주지</t>
  </si>
  <si>
    <t>국적</t>
  </si>
  <si>
    <t>크기 SIZ</t>
  </si>
  <si>
    <t>지능 INT</t>
  </si>
  <si>
    <t>행운 LUK</t>
  </si>
  <si>
    <t>출생지</t>
  </si>
  <si>
    <t>시대</t>
  </si>
  <si>
    <t>기능목록</t>
  </si>
  <si>
    <t>직업기능점수 :</t>
  </si>
  <si>
    <t>관심기능점수 :</t>
  </si>
  <si>
    <t>남은 점수 :</t>
  </si>
  <si>
    <t>✖</t>
  </si>
  <si>
    <t>관찰력</t>
  </si>
  <si>
    <t>재력</t>
  </si>
  <si>
    <t>크툴루 신화</t>
  </si>
  <si>
    <t>의료</t>
  </si>
  <si>
    <t>듣기</t>
  </si>
  <si>
    <t>회계</t>
  </si>
  <si>
    <t>오컬트</t>
  </si>
  <si>
    <t>응급처치</t>
  </si>
  <si>
    <t>자료조사</t>
  </si>
  <si>
    <t>자연</t>
  </si>
  <si>
    <t>정신분석</t>
  </si>
  <si>
    <t>생존술()</t>
  </si>
  <si>
    <t>전투</t>
  </si>
  <si>
    <t>컴퓨터 사용</t>
  </si>
  <si>
    <t>과학()</t>
  </si>
  <si>
    <t>심리학</t>
  </si>
  <si>
    <t>수영</t>
  </si>
  <si>
    <t>전자기기</t>
  </si>
  <si>
    <t>위협</t>
  </si>
  <si>
    <t>오르기</t>
  </si>
  <si>
    <t>피해 보너스</t>
  </si>
  <si>
    <t>전기수리</t>
  </si>
  <si>
    <t>매혹</t>
  </si>
  <si>
    <t>도약</t>
  </si>
  <si>
    <t>체구</t>
  </si>
  <si>
    <t>기계수리</t>
  </si>
  <si>
    <t>법률</t>
  </si>
  <si>
    <t>말재주</t>
  </si>
  <si>
    <t>회피</t>
  </si>
  <si>
    <t>자동차 운전</t>
  </si>
  <si>
    <t>인류학</t>
  </si>
  <si>
    <t>설득</t>
  </si>
  <si>
    <t>변장</t>
  </si>
  <si>
    <t>이동력</t>
  </si>
  <si>
    <t>중장비 조작</t>
  </si>
  <si>
    <t>역사</t>
  </si>
  <si>
    <t>은밀행동</t>
  </si>
  <si>
    <t>체력</t>
  </si>
  <si>
    <t>최대체력</t>
  </si>
  <si>
    <t>파일럿()</t>
  </si>
  <si>
    <t>고고학</t>
  </si>
  <si>
    <t>외국어()</t>
  </si>
  <si>
    <t>손놀림</t>
  </si>
  <si>
    <t>감정</t>
  </si>
  <si>
    <t>열쇠공</t>
  </si>
  <si>
    <t>마력</t>
  </si>
  <si>
    <t>최대마력</t>
  </si>
  <si>
    <t>항법</t>
  </si>
  <si>
    <t>예술/공예</t>
  </si>
  <si>
    <t>투척</t>
  </si>
  <si>
    <t>사격(권총)</t>
  </si>
  <si>
    <t>추적</t>
  </si>
  <si>
    <t>근접전(격투)</t>
  </si>
  <si>
    <t>사격(소총)</t>
  </si>
  <si>
    <t>이성</t>
  </si>
  <si>
    <t>초기치</t>
  </si>
  <si>
    <t>최대치</t>
  </si>
  <si>
    <t>승마</t>
  </si>
  <si>
    <t>독순술</t>
  </si>
  <si>
    <t>근접전(도검)</t>
  </si>
  <si>
    <t>사격(기관단총)</t>
  </si>
  <si>
    <t>동물 다루기</t>
  </si>
  <si>
    <t>근접전(도끼)</t>
  </si>
  <si>
    <t>사격(기관총)</t>
  </si>
  <si>
    <t>일시적
광기</t>
  </si>
  <si>
    <t>장기적
광기</t>
  </si>
  <si>
    <t>잠수</t>
  </si>
  <si>
    <t>근접전(창)</t>
  </si>
  <si>
    <t>사격(활)</t>
  </si>
  <si>
    <t>폭파</t>
  </si>
  <si>
    <t>최면술</t>
  </si>
  <si>
    <t>근접전(채찍)</t>
  </si>
  <si>
    <t>사격(중화기)</t>
  </si>
  <si>
    <t>중상</t>
  </si>
  <si>
    <t>빈사</t>
  </si>
  <si>
    <t>포격</t>
  </si>
  <si>
    <t>비밀 지식</t>
  </si>
  <si>
    <t>근접전(기타)</t>
  </si>
  <si>
    <t>화염방사기</t>
  </si>
  <si>
    <t>무기</t>
  </si>
  <si>
    <t>보통</t>
  </si>
  <si>
    <t>어려움</t>
  </si>
  <si>
    <t>대단함</t>
  </si>
  <si>
    <t>피해</t>
  </si>
  <si>
    <t>사거리</t>
  </si>
  <si>
    <t>공격횟수</t>
  </si>
  <si>
    <t>탄약</t>
  </si>
  <si>
    <t>고장</t>
  </si>
  <si>
    <t>맨손</t>
  </si>
  <si>
    <t>1d3+{DB}</t>
  </si>
  <si>
    <t>-</t>
  </si>
  <si>
    <t>소지품</t>
  </si>
  <si>
    <t>관계</t>
  </si>
  <si>
    <t>성격</t>
  </si>
  <si>
    <t>사상/신념</t>
  </si>
  <si>
    <t>중요한 이유</t>
  </si>
  <si>
    <t>스킬 성장</t>
  </si>
  <si>
    <t>캐릭터 설정</t>
  </si>
  <si>
    <t>겉보기</t>
  </si>
  <si>
    <t>기타 배경 및 설정</t>
  </si>
  <si>
    <t>소중한 장소</t>
  </si>
  <si>
    <t>재력수준</t>
  </si>
  <si>
    <t>소비수준</t>
  </si>
  <si>
    <t>현금</t>
  </si>
  <si>
    <t>자산</t>
  </si>
  <si>
    <t>이상한 경험</t>
  </si>
  <si>
    <t>신화서, 주문, 유물</t>
  </si>
  <si>
    <t>공포증과 집착증</t>
  </si>
  <si>
    <t>기타 사항</t>
  </si>
  <si>
    <t>아바타</t>
  </si>
  <si>
    <t>캐릭터 스탯 (1옵션)</t>
  </si>
  <si>
    <t>캐릭터 스탯 (3옵션)</t>
  </si>
  <si>
    <t>캐릭터 스탯 (자유배치)</t>
  </si>
  <si>
    <t>스탯 추가굴림</t>
  </si>
  <si>
    <t>비전투 광기 판정</t>
  </si>
  <si>
    <t>전투 광기 판정</t>
  </si>
  <si>
    <t>스킬 향상 판정</t>
  </si>
  <si>
    <t>캐릭터 배경 무작위</t>
  </si>
  <si>
    <t>&amp;{template:default} {{name=캐릭터 스탯}} {{근력 (STR)=[[3d6*5]]}} {{건강 (CON)=[[3d6*5]]}} {{크기 (SIZ)=[[(2d6+6)*5]]}} {{교육 (EDU)=[[(2d6+6)*5]]}} {{외모 (APP)=[[3d6*5]]}} {{민첩 (DEX)=[[3d6*5]]}} {{지능 (INT)=[[(2d6+6)*5]]}} {{정신력 (POW)=[[3d6*5]]}}{{행운 (LUK)=[[3d6*5]]}}</t>
  </si>
  <si>
    <t>&amp;{template:default} {{name=캐릭터 스탯 (3옵션)}} {{근력 (STR)=[[3d6*5]] [[3d6*5]] [[3d6*5]]}} {{건강 (CON)=[[3d6*5]] [[3d6*5]] [[3d6*5]]}} {{크기 (SIZ)=[[(2d6+6)*5]] [[(2d6+6)*5]] [[(2d6+6)*5]]}} {{민첩 (DEX)=[[3d6*5]] [[3d6*5]] [[3d6*5]]}} {{외모 (APP)=[[3d6*5]] [[3d6*5]] [[3d6*5]]}} {{지능 (INT)=[[(2d6+6)*5]] [[(2d6+6)*5]] [[(2d6+6)*5]]}} {{정신력 (POW)=[[3d6*5]] [[3d6*5]] [[3d6*5]]}} {{교육 (EDU)=[[(2d6+6)*5]] [[(2d6+6)*5]] [[(2d6+6)*5]]}} {{행운 (LUK)=[[3d6*5]] [[3d6*5]] [[3d6*5]]}}</t>
  </si>
  <si>
    <t xml:space="preserve">&amp;{template:default} {{name=캐릭터 스탯 자유 배치}} {{스탯1=[[3d6*5]]}} {{스탯2=[[3d6*5]]}} {{스탯3=[[3d6*5]]}} {{스탯4=[[3d6*5]]}} {{스탯5=[[3d6*5]]}} {{스탯6=[[3d6*5]]}} {{스탯7=[[3d6*5]]}} {{스탯8=[[3d6*5]]}} {{스탯9=[[3d6*5]]}}	</t>
  </si>
  <si>
    <t>&amp;{template:default} {{name=스탯 추가굴림}} {{옵션 2=[[3d6*5]]}} {{옵션 3=[[(1d9)*10]]}}</t>
  </si>
  <si>
    <t>&amp;{template:default} {{name=비전투 광기 판정}} {{광기의 종류=[[1d10]]}} {{지속시간=[[(1d6)*5]]분}}</t>
  </si>
  <si>
    <t>&amp;{template:default} {{name=전투 광기 판정}} {{광기의 종류=[[1d10]]}} {{지속시간=[[1d10]]턴}}</t>
  </si>
  <si>
    <t>&amp;{template:default} {{name=스킬 향상 판정}} {{향상여부=[[1d100]]: 현재 점수보다 높으면 향상}} {{향상량=[[1d10]] ↑}}</t>
  </si>
  <si>
    <t>&amp;{template:default} {{name=캐릭터 배경 무작위}} {{사상/신념=[[1d10]]}} {{중요한 사람들=[[1d10]]}} {{그 사람이 중요한 이유=[[1d10]]}} {{소중한 물건=[[1d10]]}} {{소중한 장소=[[1d10]]}} {{성격=[[1d10]]}}</t>
  </si>
  <si>
    <t>@B_trpg</t>
  </si>
  <si>
    <t>←             +마크 클릭(코코포리아용 채팅팔레트)</t>
  </si>
  <si>
    <t>cc&lt;={행운} 행운</t>
  </si>
  <si>
    <t>cc&lt;={SAN} 이성체크</t>
  </si>
  <si>
    <t>ETC</t>
  </si>
  <si>
    <t>조련</t>
  </si>
  <si>
    <t>대학생</t>
  </si>
  <si>
    <t>과학(동물학)</t>
  </si>
  <si>
    <t>외국어(영어)</t>
  </si>
  <si>
    <t>발레</t>
  </si>
  <si>
    <t>유혹</t>
  </si>
  <si>
    <t>유지우(절친)</t>
  </si>
  <si>
    <t>영정사진</t>
  </si>
  <si>
    <t>권총</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</si>
</sst>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numFmts>
  <fonts count="76">
    <font>
      <sz val="10.0"/>
      <color rgb="FF000000"/>
      <name val="Arial"/>
      <scheme val="minor"/>
    </font>
    <font>
      <sz val="8.0"/>
      <color rgb="FF000000"/>
      <name val="Calibri"/>
    </font>
    <font>
      <strike/>
      <sz val="8.0"/>
      <color rgb="FF000000"/>
      <name val="Calibri"/>
    </font>
    <font>
      <b/>
      <sz val="18.0"/>
      <color rgb="FF000000"/>
      <name val="Roboto"/>
    </font>
    <font/>
    <font>
      <b/>
      <sz val="9.0"/>
      <color rgb="FF000000"/>
      <name val="Arial"/>
    </font>
    <font>
      <b/>
      <sz val="8.0"/>
      <color rgb="FF000000"/>
      <name val="Impact"/>
    </font>
    <font>
      <b/>
      <sz val="12.0"/>
      <color rgb="FF3F9581"/>
      <name val="Arial"/>
    </font>
    <font>
      <b/>
      <sz val="12.0"/>
      <color rgb="FF000000"/>
      <name val="Arial"/>
    </font>
    <font>
      <b/>
      <sz val="18.0"/>
      <color rgb="FF000000"/>
      <name val="Calibri"/>
    </font>
    <font>
      <b/>
      <sz val="8.0"/>
      <color rgb="FF000000"/>
      <name val="Calibri"/>
    </font>
    <font>
      <b/>
      <sz val="9.0"/>
      <color rgb="FF000000"/>
      <name val="Calibri"/>
    </font>
    <font>
      <b/>
      <sz val="10.0"/>
      <color rgb="FF000000"/>
      <name val="Calibri"/>
    </font>
    <font>
      <b/>
      <sz val="14.0"/>
      <color rgb="FF000000"/>
      <name val="Calibri"/>
    </font>
    <font>
      <b/>
      <sz val="9.0"/>
      <color rgb="FFFFFFFF"/>
      <name val="Calibri"/>
    </font>
    <font>
      <sz val="9.0"/>
      <color rgb="FF000000"/>
      <name val="Calibri"/>
    </font>
    <font>
      <b/>
      <sz val="9.0"/>
      <color rgb="FFFFFFFF"/>
      <name val="Arial"/>
    </font>
    <font>
      <b/>
      <sz val="11.0"/>
      <color rgb="FF000000"/>
      <name val="Calibri"/>
    </font>
    <font>
      <b/>
      <sz val="12.0"/>
      <color rgb="FF000000"/>
      <name val="Calibri"/>
    </font>
    <font>
      <sz val="6.0"/>
      <color rgb="FFFFFFFF"/>
      <name val="Arial"/>
    </font>
    <font>
      <sz val="10.0"/>
      <color rgb="FF000000"/>
      <name val="Arial"/>
    </font>
    <font>
      <b/>
      <sz val="10.0"/>
      <color rgb="FF000000"/>
      <name val="Comic Sans MS"/>
    </font>
    <font>
      <sz val="9.0"/>
      <color rgb="FFFFFFFF"/>
      <name val="Arial"/>
    </font>
    <font>
      <sz val="11.0"/>
      <color rgb="FF000000"/>
      <name val="Inconsolata"/>
    </font>
    <font>
      <sz val="6.0"/>
      <color rgb="FFC1EBDB"/>
      <name val="Arial"/>
    </font>
    <font>
      <sz val="9.0"/>
      <color rgb="FF000000"/>
      <name val="Arial"/>
    </font>
    <font>
      <sz val="11.0"/>
      <color rgb="FFFFFFFF"/>
      <name val="Calibri"/>
    </font>
    <font>
      <b/>
      <sz val="11.0"/>
      <color rgb="FF000000"/>
      <name val="Arial"/>
    </font>
    <font>
      <sz val="10.0"/>
      <color rgb="FF3F9581"/>
      <name val="Arial"/>
    </font>
    <font>
      <b/>
      <sz val="10.0"/>
      <color rgb="FFFFFFFF"/>
      <name val="Calibri"/>
    </font>
    <font>
      <b/>
      <sz val="18.0"/>
      <color rgb="FFFFFFFF"/>
      <name val="Calibri"/>
    </font>
    <font>
      <b/>
      <sz val="11.0"/>
      <color rgb="FFFFFFFF"/>
      <name val="Calibri"/>
    </font>
    <font>
      <sz val="10.0"/>
      <color rgb="FF000000"/>
      <name val="Calibri"/>
    </font>
    <font>
      <b/>
      <sz val="10.0"/>
      <color rgb="FF000000"/>
      <name val="Arial"/>
    </font>
    <font>
      <b/>
      <sz val="18.0"/>
      <color rgb="FF000000"/>
      <name val="Arial"/>
    </font>
    <font>
      <sz val="6.0"/>
      <color rgb="FF000000"/>
      <name val="Arial"/>
    </font>
    <font>
      <b/>
      <color rgb="FF000000"/>
      <name val="Arial"/>
    </font>
    <font>
      <sz val="6.0"/>
      <color rgb="FF404040"/>
      <name val="Helvetica Neue"/>
    </font>
    <font>
      <color rgb="FF000000"/>
      <name val="Calibri"/>
    </font>
    <font>
      <sz val="10.0"/>
      <color rgb="FFFFFFFF"/>
      <name val="Arial"/>
    </font>
    <font>
      <color rgb="FFFFFFFF"/>
      <name val="Arial"/>
    </font>
    <font>
      <sz val="6.0"/>
      <color rgb="FF000000"/>
      <name val="Calibri"/>
    </font>
    <font>
      <sz val="8.0"/>
      <color rgb="FFB7B7B7"/>
      <name val="Arial"/>
    </font>
    <font>
      <sz val="24.0"/>
      <color rgb="FF000000"/>
      <name val="Arial"/>
    </font>
    <font>
      <b/>
      <sz val="18.0"/>
      <color rgb="FFFFFFFF"/>
      <name val="Roboto"/>
    </font>
    <font>
      <b/>
      <sz val="12.0"/>
      <color rgb="FFFFFFFF"/>
      <name val="Arial"/>
    </font>
    <font>
      <b/>
      <sz val="12.0"/>
      <color rgb="FFFFFFFF"/>
      <name val="Calibri"/>
    </font>
    <font>
      <b/>
      <sz val="11.0"/>
      <color rgb="FFFFFFFF"/>
      <name val="Arial"/>
    </font>
    <font>
      <b/>
      <sz val="14.0"/>
      <color rgb="FFFFFFFF"/>
      <name val="Calibri"/>
    </font>
    <font>
      <b/>
      <sz val="18.0"/>
      <color rgb="FFFFFFFF"/>
      <name val="Arial"/>
    </font>
    <font>
      <b/>
      <sz val="10.0"/>
      <color rgb="FFFFFFFF"/>
      <name val="Arial"/>
    </font>
    <font>
      <b/>
      <sz val="11.0"/>
      <color theme="1"/>
      <name val="Calibri"/>
    </font>
    <font>
      <sz val="11.0"/>
      <color theme="0"/>
      <name val="Calibri"/>
    </font>
    <font>
      <sz val="10.0"/>
      <color rgb="FF674EA7"/>
      <name val="Arial"/>
    </font>
    <font>
      <sz val="11.0"/>
      <color rgb="FF000000"/>
      <name val="Calibri"/>
    </font>
    <font>
      <sz val="10.0"/>
      <color rgb="FFBF9000"/>
      <name val="Arial"/>
    </font>
    <font>
      <sz val="10.0"/>
      <color rgb="FF980000"/>
      <name val="Arial"/>
    </font>
    <font>
      <b/>
      <sz val="18.0"/>
      <color rgb="FF000000"/>
      <name val="Gungsuh"/>
    </font>
    <font>
      <b/>
      <sz val="18.0"/>
      <color rgb="FFFFFFFF"/>
      <name val="Gungsuh"/>
    </font>
    <font>
      <b/>
      <sz val="9.0"/>
      <color rgb="FFFFFFFF"/>
      <name val="Gungsuh"/>
    </font>
    <font>
      <b/>
      <sz val="9.0"/>
      <color rgb="FF000000"/>
      <name val="Gungsuh"/>
    </font>
    <font>
      <b/>
      <sz val="10.0"/>
      <color rgb="FFFFFFFF"/>
      <name val="Gungsuh"/>
    </font>
    <font>
      <b/>
      <sz val="14.0"/>
      <color rgb="FF000000"/>
      <name val="Gungsuh"/>
    </font>
    <font>
      <sz val="9.0"/>
      <color rgb="FF000000"/>
      <name val="Gungsuh"/>
    </font>
    <font>
      <b/>
      <sz val="11.0"/>
      <color rgb="FF000000"/>
      <name val="Gungsuh"/>
    </font>
    <font>
      <b/>
      <sz val="11.0"/>
      <color rgb="FFFFFFFF"/>
      <name val="Gungsuh"/>
    </font>
    <font>
      <b/>
      <sz val="10.0"/>
      <color rgb="FF000000"/>
      <name val="Gungsuh"/>
    </font>
    <font>
      <b/>
      <sz val="18.0"/>
      <color rgb="FFFF0000"/>
      <name val="Gungsuh"/>
    </font>
    <font>
      <b/>
      <sz val="10.0"/>
      <color rgb="FFFF0000"/>
      <name val="Gungsuh"/>
    </font>
    <font>
      <b/>
      <sz val="9.0"/>
      <color rgb="FFFF0000"/>
      <name val="Gungsuh"/>
    </font>
    <font>
      <b/>
      <sz val="9.0"/>
      <color rgb="FFFF0000"/>
      <name val="Arial"/>
    </font>
    <font>
      <sz val="9.0"/>
      <color rgb="FFFF0000"/>
      <name val="Arial"/>
    </font>
    <font>
      <b/>
      <color rgb="FFFF0000"/>
      <name val="Gungsuh"/>
    </font>
    <font>
      <sz val="10.0"/>
      <color rgb="FF980000"/>
      <name val="Gungsuh"/>
    </font>
    <font>
      <color rgb="FF980000"/>
      <name val="Gungsuh"/>
    </font>
    <font>
      <sz val="10.0"/>
      <color theme="4"/>
      <name val="Arial"/>
    </font>
  </fonts>
  <fills count="51">
    <fill>
      <patternFill patternType="none"/>
    </fill>
    <fill>
      <patternFill patternType="lightGray"/>
    </fill>
    <fill>
      <patternFill patternType="solid">
        <fgColor rgb="FF434343"/>
        <bgColor rgb="FF434343"/>
      </patternFill>
    </fill>
    <fill>
      <patternFill patternType="solid">
        <fgColor rgb="FFC1EBDB"/>
        <bgColor rgb="FFC1EBDB"/>
      </patternFill>
    </fill>
    <fill>
      <patternFill patternType="solid">
        <fgColor rgb="FFFFFFFF"/>
        <bgColor rgb="FFFFFFFF"/>
      </patternFill>
    </fill>
    <fill>
      <patternFill patternType="solid">
        <fgColor rgb="FFF6ACBD"/>
        <bgColor rgb="FFF6ACBD"/>
      </patternFill>
    </fill>
    <fill>
      <patternFill patternType="solid">
        <fgColor rgb="FFF68AA3"/>
        <bgColor rgb="FFF68AA3"/>
      </patternFill>
    </fill>
    <fill>
      <patternFill patternType="solid">
        <fgColor rgb="FFE7637B"/>
        <bgColor rgb="FFE7637B"/>
      </patternFill>
    </fill>
    <fill>
      <patternFill patternType="solid">
        <fgColor rgb="FF3F9581"/>
        <bgColor rgb="FF3F9581"/>
      </patternFill>
    </fill>
    <fill>
      <patternFill patternType="solid">
        <fgColor rgb="FF78E6CC"/>
        <bgColor rgb="FF78E6CC"/>
      </patternFill>
    </fill>
    <fill>
      <patternFill patternType="solid">
        <fgColor rgb="FF1F5440"/>
        <bgColor rgb="FF1F5440"/>
      </patternFill>
    </fill>
    <fill>
      <patternFill patternType="solid">
        <fgColor rgb="FFB7B7B7"/>
        <bgColor rgb="FFB7B7B7"/>
      </patternFill>
    </fill>
    <fill>
      <patternFill patternType="solid">
        <fgColor rgb="FFA7D8E7"/>
        <bgColor rgb="FFA7D8E7"/>
      </patternFill>
    </fill>
    <fill>
      <patternFill patternType="solid">
        <fgColor rgb="FFE6B6E7"/>
        <bgColor rgb="FFE6B6E7"/>
      </patternFill>
    </fill>
    <fill>
      <patternFill patternType="solid">
        <fgColor rgb="FF4C3D7A"/>
        <bgColor rgb="FF4C3D7A"/>
      </patternFill>
    </fill>
    <fill>
      <patternFill patternType="solid">
        <fgColor rgb="FF3B3060"/>
        <bgColor rgb="FF3B3060"/>
      </patternFill>
    </fill>
    <fill>
      <patternFill patternType="solid">
        <fgColor rgb="FF972929"/>
        <bgColor rgb="FF972929"/>
      </patternFill>
    </fill>
    <fill>
      <patternFill patternType="solid">
        <fgColor rgb="FF762020"/>
        <bgColor rgb="FF762020"/>
      </patternFill>
    </fill>
    <fill>
      <patternFill patternType="solid">
        <fgColor rgb="FFF6C6D8"/>
        <bgColor rgb="FFF6C6D8"/>
      </patternFill>
    </fill>
    <fill>
      <patternFill patternType="solid">
        <fgColor rgb="FFEFEFEF"/>
        <bgColor rgb="FFEFEFEF"/>
      </patternFill>
    </fill>
    <fill>
      <patternFill patternType="solid">
        <fgColor rgb="FFA8E2CA"/>
        <bgColor rgb="FFA8E2CA"/>
      </patternFill>
    </fill>
    <fill>
      <patternFill patternType="solid">
        <fgColor rgb="FFD9D9D9"/>
        <bgColor rgb="FFD9D9D9"/>
      </patternFill>
    </fill>
    <fill>
      <patternFill patternType="solid">
        <fgColor rgb="FF666666"/>
        <bgColor rgb="FF666666"/>
      </patternFill>
    </fill>
    <fill>
      <patternFill patternType="solid">
        <fgColor rgb="FF999999"/>
        <bgColor rgb="FF999999"/>
      </patternFill>
    </fill>
    <fill>
      <patternFill patternType="solid">
        <fgColor rgb="FF000000"/>
        <bgColor rgb="FF000000"/>
      </patternFill>
    </fill>
    <fill>
      <patternFill patternType="solid">
        <fgColor rgb="FFCCCCCC"/>
        <bgColor rgb="FFCCCCCC"/>
      </patternFill>
    </fill>
    <fill>
      <patternFill patternType="solid">
        <fgColor rgb="FFC3B1E1"/>
        <bgColor rgb="FFC3B1E1"/>
      </patternFill>
    </fill>
    <fill>
      <patternFill patternType="solid">
        <fgColor rgb="FF7D4CCC"/>
        <bgColor rgb="FF7D4CCC"/>
      </patternFill>
    </fill>
    <fill>
      <patternFill patternType="solid">
        <fgColor rgb="FF6132AD"/>
        <bgColor rgb="FF6132AD"/>
      </patternFill>
    </fill>
    <fill>
      <patternFill patternType="solid">
        <fgColor rgb="FFB4A7D6"/>
        <bgColor rgb="FFB4A7D6"/>
      </patternFill>
    </fill>
    <fill>
      <patternFill patternType="solid">
        <fgColor rgb="FF7A47CA"/>
        <bgColor rgb="FF7A47CA"/>
      </patternFill>
    </fill>
    <fill>
      <patternFill patternType="solid">
        <fgColor rgb="FFFFFAA0"/>
        <bgColor rgb="FFFFFAA0"/>
      </patternFill>
    </fill>
    <fill>
      <patternFill patternType="solid">
        <fgColor rgb="FFFFD966"/>
        <bgColor rgb="FFFFD966"/>
      </patternFill>
    </fill>
    <fill>
      <patternFill patternType="solid">
        <fgColor rgb="FFF1C232"/>
        <bgColor rgb="FFF1C232"/>
      </patternFill>
    </fill>
    <fill>
      <patternFill patternType="solid">
        <fgColor rgb="FFFCFC70"/>
        <bgColor rgb="FFFCFC70"/>
      </patternFill>
    </fill>
    <fill>
      <patternFill patternType="solid">
        <fgColor rgb="FFFFFF00"/>
        <bgColor rgb="FFFFFF00"/>
      </patternFill>
    </fill>
    <fill>
      <patternFill patternType="solid">
        <fgColor rgb="FFF67280"/>
        <bgColor rgb="FFF67280"/>
      </patternFill>
    </fill>
    <fill>
      <patternFill patternType="solid">
        <fgColor rgb="FFE06666"/>
        <bgColor rgb="FFE06666"/>
      </patternFill>
    </fill>
    <fill>
      <patternFill patternType="solid">
        <fgColor rgb="FF85200C"/>
        <bgColor rgb="FF85200C"/>
      </patternFill>
    </fill>
    <fill>
      <patternFill patternType="solid">
        <fgColor rgb="FFEBB8B7"/>
        <bgColor rgb="FFEBB8B7"/>
      </patternFill>
    </fill>
    <fill>
      <patternFill patternType="solid">
        <fgColor rgb="FFFF0000"/>
        <bgColor rgb="FFFF0000"/>
      </patternFill>
    </fill>
    <fill>
      <patternFill patternType="solid">
        <fgColor rgb="FFF4CCCC"/>
        <bgColor rgb="FFF4CCCC"/>
      </patternFill>
    </fill>
    <fill>
      <patternFill patternType="solid">
        <fgColor theme="1"/>
        <bgColor theme="1"/>
      </patternFill>
    </fill>
    <fill>
      <patternFill patternType="solid">
        <fgColor rgb="FFD9D2E9"/>
        <bgColor rgb="FFD9D2E9"/>
      </patternFill>
    </fill>
    <fill>
      <patternFill patternType="solid">
        <fgColor rgb="FFD9EAD3"/>
        <bgColor rgb="FFD9EAD3"/>
      </patternFill>
    </fill>
    <fill>
      <patternFill patternType="solid">
        <fgColor rgb="FFE6B8AF"/>
        <bgColor rgb="FFE6B8AF"/>
      </patternFill>
    </fill>
    <fill>
      <patternFill patternType="solid">
        <fgColor rgb="FFCFE2F3"/>
        <bgColor rgb="FFCFE2F3"/>
      </patternFill>
    </fill>
    <fill>
      <patternFill patternType="solid">
        <fgColor rgb="FF6D9EEB"/>
        <bgColor rgb="FF6D9EEB"/>
      </patternFill>
    </fill>
    <fill>
      <patternFill patternType="solid">
        <fgColor rgb="FF3C78D8"/>
        <bgColor rgb="FF3C78D8"/>
      </patternFill>
    </fill>
    <fill>
      <patternFill patternType="solid">
        <fgColor rgb="FFA4C2F4"/>
        <bgColor rgb="FFA4C2F4"/>
      </patternFill>
    </fill>
    <fill>
      <patternFill patternType="solid">
        <fgColor rgb="FF9FC5E8"/>
        <bgColor rgb="FF9FC5E8"/>
      </patternFill>
    </fill>
  </fills>
  <borders count="160">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
      <left/>
      <right style="thin">
        <color rgb="FF434343"/>
      </right>
      <top/>
      <bottom/>
    </border>
    <border>
      <left style="thin">
        <color rgb="FF434343"/>
      </left>
      <right style="thin">
        <color rgb="FF434343"/>
      </right>
      <top/>
    </border>
    <border>
      <left style="thin">
        <color rgb="FF434343"/>
      </left>
      <right style="thin">
        <color rgb="FF434343"/>
      </right>
      <top style="thin">
        <color rgb="FF000000"/>
      </top>
    </border>
    <border>
      <left style="thin">
        <color rgb="FF434343"/>
      </left>
      <right style="thin">
        <color rgb="FF434343"/>
      </right>
      <top style="thin">
        <color rgb="FF000000"/>
      </top>
      <bottom style="thin">
        <color rgb="FF434343"/>
      </bottom>
    </border>
    <border>
      <left style="thin">
        <color rgb="FF434343"/>
      </left>
      <right style="thin">
        <color rgb="FF434343"/>
      </right>
      <top/>
      <bottom/>
    </border>
    <border>
      <left style="thin">
        <color rgb="FF434343"/>
      </left>
      <right/>
      <top/>
      <bottom/>
    </border>
    <border>
      <left/>
      <top/>
      <bottom/>
    </border>
    <border>
      <left style="thin">
        <color rgb="FF434343"/>
      </left>
      <top style="thin">
        <color rgb="FF434343"/>
      </top>
    </border>
    <border>
      <top style="thin">
        <color rgb="FF434343"/>
      </top>
    </border>
    <border>
      <right style="thin">
        <color rgb="FF434343"/>
      </right>
      <top style="thin">
        <color rgb="FF434343"/>
      </top>
    </border>
    <border>
      <top style="thin">
        <color rgb="FF434343"/>
      </top>
      <bottom style="thin">
        <color rgb="FF434343"/>
      </bottom>
    </border>
    <border>
      <top/>
      <bottom/>
    </border>
    <border>
      <right/>
      <top/>
      <bottom/>
    </border>
    <border>
      <left style="thin">
        <color rgb="FF434343"/>
      </left>
      <bottom style="thin">
        <color rgb="FF434343"/>
      </bottom>
    </border>
    <border>
      <bottom style="thin">
        <color rgb="FF434343"/>
      </bottom>
    </border>
    <border>
      <right style="thin">
        <color rgb="FF434343"/>
      </right>
      <bottom style="thin">
        <color rgb="FF434343"/>
      </bottom>
    </border>
    <border>
      <left style="thin">
        <color rgb="FF434343"/>
      </left>
      <top style="thin">
        <color rgb="FF434343"/>
      </top>
      <bottom style="thin">
        <color rgb="FF434343"/>
      </bottom>
    </border>
    <border>
      <right style="thin">
        <color rgb="FF434343"/>
      </right>
      <top style="thin">
        <color rgb="FF434343"/>
      </top>
      <bottom style="thin">
        <color rgb="FF434343"/>
      </bottom>
    </border>
    <border>
      <left/>
      <right/>
    </border>
    <border>
      <left/>
      <right/>
      <top style="thin">
        <color rgb="FF434343"/>
      </top>
    </border>
    <border>
      <right style="thin">
        <color rgb="FF134F5C"/>
      </right>
      <top style="thin">
        <color rgb="FF000000"/>
      </top>
    </border>
    <border>
      <left/>
      <top style="thin">
        <color rgb="FF000000"/>
      </top>
    </border>
    <border>
      <right style="thin">
        <color rgb="FF134F5C"/>
      </right>
      <bottom style="thin">
        <color rgb="FF000000"/>
      </bottom>
    </border>
    <border>
      <left/>
      <bottom style="thin">
        <color rgb="FF000000"/>
      </bottom>
    </border>
    <border>
      <left style="thin">
        <color rgb="FF434343"/>
      </left>
      <right style="thin">
        <color rgb="FFA8E2CA"/>
      </right>
      <top style="thin">
        <color rgb="FF434343"/>
      </top>
      <bottom style="thin">
        <color rgb="FFA8E2CA"/>
      </bottom>
    </border>
    <border>
      <left style="thin">
        <color rgb="FFA8E2CA"/>
      </left>
      <top style="thin">
        <color rgb="FF434343"/>
      </top>
      <bottom style="thin">
        <color rgb="FFA8E2CA"/>
      </bottom>
    </border>
    <border>
      <top style="thin">
        <color rgb="FF434343"/>
      </top>
      <bottom style="thin">
        <color rgb="FFA8E2CA"/>
      </bottom>
    </border>
    <border>
      <right style="thin">
        <color rgb="FFA8E2CA"/>
      </right>
      <top style="thin">
        <color rgb="FF434343"/>
      </top>
      <bottom style="thin">
        <color rgb="FFA8E2CA"/>
      </bottom>
    </border>
    <border>
      <left style="thin">
        <color rgb="FFA8E2CA"/>
      </left>
      <right style="thin">
        <color rgb="FFCFE2F3"/>
      </right>
      <top style="thin">
        <color rgb="FF434343"/>
      </top>
      <bottom style="thin">
        <color rgb="FFA8E2CA"/>
      </bottom>
    </border>
    <border>
      <left style="thin">
        <color rgb="FFCFE2F3"/>
      </left>
      <right/>
      <top style="thin">
        <color rgb="FF434343"/>
      </top>
      <bottom style="thin">
        <color rgb="FFCFE2F3"/>
      </bottom>
    </border>
    <border>
      <left/>
      <right style="thin">
        <color rgb="FF3F9581"/>
      </right>
      <top style="thin">
        <color rgb="FF434343"/>
      </top>
      <bottom style="thin">
        <color rgb="FF3F9581"/>
      </bottom>
    </border>
    <border>
      <left style="thin">
        <color rgb="FF3F9581"/>
      </left>
      <right style="thin">
        <color rgb="FF3F9581"/>
      </right>
      <top style="thin">
        <color rgb="FF434343"/>
      </top>
      <bottom style="thin">
        <color rgb="FF3F9581"/>
      </bottom>
    </border>
    <border>
      <left/>
      <top style="thin">
        <color rgb="FF434343"/>
      </top>
      <bottom style="thin">
        <color rgb="FFA8E2CA"/>
      </bottom>
    </border>
    <border>
      <left/>
      <right/>
      <top style="thin">
        <color rgb="FF434343"/>
      </top>
      <bottom/>
    </border>
    <border>
      <left style="thin">
        <color rgb="FF3F9581"/>
      </left>
      <right style="thin">
        <color rgb="FF434343"/>
      </right>
      <top style="thin">
        <color rgb="FF434343"/>
      </top>
      <bottom style="thin">
        <color rgb="FF3F9581"/>
      </bottom>
    </border>
    <border>
      <left style="thin">
        <color rgb="FF434343"/>
      </left>
      <right style="thin">
        <color rgb="FFA8E2CA"/>
      </right>
      <bottom style="thin">
        <color rgb="FFA8E2CA"/>
      </bottom>
    </border>
    <border>
      <left style="thin">
        <color rgb="FFA8E2CA"/>
      </left>
      <top style="thin">
        <color rgb="FFA8E2CA"/>
      </top>
      <bottom style="thin">
        <color rgb="FFA8E2CA"/>
      </bottom>
    </border>
    <border>
      <top style="thin">
        <color rgb="FFA8E2CA"/>
      </top>
      <bottom style="thin">
        <color rgb="FFA8E2CA"/>
      </bottom>
    </border>
    <border>
      <right style="thin">
        <color rgb="FFA8E2CA"/>
      </right>
      <top style="thin">
        <color rgb="FFA8E2CA"/>
      </top>
      <bottom style="thin">
        <color rgb="FFA8E2CA"/>
      </bottom>
    </border>
    <border>
      <left style="thin">
        <color rgb="FFA8E2CA"/>
      </left>
      <right style="thin">
        <color rgb="FFCFE2F3"/>
      </right>
      <top style="thin">
        <color rgb="FFA8E2CA"/>
      </top>
      <bottom style="thin">
        <color rgb="FFA8E2CA"/>
      </bottom>
    </border>
    <border>
      <left/>
      <right style="thin">
        <color rgb="FF3F9581"/>
      </right>
      <top style="thin">
        <color rgb="FF3F9581"/>
      </top>
      <bottom style="thin">
        <color rgb="FF3F9581"/>
      </bottom>
    </border>
    <border>
      <left style="thin">
        <color rgb="FF3F9581"/>
      </left>
      <right style="thin">
        <color rgb="FF3F9581"/>
      </right>
      <top style="thin">
        <color rgb="FF3F9581"/>
      </top>
      <bottom style="thin">
        <color rgb="FF3F9581"/>
      </bottom>
    </border>
    <border>
      <right style="thin">
        <color rgb="FFA8E2CA"/>
      </right>
      <bottom style="thin">
        <color rgb="FFA8E2CA"/>
      </bottom>
    </border>
    <border>
      <left/>
      <top style="thin">
        <color rgb="FFA8E2CA"/>
      </top>
      <bottom style="thin">
        <color rgb="FFA8E2CA"/>
      </bottom>
    </border>
    <border>
      <left style="thin">
        <color rgb="FF3F9581"/>
      </left>
      <right style="thin">
        <color rgb="FF434343"/>
      </right>
      <top style="thin">
        <color rgb="FF3F9581"/>
      </top>
      <bottom style="thin">
        <color rgb="FF3F9581"/>
      </bottom>
    </border>
    <border>
      <left/>
      <right/>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434343"/>
      </left>
      <right style="thin">
        <color rgb="FFA8E2CA"/>
      </right>
      <bottom style="thin">
        <color rgb="FF434343"/>
      </bottom>
    </border>
    <border>
      <left style="thin">
        <color rgb="FFA8E2CA"/>
      </left>
      <top style="thin">
        <color rgb="FFA8E2CA"/>
      </top>
      <bottom style="thin">
        <color rgb="FF434343"/>
      </bottom>
    </border>
    <border>
      <top style="thin">
        <color rgb="FFA8E2CA"/>
      </top>
      <bottom style="thin">
        <color rgb="FF434343"/>
      </bottom>
    </border>
    <border>
      <right style="thin">
        <color rgb="FFA8E2CA"/>
      </right>
      <top style="thin">
        <color rgb="FFA8E2CA"/>
      </top>
      <bottom style="thin">
        <color rgb="FF434343"/>
      </bottom>
    </border>
    <border>
      <left style="thin">
        <color rgb="FFA8E2CA"/>
      </left>
      <right style="thin">
        <color rgb="FFCFE2F3"/>
      </right>
      <top style="thin">
        <color rgb="FFA8E2CA"/>
      </top>
      <bottom style="thin">
        <color rgb="FF434343"/>
      </bottom>
    </border>
    <border>
      <left/>
      <right/>
      <top/>
      <bottom style="thin">
        <color rgb="FF434343"/>
      </bottom>
    </border>
    <border>
      <left/>
      <right style="thin">
        <color rgb="FF3F9581"/>
      </right>
      <top style="thin">
        <color rgb="FF3F9581"/>
      </top>
      <bottom style="thin">
        <color rgb="FF434343"/>
      </bottom>
    </border>
    <border>
      <left style="thin">
        <color rgb="FF3F9581"/>
      </left>
      <right style="thin">
        <color rgb="FF3F9581"/>
      </right>
      <top style="thin">
        <color rgb="FF3F9581"/>
      </top>
      <bottom style="thin">
        <color rgb="FF434343"/>
      </bottom>
    </border>
    <border>
      <right style="thin">
        <color rgb="FFA8E2CA"/>
      </right>
      <bottom style="thin">
        <color rgb="FF434343"/>
      </bottom>
    </border>
    <border>
      <left/>
      <top style="thin">
        <color rgb="FFA8E2CA"/>
      </top>
      <bottom style="thin">
        <color rgb="FF434343"/>
      </bottom>
    </border>
    <border>
      <left style="thin">
        <color rgb="FF3F9581"/>
      </left>
      <right style="thin">
        <color rgb="FF434343"/>
      </right>
      <top style="thin">
        <color rgb="FF3F9581"/>
      </top>
      <bottom style="thin">
        <color rgb="FF434343"/>
      </bottom>
    </border>
    <border>
      <left style="thin">
        <color rgb="FF000000"/>
      </left>
      <top style="thin">
        <color rgb="FF000000"/>
      </top>
      <bottom/>
    </border>
    <border>
      <top style="thin">
        <color rgb="FF000000"/>
      </top>
      <bottom/>
    </border>
    <border>
      <right style="thin">
        <color rgb="FF000000"/>
      </right>
      <top style="thin">
        <color rgb="FF000000"/>
      </top>
      <bottom/>
    </border>
    <border>
      <right style="thin">
        <color rgb="FFB7B7B7"/>
      </right>
    </border>
    <border>
      <left style="thin">
        <color rgb="FFB7B7B7"/>
      </left>
    </border>
    <border>
      <left style="thin">
        <color rgb="FF000000"/>
      </left>
      <top/>
      <bottom style="thin">
        <color rgb="FFEFEFEF"/>
      </bottom>
    </border>
    <border>
      <top/>
      <bottom style="thin">
        <color rgb="FFEFEFEF"/>
      </bottom>
    </border>
    <border>
      <right style="thin">
        <color rgb="FF000000"/>
      </right>
      <top/>
      <bottom style="thin">
        <color rgb="FFEFEFEF"/>
      </bottom>
    </border>
    <border>
      <left style="thin">
        <color rgb="FF434343"/>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top style="thin">
        <color rgb="FFCCCCCC"/>
      </top>
      <bottom style="thin">
        <color rgb="FFCCCCCC"/>
      </bottom>
    </border>
    <border>
      <right style="thin">
        <color rgb="FF434343"/>
      </right>
      <top style="thin">
        <color rgb="FFCCCCCC"/>
      </top>
      <bottom style="thin">
        <color rgb="FFCCCCCC"/>
      </bottom>
    </border>
    <border>
      <left style="thin">
        <color rgb="FF434343"/>
      </left>
      <top style="thin">
        <color rgb="FFCCCCCC"/>
      </top>
    </border>
    <border>
      <top style="thin">
        <color rgb="FFCCCCCC"/>
      </top>
    </border>
    <border>
      <right style="thin">
        <color rgb="FFCCCCCC"/>
      </right>
      <top style="thin">
        <color rgb="FFCCCCCC"/>
      </top>
    </border>
    <border>
      <left style="thin">
        <color rgb="FFCCCCCC"/>
      </left>
      <top style="thin">
        <color rgb="FFCCCCCC"/>
      </top>
    </border>
    <border>
      <right style="thin">
        <color rgb="FF434343"/>
      </right>
      <top style="thin">
        <color rgb="FFCCCCCC"/>
      </top>
    </border>
    <border>
      <left style="thin">
        <color rgb="FF000000"/>
      </left>
      <right style="thin">
        <color rgb="FF000000"/>
      </right>
      <top style="thin">
        <color rgb="FF000000"/>
      </top>
      <bottom style="thin">
        <color rgb="FF000000"/>
      </bottom>
    </border>
    <border>
      <left style="thin">
        <color rgb="FF000000"/>
      </left>
      <top style="thin">
        <color rgb="FF434343"/>
      </top>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thin">
        <color rgb="FF000000"/>
      </top>
    </border>
    <border>
      <left style="thin">
        <color rgb="FF000000"/>
      </left>
      <bottom style="thin">
        <color rgb="FF434343"/>
      </bottom>
    </border>
    <border>
      <right style="thin">
        <color rgb="FFD9D9D9"/>
      </right>
      <top style="thin">
        <color rgb="FF434343"/>
      </top>
    </border>
    <border>
      <left style="thin">
        <color rgb="FFD9D9D9"/>
      </left>
      <top style="thin">
        <color rgb="FF434343"/>
      </top>
    </border>
    <border>
      <left style="thin">
        <color rgb="FF434343"/>
      </left>
      <bottom style="thin">
        <color rgb="FFD9D9D9"/>
      </bottom>
    </border>
    <border>
      <bottom style="thin">
        <color rgb="FFD9D9D9"/>
      </bottom>
    </border>
    <border>
      <right style="thin">
        <color rgb="FFD9D9D9"/>
      </right>
      <bottom style="thin">
        <color rgb="FFD9D9D9"/>
      </bottom>
    </border>
    <border>
      <left style="thin">
        <color rgb="FFD9D9D9"/>
      </left>
      <bottom style="thin">
        <color rgb="FFD9D9D9"/>
      </bottom>
    </border>
    <border>
      <right style="thin">
        <color rgb="FF434343"/>
      </right>
      <bottom style="thin">
        <color rgb="FFD9D9D9"/>
      </bottom>
    </border>
    <border>
      <left style="thin">
        <color rgb="FF434343"/>
      </left>
      <top style="thin">
        <color rgb="FFD9D9D9"/>
      </top>
    </border>
    <border>
      <top style="thin">
        <color rgb="FFD9D9D9"/>
      </top>
    </border>
    <border>
      <right style="thin">
        <color rgb="FFD9D9D9"/>
      </right>
      <top style="thin">
        <color rgb="FFD9D9D9"/>
      </top>
    </border>
    <border>
      <left style="thin">
        <color rgb="FFD9D9D9"/>
      </left>
      <top style="thin">
        <color rgb="FFD9D9D9"/>
      </top>
    </border>
    <border>
      <left style="thin">
        <color rgb="FFD9D9D9"/>
      </left>
    </border>
    <border>
      <right style="thin">
        <color rgb="FF434343"/>
      </right>
    </border>
    <border>
      <right style="thin">
        <color rgb="FFD9D9D9"/>
      </right>
      <bottom style="thin">
        <color rgb="FF434343"/>
      </bottom>
    </border>
    <border>
      <left style="thin">
        <color rgb="FFD9D9D9"/>
      </left>
      <bottom style="thin">
        <color rgb="FF434343"/>
      </bottom>
    </border>
    <border>
      <left/>
      <top style="thin">
        <color rgb="FF000000"/>
      </top>
      <bottom style="thin">
        <color rgb="FF000000"/>
      </bottom>
    </border>
    <border>
      <left style="thin">
        <color rgb="FF000000"/>
      </left>
      <top/>
      <bottom/>
    </border>
    <border>
      <right style="thin">
        <color rgb="FF434343"/>
      </right>
      <top style="thin">
        <color rgb="FF000000"/>
      </top>
    </border>
    <border>
      <right style="thin">
        <color rgb="FF000000"/>
      </right>
      <top/>
      <bottom/>
    </border>
    <border>
      <left/>
      <right style="thin">
        <color rgb="FF434343"/>
      </right>
    </border>
    <border>
      <left style="thin">
        <color rgb="FF434343"/>
      </left>
      <right style="thin">
        <color rgb="FF434343"/>
      </right>
    </border>
    <border>
      <left style="thin">
        <color rgb="FF434343"/>
      </left>
      <right style="thin">
        <color rgb="FF434343"/>
      </right>
      <bottom style="thin">
        <color rgb="FF434343"/>
      </bottom>
    </border>
    <border>
      <left/>
      <top/>
      <bottom style="thin">
        <color rgb="FF434343"/>
      </bottom>
    </border>
    <border>
      <right/>
      <top/>
      <bottom style="thin">
        <color rgb="FF434343"/>
      </bottom>
    </border>
    <border>
      <left/>
      <top style="thin">
        <color rgb="FF434343"/>
      </top>
      <bottom style="thin">
        <color rgb="FF434343"/>
      </bottom>
    </border>
    <border>
      <left style="thin">
        <color rgb="FF434343"/>
      </left>
      <bottom style="thin">
        <color rgb="FF000000"/>
      </bottom>
    </border>
    <border>
      <right style="thin">
        <color rgb="FF434343"/>
      </right>
      <bottom style="thin">
        <color rgb="FF000000"/>
      </bottom>
    </border>
    <border>
      <bottom/>
    </border>
    <border>
      <left style="thin">
        <color rgb="FF434343"/>
      </left>
    </border>
    <border>
      <right/>
      <top style="thin">
        <color rgb="FF434343"/>
      </top>
      <bottom style="thin">
        <color rgb="FF434343"/>
      </bottom>
    </border>
    <border>
      <left style="thin">
        <color rgb="FF434343"/>
      </left>
      <top style="thin">
        <color rgb="FF000000"/>
      </top>
    </border>
    <border>
      <left/>
    </border>
    <border>
      <left/>
      <bottom style="thin">
        <color rgb="FF434343"/>
      </bottom>
    </border>
    <border>
      <left/>
      <right style="thin">
        <color rgb="FF434343"/>
      </right>
      <top style="thin">
        <color rgb="FF434343"/>
      </top>
      <bottom/>
    </border>
    <border>
      <left style="thin">
        <color rgb="FF434343"/>
      </left>
      <right style="thin">
        <color rgb="FF434343"/>
      </right>
      <top style="thin">
        <color rgb="FF434343"/>
      </top>
    </border>
    <border>
      <left style="thin">
        <color rgb="FF434343"/>
      </left>
      <right/>
      <top style="thin">
        <color rgb="FF434343"/>
      </top>
      <bottom/>
    </border>
    <border>
      <right style="thin">
        <color rgb="FF000000"/>
      </right>
      <top style="thin">
        <color rgb="FF434343"/>
      </top>
    </border>
    <border>
      <right style="thin">
        <color rgb="FF000000"/>
      </right>
      <bottom style="thin">
        <color rgb="FF434343"/>
      </bottom>
    </border>
    <border>
      <left style="thin">
        <color rgb="FF000000"/>
      </left>
      <top/>
    </border>
    <border>
      <top/>
    </border>
    <border>
      <right style="thin">
        <color rgb="FFB7B7B7"/>
      </right>
      <top style="thin">
        <color rgb="FF000000"/>
      </top>
    </border>
    <border>
      <left style="thin">
        <color rgb="FFB7B7B7"/>
      </left>
      <top style="thin">
        <color rgb="FF000000"/>
      </top>
    </border>
    <border>
      <right style="thick">
        <color rgb="FF000000"/>
      </right>
      <top style="thin">
        <color rgb="FF000000"/>
      </top>
    </border>
    <border>
      <left style="thin">
        <color rgb="FF000000"/>
      </left>
      <right style="thin">
        <color rgb="FF000000"/>
      </right>
    </border>
    <border>
      <left style="thin">
        <color rgb="FF000000"/>
      </left>
      <bottom style="thin">
        <color rgb="FFB7B7B7"/>
      </bottom>
    </border>
    <border>
      <bottom style="thin">
        <color rgb="FFB7B7B7"/>
      </bottom>
    </border>
    <border>
      <right style="thin">
        <color rgb="FFB7B7B7"/>
      </right>
      <bottom style="thin">
        <color rgb="FFB7B7B7"/>
      </bottom>
    </border>
    <border>
      <left style="thin">
        <color rgb="FFB7B7B7"/>
      </left>
      <bottom style="thin">
        <color rgb="FFB7B7B7"/>
      </bottom>
    </border>
    <border>
      <right style="thick">
        <color rgb="FF000000"/>
      </right>
      <bottom style="thin">
        <color rgb="FFB7B7B7"/>
      </bottom>
    </border>
    <border>
      <right style="thin">
        <color rgb="FF000000"/>
      </right>
      <bottom style="thin">
        <color rgb="FFB7B7B7"/>
      </bottom>
    </border>
    <border>
      <left style="thin">
        <color rgb="FF000000"/>
      </left>
      <top style="thin">
        <color rgb="FFB7B7B7"/>
      </top>
    </border>
    <border>
      <top style="thin">
        <color rgb="FFB7B7B7"/>
      </top>
    </border>
    <border>
      <right style="thin">
        <color rgb="FFB7B7B7"/>
      </right>
      <top style="thin">
        <color rgb="FFB7B7B7"/>
      </top>
    </border>
    <border>
      <left style="thin">
        <color rgb="FFB7B7B7"/>
      </left>
      <top style="thin">
        <color rgb="FFB7B7B7"/>
      </top>
    </border>
    <border>
      <right style="thick">
        <color rgb="FF000000"/>
      </right>
      <top style="thin">
        <color rgb="FFB7B7B7"/>
      </top>
    </border>
    <border>
      <right style="thin">
        <color rgb="FF000000"/>
      </right>
      <top style="thin">
        <color rgb="FFB7B7B7"/>
      </top>
    </border>
    <border>
      <left style="thin">
        <color rgb="FF000000"/>
      </left>
      <right style="thin">
        <color rgb="FF000000"/>
      </right>
      <bottom style="thin">
        <color rgb="FF000000"/>
      </bottom>
    </border>
    <border>
      <right style="thin">
        <color rgb="FFB7B7B7"/>
      </right>
      <bottom style="thin">
        <color rgb="FF000000"/>
      </bottom>
    </border>
    <border>
      <left style="thin">
        <color rgb="FFB7B7B7"/>
      </left>
      <bottom style="thin">
        <color rgb="FF000000"/>
      </bottom>
    </border>
    <border>
      <right style="thick">
        <color rgb="FF000000"/>
      </right>
      <bottom style="thin">
        <color rgb="FF000000"/>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left style="thin">
        <color rgb="FF434343"/>
      </left>
      <top style="thin">
        <color rgb="FF434343"/>
      </top>
      <bottom style="thin">
        <color rgb="FFA8E2CA"/>
      </bottom>
    </border>
    <border>
      <left style="thin">
        <color rgb="FF434343"/>
      </left>
      <bottom style="thin">
        <color rgb="FFA8E2CA"/>
      </bottom>
    </border>
  </borders>
  <cellStyleXfs count="1">
    <xf borderId="0" fillId="0" fontId="0" numFmtId="0" applyAlignment="1" applyFont="1"/>
  </cellStyleXfs>
  <cellXfs count="778">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0"/>
    </xf>
    <xf borderId="1" fillId="2" fontId="1" numFmtId="0" xfId="0" applyAlignment="1" applyBorder="1" applyFont="1">
      <alignment shrinkToFit="0" vertical="center" wrapText="0"/>
    </xf>
    <xf borderId="1" fillId="2" fontId="2" numFmtId="0" xfId="0" applyAlignment="1" applyBorder="1" applyFont="1">
      <alignment shrinkToFit="0" vertical="center" wrapText="0"/>
    </xf>
    <xf borderId="2" fillId="3" fontId="3" numFmtId="0" xfId="0" applyAlignment="1" applyBorder="1" applyFill="1" applyFont="1">
      <alignment horizontal="center" readingOrder="0" shrinkToFit="0" vertical="center" wrapText="0"/>
    </xf>
    <xf borderId="3" fillId="0" fontId="4" numFmtId="0" xfId="0" applyBorder="1" applyFont="1"/>
    <xf borderId="2" fillId="3" fontId="5" numFmtId="0" xfId="0" applyAlignment="1" applyBorder="1" applyFont="1">
      <alignment horizontal="center" shrinkToFit="0" vertical="center" wrapText="0"/>
    </xf>
    <xf borderId="4" fillId="0" fontId="4" numFmtId="0" xfId="0" applyBorder="1" applyFont="1"/>
    <xf borderId="1" fillId="2" fontId="6" numFmtId="0" xfId="0" applyAlignment="1" applyBorder="1" applyFont="1">
      <alignment horizontal="center" shrinkToFit="0" vertical="center" wrapText="0"/>
    </xf>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2" fillId="4" fontId="7" numFmtId="0" xfId="0" applyAlignment="1" applyBorder="1" applyFill="1" applyFont="1">
      <alignment horizontal="center" readingOrder="0" shrinkToFit="0" vertical="center" wrapText="0"/>
    </xf>
    <xf borderId="2" fillId="3" fontId="8" numFmtId="0" xfId="0" applyAlignment="1" applyBorder="1" applyFont="1">
      <alignment horizontal="center" shrinkToFit="0" vertical="center" wrapText="0"/>
    </xf>
    <xf borderId="9" fillId="0" fontId="4" numFmtId="0" xfId="0" applyBorder="1" applyFont="1"/>
    <xf borderId="10" fillId="2" fontId="6" numFmtId="0" xfId="0" applyAlignment="1" applyBorder="1" applyFont="1">
      <alignment horizontal="center" shrinkToFit="0" vertical="center" wrapText="0"/>
    </xf>
    <xf borderId="11" fillId="2" fontId="6" numFmtId="0" xfId="0" applyAlignment="1" applyBorder="1" applyFont="1">
      <alignment horizontal="center" shrinkToFit="0" vertical="center" wrapText="0"/>
    </xf>
    <xf borderId="12" fillId="2" fontId="9" numFmtId="0" xfId="0" applyAlignment="1" applyBorder="1" applyFont="1">
      <alignment horizontal="center" shrinkToFit="0" vertical="center" wrapText="0"/>
    </xf>
    <xf borderId="13" fillId="2" fontId="9" numFmtId="0" xfId="0" applyAlignment="1" applyBorder="1" applyFont="1">
      <alignment horizontal="center" shrinkToFit="0" vertical="center" wrapText="0"/>
    </xf>
    <xf borderId="14" fillId="2" fontId="6" numFmtId="0" xfId="0" applyAlignment="1" applyBorder="1" applyFont="1">
      <alignment horizontal="center" shrinkToFit="0" vertical="center" wrapText="0"/>
    </xf>
    <xf borderId="15" fillId="2" fontId="2" numFmtId="0" xfId="0" applyAlignment="1" applyBorder="1" applyFont="1">
      <alignment shrinkToFit="0" vertical="center" wrapText="0"/>
    </xf>
    <xf borderId="16" fillId="2" fontId="1" numFmtId="0" xfId="0" applyAlignment="1" applyBorder="1" applyFont="1">
      <alignment shrinkToFit="0" vertical="center" wrapText="0"/>
    </xf>
    <xf borderId="17" fillId="5" fontId="9" numFmtId="0" xfId="0" applyAlignment="1" applyBorder="1" applyFill="1" applyFont="1">
      <alignment horizontal="center" shrinkToFit="0" vertical="center" wrapText="0"/>
    </xf>
    <xf borderId="18" fillId="0" fontId="4" numFmtId="0" xfId="0" applyBorder="1" applyFont="1"/>
    <xf borderId="19" fillId="0" fontId="4" numFmtId="0" xfId="0" applyBorder="1" applyFont="1"/>
    <xf borderId="20" fillId="2" fontId="9" numFmtId="0" xfId="0" applyAlignment="1" applyBorder="1" applyFont="1">
      <alignment horizontal="center" shrinkToFit="0" vertical="center" wrapText="0"/>
    </xf>
    <xf borderId="21" fillId="2" fontId="2" numFmtId="0" xfId="0" applyAlignment="1" applyBorder="1" applyFont="1">
      <alignment shrinkToFit="0" vertical="center" wrapText="0"/>
    </xf>
    <xf borderId="22" fillId="2" fontId="2" numFmtId="0" xfId="0" applyAlignment="1" applyBorder="1" applyFont="1">
      <alignment shrinkToFit="0" vertical="center" wrapText="0"/>
    </xf>
    <xf borderId="16" fillId="2" fontId="10" numFmtId="0" xfId="0" applyAlignment="1" applyBorder="1" applyFont="1">
      <alignment horizontal="center" shrinkToFit="0" vertical="center" wrapText="0"/>
    </xf>
    <xf borderId="23" fillId="0" fontId="4" numFmtId="0" xfId="0" applyBorder="1" applyFont="1"/>
    <xf borderId="24" fillId="0" fontId="4" numFmtId="0" xfId="0" applyBorder="1" applyFont="1"/>
    <xf borderId="25" fillId="0" fontId="4" numFmtId="0" xfId="0" applyBorder="1" applyFont="1"/>
    <xf borderId="26" fillId="5" fontId="11" numFmtId="0" xfId="0" applyAlignment="1" applyBorder="1" applyFont="1">
      <alignment horizontal="center" shrinkToFit="0" vertical="center" wrapText="0"/>
    </xf>
    <xf borderId="20" fillId="0" fontId="4" numFmtId="0" xfId="0" applyBorder="1" applyFont="1"/>
    <xf borderId="27" fillId="0" fontId="4" numFmtId="0" xfId="0" applyBorder="1" applyFont="1"/>
    <xf borderId="26" fillId="4" fontId="11" numFmtId="0" xfId="0" applyAlignment="1" applyBorder="1" applyFont="1">
      <alignment horizontal="center" readingOrder="0" shrinkToFit="0" vertical="center" wrapText="0"/>
    </xf>
    <xf borderId="17" fillId="5" fontId="12" numFmtId="0" xfId="0" applyAlignment="1" applyBorder="1" applyFont="1">
      <alignment horizontal="center" shrinkToFit="0" vertical="center" wrapText="0"/>
    </xf>
    <xf borderId="17" fillId="4" fontId="13" numFmtId="0" xfId="0" applyAlignment="1" applyBorder="1" applyFont="1">
      <alignment horizontal="center" readingOrder="0" shrinkToFit="0" vertical="center" wrapText="0"/>
    </xf>
    <xf borderId="26" fillId="6" fontId="14" numFmtId="0" xfId="0" applyAlignment="1" applyBorder="1" applyFill="1" applyFont="1">
      <alignment horizontal="center" shrinkToFit="0" vertical="center" wrapText="0"/>
    </xf>
    <xf borderId="17" fillId="5" fontId="12" numFmtId="0" xfId="0" applyAlignment="1" applyBorder="1" applyFont="1">
      <alignment horizontal="center" readingOrder="0" shrinkToFit="0" vertical="center" wrapText="0"/>
    </xf>
    <xf borderId="5" fillId="4" fontId="13" numFmtId="0" xfId="0" applyAlignment="1" applyBorder="1" applyFont="1">
      <alignment horizontal="center" readingOrder="0" shrinkToFit="0" vertical="center" wrapText="0"/>
    </xf>
    <xf borderId="26" fillId="0" fontId="11" numFmtId="0" xfId="0" applyAlignment="1" applyBorder="1" applyFont="1">
      <alignment horizontal="center" readingOrder="0"/>
    </xf>
    <xf borderId="26" fillId="7" fontId="14" numFmtId="0" xfId="0" applyAlignment="1" applyBorder="1" applyFill="1" applyFont="1">
      <alignment horizontal="center" shrinkToFit="0" vertical="center" wrapText="0"/>
    </xf>
    <xf borderId="26" fillId="5" fontId="11" numFmtId="0" xfId="0" applyAlignment="1" applyBorder="1" applyFont="1">
      <alignment horizontal="center" readingOrder="0" shrinkToFit="0" vertical="center" wrapText="0"/>
    </xf>
    <xf borderId="0" fillId="0" fontId="15" numFmtId="0" xfId="0" applyAlignment="1" applyFont="1">
      <alignment horizontal="center" readingOrder="0"/>
    </xf>
    <xf borderId="26" fillId="5" fontId="5" numFmtId="0" xfId="0" applyAlignment="1" applyBorder="1" applyFont="1">
      <alignment horizontal="center" readingOrder="0" shrinkToFit="0" wrapText="0"/>
    </xf>
    <xf borderId="26" fillId="4" fontId="5" numFmtId="0" xfId="0" applyAlignment="1" applyBorder="1" applyFont="1">
      <alignment horizontal="center" readingOrder="0" shrinkToFit="0" wrapText="0"/>
    </xf>
    <xf borderId="26" fillId="5" fontId="5" numFmtId="0" xfId="0" applyAlignment="1" applyBorder="1" applyFont="1">
      <alignment horizontal="center" shrinkToFit="0" wrapText="0"/>
    </xf>
    <xf borderId="26" fillId="6" fontId="16" numFmtId="0" xfId="0" applyAlignment="1" applyBorder="1" applyFont="1">
      <alignment horizontal="center" shrinkToFit="0" vertical="center" wrapText="0"/>
    </xf>
    <xf borderId="26" fillId="7" fontId="16" numFmtId="0" xfId="0" applyAlignment="1" applyBorder="1" applyFont="1">
      <alignment horizontal="center" shrinkToFit="0" vertical="center" wrapText="0"/>
    </xf>
    <xf borderId="28" fillId="2" fontId="1" numFmtId="0" xfId="0" applyAlignment="1" applyBorder="1" applyFont="1">
      <alignment shrinkToFit="0" vertical="center" wrapText="0"/>
    </xf>
    <xf borderId="29" fillId="2" fontId="1" numFmtId="0" xfId="0" applyAlignment="1" applyBorder="1" applyFont="1">
      <alignment shrinkToFit="0" vertical="center" wrapText="0"/>
    </xf>
    <xf borderId="28" fillId="2" fontId="2" numFmtId="0" xfId="0" applyAlignment="1" applyBorder="1" applyFont="1">
      <alignment shrinkToFit="0" vertical="center" wrapText="0"/>
    </xf>
    <xf borderId="2" fillId="3" fontId="9" numFmtId="0" xfId="0" applyAlignment="1" applyBorder="1" applyFont="1">
      <alignment horizontal="center" shrinkToFit="0" vertical="center" wrapText="0"/>
    </xf>
    <xf borderId="30" fillId="0" fontId="4" numFmtId="0" xfId="0" applyBorder="1" applyFont="1"/>
    <xf borderId="2" fillId="3" fontId="17" numFmtId="0" xfId="0" applyAlignment="1" applyBorder="1" applyFont="1">
      <alignment horizontal="center" shrinkToFit="0" vertical="center" wrapText="0"/>
    </xf>
    <xf borderId="31" fillId="3" fontId="18" numFmtId="0" xfId="0" applyAlignment="1" applyBorder="1" applyFont="1">
      <alignment horizontal="center" shrinkToFit="0" vertical="center" wrapText="0"/>
    </xf>
    <xf borderId="32" fillId="0" fontId="4" numFmtId="0" xfId="0" applyBorder="1" applyFont="1"/>
    <xf borderId="33" fillId="0" fontId="4" numFmtId="0" xfId="0" applyBorder="1" applyFont="1"/>
    <xf borderId="22" fillId="2" fontId="1" numFmtId="0" xfId="0" applyAlignment="1" applyBorder="1" applyFont="1">
      <alignment shrinkToFit="0" vertical="center" wrapText="0"/>
    </xf>
    <xf borderId="34" fillId="8" fontId="19" numFmtId="0" xfId="0" applyAlignment="1" applyBorder="1" applyFill="1" applyFont="1">
      <alignment horizontal="center" readingOrder="0" shrinkToFit="0" vertical="center" wrapText="0"/>
    </xf>
    <xf borderId="35" fillId="3" fontId="20" numFmtId="0" xfId="0" applyAlignment="1" applyBorder="1" applyFont="1">
      <alignment horizontal="center" shrinkToFit="0" vertical="center" wrapText="0"/>
    </xf>
    <xf borderId="36" fillId="0" fontId="4" numFmtId="0" xfId="0" applyBorder="1" applyFont="1"/>
    <xf borderId="37" fillId="0" fontId="4" numFmtId="0" xfId="0" applyBorder="1" applyFont="1"/>
    <xf borderId="38" fillId="3" fontId="20" numFmtId="0" xfId="0" applyAlignment="1" applyBorder="1" applyFont="1">
      <alignment horizontal="center" shrinkToFit="0" vertical="center" wrapText="0"/>
    </xf>
    <xf borderId="39" fillId="4" fontId="20" numFmtId="0" xfId="0" applyAlignment="1" applyBorder="1" applyFont="1">
      <alignment horizontal="center" readingOrder="0" shrinkToFit="0" vertical="center" wrapText="0"/>
    </xf>
    <xf borderId="40" fillId="9" fontId="21" numFmtId="0" xfId="0" applyAlignment="1" applyBorder="1" applyFill="1" applyFont="1">
      <alignment horizontal="center" shrinkToFit="0" vertical="center" wrapText="0"/>
    </xf>
    <xf borderId="41" fillId="8" fontId="22" numFmtId="0" xfId="0" applyAlignment="1" applyBorder="1" applyFont="1">
      <alignment horizontal="center" shrinkToFit="0" wrapText="0"/>
    </xf>
    <xf borderId="41" fillId="10" fontId="22" numFmtId="0" xfId="0" applyAlignment="1" applyBorder="1" applyFill="1" applyFont="1">
      <alignment horizontal="center" shrinkToFit="0" wrapText="0"/>
    </xf>
    <xf borderId="37" fillId="8" fontId="19" numFmtId="0" xfId="0" applyAlignment="1" applyBorder="1" applyFont="1">
      <alignment horizontal="center" shrinkToFit="0" vertical="center" wrapText="0"/>
    </xf>
    <xf borderId="42" fillId="3" fontId="20" numFmtId="0" xfId="0" applyAlignment="1" applyBorder="1" applyFont="1">
      <alignment horizontal="center" shrinkToFit="0" vertical="center" wrapText="0"/>
    </xf>
    <xf borderId="43" fillId="4" fontId="23" numFmtId="0" xfId="0" applyAlignment="1" applyBorder="1" applyFont="1">
      <alignment readingOrder="0" shrinkToFit="0" wrapText="0"/>
    </xf>
    <xf borderId="41" fillId="8" fontId="22" numFmtId="0" xfId="0" applyAlignment="1" applyBorder="1" applyFont="1">
      <alignment horizontal="center" shrinkToFit="0" vertical="center" wrapText="0"/>
    </xf>
    <xf borderId="41" fillId="10" fontId="22" numFmtId="0" xfId="0" applyAlignment="1" applyBorder="1" applyFont="1">
      <alignment horizontal="center" shrinkToFit="0" vertical="center" wrapText="0"/>
    </xf>
    <xf borderId="43" fillId="11" fontId="23" numFmtId="0" xfId="0" applyAlignment="1" applyBorder="1" applyFill="1" applyFont="1">
      <alignment readingOrder="0" shrinkToFit="0" wrapText="0"/>
    </xf>
    <xf borderId="38" fillId="3" fontId="20" numFmtId="0" xfId="0" applyAlignment="1" applyBorder="1" applyFont="1">
      <alignment horizontal="center" shrinkToFit="0" wrapText="0"/>
    </xf>
    <xf borderId="43" fillId="4" fontId="23" numFmtId="0" xfId="0" applyAlignment="1" applyBorder="1" applyFont="1">
      <alignment shrinkToFit="0" wrapText="0"/>
    </xf>
    <xf borderId="40" fillId="9" fontId="21" numFmtId="0" xfId="0" applyAlignment="1" applyBorder="1" applyFont="1">
      <alignment horizontal="center" shrinkToFit="0" wrapText="0"/>
    </xf>
    <xf borderId="44" fillId="10" fontId="22" numFmtId="0" xfId="0" applyAlignment="1" applyBorder="1" applyFont="1">
      <alignment horizontal="center" shrinkToFit="0" wrapText="0"/>
    </xf>
    <xf borderId="45" fillId="8" fontId="19" numFmtId="0" xfId="0" applyAlignment="1" applyBorder="1" applyFont="1">
      <alignment horizontal="center" readingOrder="0" shrinkToFit="0" vertical="center" wrapText="0"/>
    </xf>
    <xf borderId="46" fillId="3" fontId="20" numFmtId="0" xfId="0" applyAlignment="1" applyBorder="1" applyFont="1">
      <alignment horizontal="center" shrinkToFit="0" vertical="center" wrapText="0"/>
    </xf>
    <xf borderId="47" fillId="0" fontId="4" numFmtId="0" xfId="0" applyBorder="1" applyFont="1"/>
    <xf borderId="48" fillId="0" fontId="4" numFmtId="0" xfId="0" applyBorder="1" applyFont="1"/>
    <xf borderId="49" fillId="3" fontId="20" numFmtId="0" xfId="0" applyAlignment="1" applyBorder="1" applyFont="1">
      <alignment horizontal="center" shrinkToFit="0" vertical="center" wrapText="0"/>
    </xf>
    <xf borderId="1" fillId="4" fontId="23" numFmtId="0" xfId="0" applyAlignment="1" applyBorder="1" applyFont="1">
      <alignment readingOrder="0" shrinkToFit="0" wrapText="0"/>
    </xf>
    <xf borderId="50" fillId="9" fontId="21" numFmtId="0" xfId="0" applyAlignment="1" applyBorder="1" applyFont="1">
      <alignment horizontal="center" shrinkToFit="0" vertical="center" wrapText="0"/>
    </xf>
    <xf borderId="51" fillId="8" fontId="22" numFmtId="0" xfId="0" applyAlignment="1" applyBorder="1" applyFont="1">
      <alignment horizontal="center" shrinkToFit="0" wrapText="0"/>
    </xf>
    <xf borderId="51" fillId="10" fontId="22" numFmtId="0" xfId="0" applyAlignment="1" applyBorder="1" applyFont="1">
      <alignment horizontal="center" shrinkToFit="0" wrapText="0"/>
    </xf>
    <xf borderId="52" fillId="8" fontId="19" numFmtId="0" xfId="0" applyAlignment="1" applyBorder="1" applyFont="1">
      <alignment horizontal="center" shrinkToFit="0" vertical="center" wrapText="0"/>
    </xf>
    <xf borderId="53" fillId="3" fontId="20" numFmtId="0" xfId="0" applyAlignment="1" applyBorder="1" applyFont="1">
      <alignment horizontal="center" shrinkToFit="0" vertical="center" wrapText="0"/>
    </xf>
    <xf borderId="1" fillId="4" fontId="23" numFmtId="0" xfId="0" applyAlignment="1" applyBorder="1" applyFont="1">
      <alignment shrinkToFit="0" wrapText="0"/>
    </xf>
    <xf borderId="51" fillId="8" fontId="22" numFmtId="0" xfId="0" applyAlignment="1" applyBorder="1" applyFont="1">
      <alignment horizontal="center" shrinkToFit="0" vertical="center" wrapText="0"/>
    </xf>
    <xf borderId="51" fillId="10" fontId="22" numFmtId="0" xfId="0" applyAlignment="1" applyBorder="1" applyFont="1">
      <alignment horizontal="center" shrinkToFit="0" vertical="center" wrapText="0"/>
    </xf>
    <xf borderId="52" fillId="8" fontId="24" numFmtId="0" xfId="0" applyAlignment="1" applyBorder="1" applyFont="1">
      <alignment horizontal="center" shrinkToFit="0" vertical="center" wrapText="0"/>
    </xf>
    <xf borderId="49" fillId="3" fontId="20" numFmtId="0" xfId="0" applyAlignment="1" applyBorder="1" applyFont="1">
      <alignment horizontal="center" shrinkToFit="0" wrapText="0"/>
    </xf>
    <xf borderId="50" fillId="9" fontId="21" numFmtId="0" xfId="0" applyAlignment="1" applyBorder="1" applyFont="1">
      <alignment horizontal="center" shrinkToFit="0" wrapText="0"/>
    </xf>
    <xf borderId="54" fillId="10" fontId="22" numFmtId="0" xfId="0" applyAlignment="1" applyBorder="1" applyFont="1">
      <alignment horizontal="center" shrinkToFit="0" wrapText="0"/>
    </xf>
    <xf borderId="55" fillId="2" fontId="6" numFmtId="0" xfId="0" applyAlignment="1" applyBorder="1" applyFont="1">
      <alignment horizontal="center" shrinkToFit="0" vertical="center" wrapText="0"/>
    </xf>
    <xf borderId="22" fillId="2" fontId="10" numFmtId="0" xfId="0" applyAlignment="1" applyBorder="1" applyFont="1">
      <alignment horizontal="center" shrinkToFit="0" vertical="center" wrapText="0"/>
    </xf>
    <xf borderId="45" fillId="8" fontId="19" numFmtId="0" xfId="0" applyAlignment="1" applyBorder="1" applyFont="1">
      <alignment horizontal="center" shrinkToFit="0" vertical="center" wrapText="0"/>
    </xf>
    <xf borderId="52" fillId="8" fontId="19" numFmtId="0" xfId="0" applyAlignment="1" applyBorder="1" applyFont="1">
      <alignment horizontal="center" readingOrder="0" shrinkToFit="0" vertical="center" wrapText="0"/>
    </xf>
    <xf borderId="53" fillId="3" fontId="25" numFmtId="0" xfId="0" applyAlignment="1" applyBorder="1" applyFont="1">
      <alignment horizontal="center" readingOrder="0" shrinkToFit="0" vertical="center" wrapText="0"/>
    </xf>
    <xf borderId="53" fillId="3" fontId="25" numFmtId="0" xfId="0" applyAlignment="1" applyBorder="1" applyFont="1">
      <alignment horizontal="center" shrinkToFit="0" vertical="center" wrapText="0"/>
    </xf>
    <xf borderId="56" fillId="3" fontId="17" numFmtId="0" xfId="0" applyAlignment="1" applyBorder="1" applyFont="1">
      <alignment horizontal="center" shrinkToFit="0" vertical="center" wrapText="0"/>
    </xf>
    <xf borderId="57" fillId="0" fontId="4" numFmtId="0" xfId="0" applyBorder="1" applyFont="1"/>
    <xf borderId="56" fillId="9" fontId="17" numFmtId="0" xfId="0" applyAlignment="1" applyBorder="1" applyFont="1">
      <alignment horizontal="center" shrinkToFit="0" vertical="center" wrapText="0"/>
    </xf>
    <xf borderId="58" fillId="0" fontId="4" numFmtId="0" xfId="0" applyBorder="1" applyFont="1"/>
    <xf borderId="56" fillId="8" fontId="26" numFmtId="0" xfId="0" applyAlignment="1" applyBorder="1" applyFont="1">
      <alignment horizontal="center" shrinkToFit="0" vertical="center" wrapText="0"/>
    </xf>
    <xf borderId="56" fillId="10" fontId="26" numFmtId="0" xfId="0" applyAlignment="1" applyBorder="1" applyFont="1">
      <alignment horizontal="center" shrinkToFit="0" vertical="center" wrapText="0"/>
    </xf>
    <xf borderId="56" fillId="3" fontId="27" numFmtId="0" xfId="0" applyAlignment="1" applyBorder="1" applyFont="1">
      <alignment horizontal="center" shrinkToFit="0" vertical="center" wrapText="0"/>
    </xf>
    <xf borderId="56" fillId="9" fontId="27" numFmtId="0" xfId="0" applyAlignment="1" applyBorder="1" applyFont="1">
      <alignment horizontal="center" shrinkToFit="0" vertical="center" wrapText="0"/>
    </xf>
    <xf borderId="2" fillId="6" fontId="13" numFmtId="0" xfId="0" applyAlignment="1" applyBorder="1" applyFont="1">
      <alignment horizontal="center" shrinkToFit="0" vertical="center" wrapText="0"/>
    </xf>
    <xf borderId="2" fillId="4" fontId="13" numFmtId="0" xfId="0" applyAlignment="1" applyBorder="1" applyFont="1">
      <alignment horizontal="center" readingOrder="0" shrinkToFit="0" vertical="center" wrapText="0"/>
    </xf>
    <xf borderId="56" fillId="6" fontId="11" numFmtId="0" xfId="0" applyAlignment="1" applyBorder="1" applyFont="1">
      <alignment horizontal="center" shrinkToFit="0" vertical="center" wrapText="0"/>
    </xf>
    <xf borderId="46" fillId="3" fontId="25" numFmtId="0" xfId="0" applyAlignment="1" applyBorder="1" applyFont="1">
      <alignment horizontal="center" shrinkToFit="0" vertical="center" wrapText="0"/>
    </xf>
    <xf borderId="56" fillId="6" fontId="12" numFmtId="0" xfId="0" applyAlignment="1" applyBorder="1" applyFont="1">
      <alignment horizontal="center" shrinkToFit="0" vertical="center" wrapText="0"/>
    </xf>
    <xf borderId="46" fillId="3" fontId="25" numFmtId="0" xfId="0" applyAlignment="1" applyBorder="1" applyFont="1">
      <alignment horizontal="center" readingOrder="0" shrinkToFit="0" vertical="center" wrapText="0"/>
    </xf>
    <xf borderId="49" fillId="3" fontId="20" numFmtId="0" xfId="0" applyAlignment="1" applyBorder="1" applyFont="1">
      <alignment horizontal="center" readingOrder="0" shrinkToFit="0" vertical="center" wrapText="0"/>
    </xf>
    <xf borderId="2" fillId="12" fontId="13" numFmtId="0" xfId="0" applyAlignment="1" applyBorder="1" applyFill="1" applyFont="1">
      <alignment horizontal="center" shrinkToFit="0" vertical="center" wrapText="0"/>
    </xf>
    <xf borderId="56" fillId="12" fontId="11" numFmtId="0" xfId="0" applyAlignment="1" applyBorder="1" applyFont="1">
      <alignment horizontal="center" shrinkToFit="0" vertical="center" wrapText="0"/>
    </xf>
    <xf borderId="53" fillId="3" fontId="20" numFmtId="0" xfId="0" applyAlignment="1" applyBorder="1" applyFont="1">
      <alignment horizontal="center" readingOrder="0" shrinkToFit="0" vertical="center" wrapText="0"/>
    </xf>
    <xf borderId="54" fillId="10" fontId="22" numFmtId="0" xfId="0" applyAlignment="1" applyBorder="1" applyFont="1">
      <alignment horizontal="center" shrinkToFit="0" vertical="center" wrapText="0"/>
    </xf>
    <xf borderId="56" fillId="12" fontId="12" numFmtId="0" xfId="0" applyAlignment="1" applyBorder="1" applyFont="1">
      <alignment horizontal="center" shrinkToFit="0" vertical="center" wrapText="0"/>
    </xf>
    <xf borderId="2" fillId="13" fontId="13" numFmtId="0" xfId="0" applyAlignment="1" applyBorder="1" applyFill="1" applyFont="1">
      <alignment horizontal="center" shrinkToFit="0" vertical="center" wrapText="0"/>
    </xf>
    <xf borderId="56" fillId="13" fontId="11" numFmtId="0" xfId="0" applyAlignment="1" applyBorder="1" applyFont="1">
      <alignment horizontal="center" shrinkToFit="0" vertical="center" wrapText="0"/>
    </xf>
    <xf borderId="53" fillId="3" fontId="28" numFmtId="0" xfId="0" applyAlignment="1" applyBorder="1" applyFont="1">
      <alignment horizontal="center" shrinkToFit="0" vertical="center" wrapText="0"/>
    </xf>
    <xf borderId="56" fillId="13" fontId="12" numFmtId="0" xfId="0" applyAlignment="1" applyBorder="1" applyFont="1">
      <alignment horizontal="center" shrinkToFit="0" vertical="center" wrapText="0"/>
    </xf>
    <xf borderId="2" fillId="14" fontId="29" numFmtId="0" xfId="0" applyAlignment="1" applyBorder="1" applyFill="1" applyFont="1">
      <alignment horizontal="center" shrinkToFit="0" vertical="center" wrapText="0"/>
    </xf>
    <xf borderId="2" fillId="14" fontId="30" numFmtId="0" xfId="0" applyAlignment="1" applyBorder="1" applyFont="1">
      <alignment horizontal="center" shrinkToFit="0" vertical="center" wrapText="0"/>
    </xf>
    <xf borderId="2" fillId="15" fontId="29" numFmtId="0" xfId="0" applyAlignment="1" applyBorder="1" applyFill="1" applyFont="1">
      <alignment horizontal="center" shrinkToFit="0" vertical="center" wrapText="0"/>
    </xf>
    <xf borderId="2" fillId="15" fontId="30" numFmtId="0" xfId="0" applyAlignment="1" applyBorder="1" applyFont="1">
      <alignment horizontal="center" shrinkToFit="0" vertical="center" wrapText="0"/>
    </xf>
    <xf borderId="46" fillId="3" fontId="28" numFmtId="0" xfId="0" applyAlignment="1" applyBorder="1" applyFont="1">
      <alignment horizontal="center" shrinkToFit="0" vertical="center" wrapText="0"/>
    </xf>
    <xf borderId="2" fillId="16" fontId="31" numFmtId="0" xfId="0" applyAlignment="1" applyBorder="1" applyFill="1" applyFont="1">
      <alignment horizontal="center" shrinkToFit="0" vertical="center" wrapText="0"/>
    </xf>
    <xf borderId="2" fillId="16" fontId="30" numFmtId="0" xfId="0" applyAlignment="1" applyBorder="1" applyFont="1">
      <alignment horizontal="center" shrinkToFit="0" vertical="center" wrapText="0"/>
    </xf>
    <xf borderId="2" fillId="17" fontId="31" numFmtId="0" xfId="0" applyAlignment="1" applyBorder="1" applyFill="1" applyFont="1">
      <alignment horizontal="center" shrinkToFit="0" vertical="center" wrapText="0"/>
    </xf>
    <xf borderId="2" fillId="17" fontId="30" numFmtId="0" xfId="0" applyAlignment="1" applyBorder="1" applyFont="1">
      <alignment horizontal="center" shrinkToFit="0" vertical="center" wrapText="0"/>
    </xf>
    <xf borderId="59" fillId="8" fontId="19" numFmtId="0" xfId="0" applyAlignment="1" applyBorder="1" applyFont="1">
      <alignment horizontal="center" shrinkToFit="0" vertical="center" wrapText="0"/>
    </xf>
    <xf borderId="60" fillId="3" fontId="28" numFmtId="0" xfId="0" applyAlignment="1" applyBorder="1" applyFont="1">
      <alignment horizontal="center" shrinkToFit="0" vertical="center" wrapText="0"/>
    </xf>
    <xf borderId="61" fillId="0" fontId="4" numFmtId="0" xfId="0" applyBorder="1" applyFont="1"/>
    <xf borderId="62" fillId="0" fontId="4" numFmtId="0" xfId="0" applyBorder="1" applyFont="1"/>
    <xf borderId="63" fillId="3" fontId="20" numFmtId="0" xfId="0" applyAlignment="1" applyBorder="1" applyFont="1">
      <alignment horizontal="center" shrinkToFit="0" vertical="center" wrapText="0"/>
    </xf>
    <xf borderId="64" fillId="4" fontId="23" numFmtId="0" xfId="0" applyAlignment="1" applyBorder="1" applyFont="1">
      <alignment shrinkToFit="0" wrapText="0"/>
    </xf>
    <xf borderId="65" fillId="9" fontId="21" numFmtId="0" xfId="0" applyAlignment="1" applyBorder="1" applyFont="1">
      <alignment horizontal="center" shrinkToFit="0" vertical="center" wrapText="0"/>
    </xf>
    <xf borderId="66" fillId="8" fontId="22" numFmtId="0" xfId="0" applyAlignment="1" applyBorder="1" applyFont="1">
      <alignment horizontal="center" shrinkToFit="0" wrapText="0"/>
    </xf>
    <xf borderId="66" fillId="10" fontId="22" numFmtId="0" xfId="0" applyAlignment="1" applyBorder="1" applyFont="1">
      <alignment horizontal="center" shrinkToFit="0" wrapText="0"/>
    </xf>
    <xf borderId="67" fillId="8" fontId="19" numFmtId="0" xfId="0" applyAlignment="1" applyBorder="1" applyFont="1">
      <alignment horizontal="center" shrinkToFit="0" vertical="center" wrapText="0"/>
    </xf>
    <xf borderId="68" fillId="3" fontId="28" numFmtId="0" xfId="0" applyAlignment="1" applyBorder="1" applyFont="1">
      <alignment horizontal="center" shrinkToFit="0" vertical="center" wrapText="0"/>
    </xf>
    <xf borderId="63" fillId="3" fontId="20" numFmtId="0" xfId="0" applyAlignment="1" applyBorder="1" applyFont="1">
      <alignment horizontal="center" shrinkToFit="0" wrapText="0"/>
    </xf>
    <xf borderId="66" fillId="8" fontId="22" numFmtId="0" xfId="0" applyAlignment="1" applyBorder="1" applyFont="1">
      <alignment horizontal="center" shrinkToFit="0" vertical="center" wrapText="0"/>
    </xf>
    <xf borderId="66" fillId="10" fontId="22" numFmtId="0" xfId="0" applyAlignment="1" applyBorder="1" applyFont="1">
      <alignment horizontal="center" shrinkToFit="0" vertical="center" wrapText="0"/>
    </xf>
    <xf borderId="68" fillId="3" fontId="20" numFmtId="0" xfId="0" applyAlignment="1" applyBorder="1" applyFont="1">
      <alignment horizontal="center" shrinkToFit="0" vertical="center" wrapText="0"/>
    </xf>
    <xf borderId="65" fillId="9" fontId="21" numFmtId="0" xfId="0" applyAlignment="1" applyBorder="1" applyFont="1">
      <alignment horizontal="center" shrinkToFit="0" wrapText="0"/>
    </xf>
    <xf borderId="69" fillId="10" fontId="22" numFmtId="0" xfId="0" applyAlignment="1" applyBorder="1" applyFont="1">
      <alignment horizontal="center" shrinkToFit="0" wrapText="0"/>
    </xf>
    <xf borderId="2" fillId="3" fontId="9" numFmtId="0" xfId="0" applyAlignment="1" applyBorder="1" applyFont="1">
      <alignment horizontal="center" shrinkToFit="0" vertical="center" wrapText="1"/>
    </xf>
    <xf borderId="26" fillId="18" fontId="12" numFmtId="0" xfId="0" applyAlignment="1" applyBorder="1" applyFill="1" applyFont="1">
      <alignment horizontal="center" shrinkToFit="0" vertical="center" wrapText="0"/>
    </xf>
    <xf borderId="70" fillId="19" fontId="5" numFmtId="0" xfId="0" applyAlignment="1" applyBorder="1" applyFill="1" applyFont="1">
      <alignment horizontal="center" shrinkToFit="0" vertical="center" wrapText="1"/>
    </xf>
    <xf borderId="71" fillId="0" fontId="4" numFmtId="0" xfId="0" applyBorder="1" applyFont="1"/>
    <xf borderId="72" fillId="0" fontId="4" numFmtId="0" xfId="0" applyBorder="1" applyFont="1"/>
    <xf borderId="5" fillId="19" fontId="15" numFmtId="0" xfId="0" applyAlignment="1" applyBorder="1" applyFont="1">
      <alignment horizontal="center" shrinkToFit="0" vertical="center" wrapText="0"/>
    </xf>
    <xf borderId="73" fillId="0" fontId="4" numFmtId="0" xfId="0" applyBorder="1" applyFont="1"/>
    <xf borderId="74" fillId="19" fontId="15" numFmtId="0" xfId="0" applyAlignment="1" applyBorder="1" applyFont="1">
      <alignment horizontal="center" shrinkToFit="0" vertical="center" wrapText="0"/>
    </xf>
    <xf borderId="74" fillId="19" fontId="15" numFmtId="0" xfId="0" applyAlignment="1" applyBorder="1" applyFont="1">
      <alignment horizontal="center" readingOrder="0" shrinkToFit="0" vertical="center" wrapText="0"/>
    </xf>
    <xf borderId="75" fillId="19" fontId="5" numFmtId="0" xfId="0" applyAlignment="1" applyBorder="1" applyFont="1">
      <alignment horizontal="center" shrinkToFit="0" wrapText="1"/>
    </xf>
    <xf borderId="76" fillId="0" fontId="4" numFmtId="0" xfId="0" applyBorder="1" applyFont="1"/>
    <xf borderId="77" fillId="0" fontId="4" numFmtId="0" xfId="0" applyBorder="1" applyFont="1"/>
    <xf borderId="78" fillId="0" fontId="15" numFmtId="0" xfId="0" applyAlignment="1" applyBorder="1" applyFont="1">
      <alignment horizontal="center" readingOrder="0" shrinkToFit="0" vertical="center" wrapText="0"/>
    </xf>
    <xf borderId="79" fillId="0" fontId="4" numFmtId="0" xfId="0" applyBorder="1" applyFont="1"/>
    <xf borderId="80" fillId="0" fontId="4" numFmtId="0" xfId="0" applyBorder="1" applyFont="1"/>
    <xf borderId="81" fillId="0" fontId="15" numFmtId="0" xfId="0" applyAlignment="1" applyBorder="1" applyFont="1">
      <alignment horizontal="center" shrinkToFit="0" vertical="center" wrapText="0"/>
    </xf>
    <xf borderId="81" fillId="19" fontId="15" numFmtId="0" xfId="0" applyAlignment="1" applyBorder="1" applyFont="1">
      <alignment horizontal="center" shrinkToFit="0" vertical="center" wrapText="0"/>
    </xf>
    <xf borderId="81" fillId="0" fontId="15" numFmtId="0" xfId="0" applyAlignment="1" applyBorder="1" applyFont="1">
      <alignment horizontal="center" readingOrder="0" shrinkToFit="0" vertical="center" wrapText="0"/>
    </xf>
    <xf borderId="82" fillId="0" fontId="4" numFmtId="0" xfId="0" applyBorder="1" applyFont="1"/>
    <xf borderId="78" fillId="0" fontId="15" numFmtId="0" xfId="0" applyAlignment="1" applyBorder="1" applyFont="1">
      <alignment horizontal="center" shrinkToFit="0" vertical="center" wrapText="0"/>
    </xf>
    <xf borderId="81" fillId="19" fontId="25" numFmtId="0" xfId="0" applyAlignment="1" applyBorder="1" applyFont="1">
      <alignment horizontal="center" shrinkToFit="0" wrapText="0"/>
    </xf>
    <xf borderId="83" fillId="0" fontId="15" numFmtId="0" xfId="0" applyAlignment="1" applyBorder="1" applyFont="1">
      <alignment horizontal="center" shrinkToFit="0" vertical="center" wrapText="0"/>
    </xf>
    <xf borderId="84" fillId="0" fontId="4" numFmtId="0" xfId="0" applyBorder="1" applyFont="1"/>
    <xf borderId="85" fillId="0" fontId="4" numFmtId="0" xfId="0" applyBorder="1" applyFont="1"/>
    <xf borderId="86" fillId="0" fontId="15" numFmtId="0" xfId="0" applyAlignment="1" applyBorder="1" applyFont="1">
      <alignment horizontal="center" shrinkToFit="0" vertical="center" wrapText="0"/>
    </xf>
    <xf borderId="86" fillId="19" fontId="25" numFmtId="0" xfId="0" applyAlignment="1" applyBorder="1" applyFont="1">
      <alignment horizontal="center" shrinkToFit="0" wrapText="0"/>
    </xf>
    <xf borderId="87" fillId="0" fontId="4" numFmtId="0" xfId="0" applyBorder="1" applyFont="1"/>
    <xf borderId="17" fillId="3" fontId="9" numFmtId="0" xfId="0" applyAlignment="1" applyBorder="1" applyFont="1">
      <alignment horizontal="center" shrinkToFit="0" vertical="center" wrapText="0"/>
    </xf>
    <xf borderId="88" fillId="3" fontId="9" numFmtId="0" xfId="0" applyAlignment="1" applyBorder="1" applyFont="1">
      <alignment horizontal="center" shrinkToFit="0" vertical="center" wrapText="0"/>
    </xf>
    <xf borderId="89" fillId="3" fontId="9" numFmtId="0" xfId="0" applyAlignment="1" applyBorder="1" applyFont="1">
      <alignment horizontal="center" shrinkToFit="0" vertical="center" wrapText="0"/>
    </xf>
    <xf borderId="90" fillId="19" fontId="5" numFmtId="0" xfId="0" applyAlignment="1" applyBorder="1" applyFont="1">
      <alignment horizontal="center" shrinkToFit="0" vertical="center" wrapText="1"/>
    </xf>
    <xf borderId="91" fillId="0" fontId="4" numFmtId="0" xfId="0" applyBorder="1" applyFont="1"/>
    <xf borderId="92" fillId="0" fontId="4" numFmtId="0" xfId="0" applyBorder="1" applyFont="1"/>
    <xf borderId="93" fillId="4" fontId="9" numFmtId="0" xfId="0" applyAlignment="1" applyBorder="1" applyFont="1">
      <alignment horizontal="center" shrinkToFit="0" vertical="center" wrapText="0"/>
    </xf>
    <xf borderId="94" fillId="0" fontId="4" numFmtId="0" xfId="0" applyBorder="1" applyFont="1"/>
    <xf borderId="88" fillId="4" fontId="9" numFmtId="0" xfId="0" applyAlignment="1" applyBorder="1" applyFont="1">
      <alignment horizontal="center" shrinkToFit="0" vertical="center" wrapText="0"/>
    </xf>
    <xf borderId="90" fillId="3" fontId="5" numFmtId="0" xfId="0" applyAlignment="1" applyBorder="1" applyFont="1">
      <alignment horizontal="center" readingOrder="0" shrinkToFit="0" vertical="center" wrapText="1"/>
    </xf>
    <xf borderId="88" fillId="4" fontId="5" numFmtId="0" xfId="0" applyAlignment="1" applyBorder="1" applyFont="1">
      <alignment horizontal="center" readingOrder="0" shrinkToFit="0" vertical="center" wrapText="1"/>
    </xf>
    <xf borderId="17" fillId="4" fontId="32" numFmtId="0" xfId="0" applyAlignment="1" applyBorder="1" applyFont="1">
      <alignment horizontal="center" readingOrder="0" shrinkToFit="0" vertical="center" wrapText="1"/>
    </xf>
    <xf borderId="95" fillId="0" fontId="4" numFmtId="0" xfId="0" applyBorder="1" applyFont="1"/>
    <xf borderId="96" fillId="4" fontId="32" numFmtId="0" xfId="0" applyAlignment="1" applyBorder="1" applyFont="1">
      <alignment horizontal="center" readingOrder="0" shrinkToFit="0" vertical="center" wrapText="1"/>
    </xf>
    <xf borderId="0" fillId="4" fontId="32" numFmtId="0" xfId="0" applyAlignment="1" applyFont="1">
      <alignment horizontal="center" readingOrder="0" shrinkToFit="0" vertical="center" wrapText="1"/>
    </xf>
    <xf borderId="18" fillId="4" fontId="32" numFmtId="0" xfId="0" applyAlignment="1" applyBorder="1" applyFont="1">
      <alignment horizontal="center" readingOrder="0" shrinkToFit="0" vertical="center" wrapText="1"/>
    </xf>
    <xf borderId="90" fillId="19" fontId="25" numFmtId="0" xfId="0" applyAlignment="1" applyBorder="1" applyFont="1">
      <alignment horizontal="center" readingOrder="0" shrinkToFit="0" vertical="center" wrapText="1"/>
    </xf>
    <xf borderId="97" fillId="0" fontId="4" numFmtId="0" xfId="0" applyBorder="1" applyFont="1"/>
    <xf borderId="98" fillId="0" fontId="4" numFmtId="0" xfId="0" applyBorder="1" applyFont="1"/>
    <xf borderId="99" fillId="0" fontId="4" numFmtId="0" xfId="0" applyBorder="1" applyFont="1"/>
    <xf borderId="100" fillId="0" fontId="4" numFmtId="0" xfId="0" applyBorder="1" applyFont="1"/>
    <xf borderId="101" fillId="0" fontId="4" numFmtId="0" xfId="0" applyBorder="1" applyFont="1"/>
    <xf borderId="56" fillId="3" fontId="5" numFmtId="0" xfId="0" applyAlignment="1" applyBorder="1" applyFont="1">
      <alignment horizontal="center" readingOrder="0" shrinkToFit="0" vertical="center" wrapText="1"/>
    </xf>
    <xf borderId="102" fillId="4" fontId="32" numFmtId="0" xfId="0" applyAlignment="1" applyBorder="1" applyFont="1">
      <alignment horizontal="center" readingOrder="0" shrinkToFit="0" vertical="center" wrapText="1"/>
    </xf>
    <xf borderId="103" fillId="0" fontId="4" numFmtId="0" xfId="0" applyBorder="1" applyFont="1"/>
    <xf borderId="104" fillId="0" fontId="4" numFmtId="0" xfId="0" applyBorder="1" applyFont="1"/>
    <xf borderId="105" fillId="4" fontId="32" numFmtId="0" xfId="0" applyAlignment="1" applyBorder="1" applyFont="1">
      <alignment horizontal="center" shrinkToFit="0" vertical="center" wrapText="1"/>
    </xf>
    <xf borderId="106" fillId="4" fontId="32" numFmtId="0" xfId="0" applyAlignment="1" applyBorder="1" applyFont="1">
      <alignment horizontal="center" shrinkToFit="0" vertical="center" wrapText="1"/>
    </xf>
    <xf borderId="107" fillId="0" fontId="4" numFmtId="0" xfId="0" applyBorder="1" applyFont="1"/>
    <xf borderId="56" fillId="20" fontId="12" numFmtId="0" xfId="0" applyAlignment="1" applyBorder="1" applyFill="1" applyFont="1">
      <alignment horizontal="center" readingOrder="0" shrinkToFit="0" vertical="center" wrapText="1"/>
    </xf>
    <xf borderId="88" fillId="4" fontId="32" numFmtId="0" xfId="0" applyAlignment="1" applyBorder="1" applyFont="1">
      <alignment horizontal="center" shrinkToFit="0" vertical="center" wrapText="1"/>
    </xf>
    <xf borderId="90" fillId="19" fontId="25" numFmtId="0" xfId="0" applyAlignment="1" applyBorder="1" applyFont="1">
      <alignment horizontal="center" shrinkToFit="0" vertical="center" wrapText="1"/>
    </xf>
    <xf borderId="108" fillId="0" fontId="4" numFmtId="0" xfId="0" applyBorder="1" applyFont="1"/>
    <xf borderId="109" fillId="0" fontId="4" numFmtId="0" xfId="0" applyBorder="1" applyFont="1"/>
    <xf borderId="56" fillId="4" fontId="32" numFmtId="0" xfId="0" applyAlignment="1" applyBorder="1" applyFont="1">
      <alignment horizontal="center" shrinkToFit="0" vertical="center" wrapText="1"/>
    </xf>
    <xf borderId="56" fillId="3" fontId="5" numFmtId="0" xfId="0" applyAlignment="1" applyBorder="1" applyFont="1">
      <alignment horizontal="center" shrinkToFit="0" vertical="center" wrapText="1"/>
    </xf>
    <xf borderId="110" fillId="19" fontId="25" numFmtId="0" xfId="0" applyAlignment="1" applyBorder="1" applyFont="1">
      <alignment horizontal="center" readingOrder="0" shrinkToFit="0" vertical="center" wrapText="1"/>
    </xf>
    <xf borderId="55" fillId="2" fontId="2" numFmtId="0" xfId="0" applyAlignment="1" applyBorder="1" applyFont="1">
      <alignment shrinkToFit="0" vertical="center" wrapText="0"/>
    </xf>
    <xf borderId="111" fillId="2" fontId="20" numFmtId="0" xfId="0" applyAlignment="1" applyBorder="1" applyFont="1">
      <alignment shrinkToFit="0" wrapText="0"/>
    </xf>
    <xf borderId="17" fillId="5" fontId="9" numFmtId="0" xfId="0" applyAlignment="1" applyBorder="1" applyFont="1">
      <alignment horizontal="center" shrinkToFit="0" vertical="center" wrapText="1"/>
    </xf>
    <xf borderId="22" fillId="2" fontId="20" numFmtId="0" xfId="0" applyAlignment="1" applyBorder="1" applyFont="1">
      <alignment shrinkToFit="0" wrapText="0"/>
    </xf>
    <xf borderId="17" fillId="18" fontId="33" numFmtId="0" xfId="0" applyAlignment="1" applyBorder="1" applyFont="1">
      <alignment horizontal="center" readingOrder="0" shrinkToFit="0" vertical="center" wrapText="1"/>
    </xf>
    <xf borderId="17" fillId="18" fontId="33" numFmtId="0" xfId="0" applyAlignment="1" applyBorder="1" applyFont="1">
      <alignment horizontal="center" shrinkToFit="0" vertical="center" wrapText="1"/>
    </xf>
    <xf borderId="2" fillId="4" fontId="25" numFmtId="0" xfId="0" applyAlignment="1" applyBorder="1" applyFont="1">
      <alignment horizontal="center" readingOrder="0" shrinkToFit="0" vertical="center" wrapText="1"/>
    </xf>
    <xf borderId="112" fillId="0" fontId="4" numFmtId="0" xfId="0" applyBorder="1" applyFont="1"/>
    <xf borderId="113" fillId="2" fontId="20" numFmtId="0" xfId="0" applyAlignment="1" applyBorder="1" applyFont="1">
      <alignment shrinkToFit="0" wrapText="0"/>
    </xf>
    <xf borderId="2" fillId="5" fontId="34" numFmtId="0" xfId="0" applyAlignment="1" applyBorder="1" applyFont="1">
      <alignment horizontal="center" readingOrder="0" shrinkToFit="0" vertical="center" wrapText="1"/>
    </xf>
    <xf borderId="88" fillId="5" fontId="25" numFmtId="0" xfId="0" applyAlignment="1" applyBorder="1" applyFont="1">
      <alignment horizontal="center" readingOrder="0" shrinkToFit="0" vertical="center" wrapText="1"/>
    </xf>
    <xf borderId="2" fillId="5" fontId="33" numFmtId="0" xfId="0" applyAlignment="1" applyBorder="1" applyFont="1">
      <alignment horizontal="center" readingOrder="0" shrinkToFit="0" vertical="center" wrapText="1"/>
    </xf>
    <xf borderId="88" fillId="4" fontId="25" numFmtId="0" xfId="0" applyAlignment="1" applyBorder="1" applyFont="1">
      <alignment horizontal="center" readingOrder="0" shrinkToFit="0" vertical="center" wrapText="1"/>
    </xf>
    <xf borderId="56" fillId="4" fontId="25" numFmtId="0" xfId="0" applyAlignment="1" applyBorder="1" applyFont="1">
      <alignment horizontal="center" readingOrder="0" shrinkToFit="0" vertical="center" wrapText="1"/>
    </xf>
    <xf borderId="56" fillId="4" fontId="25" numFmtId="164" xfId="0" applyAlignment="1" applyBorder="1" applyFont="1" applyNumberFormat="1">
      <alignment horizontal="center" readingOrder="0" shrinkToFit="0" vertical="center" wrapText="1"/>
    </xf>
    <xf borderId="56" fillId="4" fontId="25" numFmtId="164" xfId="0" applyAlignment="1" applyBorder="1" applyFont="1" applyNumberFormat="1">
      <alignment horizontal="center" readingOrder="0" shrinkToFit="0" vertical="center" wrapText="1"/>
    </xf>
    <xf borderId="1" fillId="2" fontId="20" numFmtId="0" xfId="0" applyAlignment="1" applyBorder="1" applyFont="1">
      <alignment shrinkToFit="0" wrapText="0"/>
    </xf>
    <xf borderId="28" fillId="2" fontId="25" numFmtId="0" xfId="0" applyAlignment="1" applyBorder="1" applyFont="1">
      <alignment horizontal="center" shrinkToFit="0" vertical="center" wrapText="1"/>
    </xf>
    <xf borderId="114" fillId="2" fontId="25" numFmtId="0" xfId="0" applyAlignment="1" applyBorder="1" applyFont="1">
      <alignment horizontal="center" shrinkToFit="0" vertical="center" wrapText="1"/>
    </xf>
    <xf borderId="115" fillId="2" fontId="25" numFmtId="0" xfId="0" applyAlignment="1" applyBorder="1" applyFont="1">
      <alignment horizontal="center" shrinkToFit="0" vertical="center" wrapText="1"/>
    </xf>
    <xf borderId="116" fillId="2" fontId="25" numFmtId="0" xfId="0" applyAlignment="1" applyBorder="1" applyFont="1">
      <alignment horizontal="center" shrinkToFit="0" vertical="center" wrapText="1"/>
    </xf>
    <xf borderId="15" fillId="2" fontId="20" numFmtId="0" xfId="0" applyAlignment="1" applyBorder="1" applyFont="1">
      <alignment shrinkToFit="0" wrapText="0"/>
    </xf>
    <xf borderId="117" fillId="2" fontId="35" numFmtId="0" xfId="0" applyAlignment="1" applyBorder="1" applyFont="1">
      <alignment shrinkToFit="0" wrapText="0"/>
    </xf>
    <xf borderId="17" fillId="21" fontId="36" numFmtId="0" xfId="0" applyAlignment="1" applyBorder="1" applyFill="1" applyFont="1">
      <alignment horizontal="center" shrinkToFit="0" vertical="center" wrapText="1"/>
    </xf>
    <xf borderId="89" fillId="21" fontId="36" numFmtId="0" xfId="0" applyAlignment="1" applyBorder="1" applyFont="1">
      <alignment horizontal="center" shrinkToFit="0" vertical="center" wrapText="1"/>
    </xf>
    <xf borderId="18" fillId="2" fontId="33" numFmtId="0" xfId="0" applyAlignment="1" applyBorder="1" applyFont="1">
      <alignment horizontal="center" shrinkToFit="0" vertical="center" wrapText="1"/>
    </xf>
    <xf borderId="17" fillId="21" fontId="33" numFmtId="0" xfId="0" applyAlignment="1" applyBorder="1" applyFont="1">
      <alignment horizontal="center" shrinkToFit="0" vertical="center" wrapText="1"/>
    </xf>
    <xf borderId="118" fillId="2" fontId="35" numFmtId="0" xfId="0" applyAlignment="1" applyBorder="1" applyFont="1">
      <alignment shrinkToFit="0" wrapText="0"/>
    </xf>
    <xf borderId="119" fillId="2" fontId="37" numFmtId="0" xfId="0" applyAlignment="1" applyBorder="1" applyFont="1">
      <alignment shrinkToFit="0" wrapText="0"/>
    </xf>
    <xf borderId="120" fillId="0" fontId="4" numFmtId="0" xfId="0" applyBorder="1" applyFont="1"/>
    <xf borderId="121" fillId="0" fontId="4" numFmtId="0" xfId="0" applyBorder="1" applyFont="1"/>
    <xf borderId="122" fillId="2" fontId="33" numFmtId="0" xfId="0" applyAlignment="1" applyBorder="1" applyFont="1">
      <alignment horizontal="center" shrinkToFit="0" vertical="center" wrapText="1"/>
    </xf>
    <xf borderId="123" fillId="0" fontId="4" numFmtId="0" xfId="0" applyBorder="1" applyFont="1"/>
    <xf borderId="124" fillId="2" fontId="37" numFmtId="0" xfId="0" applyAlignment="1" applyBorder="1" applyFont="1">
      <alignment shrinkToFit="0" wrapText="0"/>
    </xf>
    <xf borderId="119" fillId="2" fontId="38" numFmtId="0" xfId="0" applyAlignment="1" applyBorder="1" applyFont="1">
      <alignment shrinkToFit="0" wrapText="0"/>
    </xf>
    <xf borderId="125" fillId="4" fontId="15" numFmtId="0" xfId="0" applyAlignment="1" applyBorder="1" applyFont="1">
      <alignment horizontal="center" readingOrder="0" shrinkToFit="0" vertical="center" wrapText="1"/>
    </xf>
    <xf borderId="31" fillId="4" fontId="15" numFmtId="0" xfId="0" applyAlignment="1" applyBorder="1" applyFont="1">
      <alignment horizontal="center" shrinkToFit="0" vertical="center" wrapText="1"/>
    </xf>
    <xf borderId="31" fillId="4" fontId="15" numFmtId="0" xfId="0" applyAlignment="1" applyBorder="1" applyFont="1">
      <alignment horizontal="center" readingOrder="0" shrinkToFit="0" vertical="center" wrapText="1"/>
    </xf>
    <xf borderId="0" fillId="2" fontId="15" numFmtId="0" xfId="0" applyAlignment="1" applyFont="1">
      <alignment horizontal="center" shrinkToFit="0" vertical="center" wrapText="1"/>
    </xf>
    <xf borderId="125" fillId="4" fontId="15" numFmtId="0" xfId="0" applyAlignment="1" applyBorder="1" applyFont="1">
      <alignment horizontal="center" shrinkToFit="0" vertical="center" wrapText="1"/>
    </xf>
    <xf borderId="124" fillId="2" fontId="20" numFmtId="0" xfId="0" applyAlignment="1" applyBorder="1" applyFont="1">
      <alignment shrinkToFit="0" wrapText="0"/>
    </xf>
    <xf borderId="119" fillId="2" fontId="20" numFmtId="0" xfId="0" applyAlignment="1" applyBorder="1" applyFont="1">
      <alignment shrinkToFit="0" wrapText="0"/>
    </xf>
    <xf borderId="126" fillId="0" fontId="4" numFmtId="0" xfId="0" applyBorder="1" applyFont="1"/>
    <xf borderId="127" fillId="0" fontId="4" numFmtId="0" xfId="0" applyBorder="1" applyFont="1"/>
    <xf borderId="24" fillId="2" fontId="15" numFmtId="0" xfId="0" applyAlignment="1" applyBorder="1" applyFont="1">
      <alignment horizontal="center" shrinkToFit="0" vertical="center" wrapText="1"/>
    </xf>
    <xf borderId="128" fillId="2" fontId="20" numFmtId="0" xfId="0" applyAlignment="1" applyBorder="1" applyFont="1">
      <alignment shrinkToFit="0" wrapText="0"/>
    </xf>
    <xf borderId="107" fillId="2" fontId="20" numFmtId="0" xfId="0" applyAlignment="1" applyBorder="1" applyFont="1">
      <alignment shrinkToFit="0" wrapText="0"/>
    </xf>
    <xf borderId="115" fillId="2" fontId="20" numFmtId="0" xfId="0" applyAlignment="1" applyBorder="1" applyFont="1">
      <alignment shrinkToFit="0" wrapText="0"/>
    </xf>
    <xf borderId="129" fillId="2" fontId="20" numFmtId="0" xfId="0" applyAlignment="1" applyBorder="1" applyFont="1">
      <alignment shrinkToFit="0" wrapText="0"/>
    </xf>
    <xf borderId="130" fillId="2" fontId="20" numFmtId="0" xfId="0" applyAlignment="1" applyBorder="1" applyFont="1">
      <alignment shrinkToFit="0" wrapText="0"/>
    </xf>
    <xf borderId="0" fillId="2" fontId="20" numFmtId="0" xfId="0" applyAlignment="1" applyFont="1">
      <alignment shrinkToFit="0" wrapText="0"/>
    </xf>
    <xf borderId="17" fillId="22" fontId="39" numFmtId="0" xfId="0" applyAlignment="1" applyBorder="1" applyFill="1" applyFont="1">
      <alignment horizontal="center" shrinkToFit="0" vertical="center" wrapText="1"/>
    </xf>
    <xf borderId="131" fillId="0" fontId="4" numFmtId="0" xfId="0" applyBorder="1" applyFont="1"/>
    <xf borderId="89" fillId="22" fontId="39" numFmtId="0" xfId="0" applyAlignment="1" applyBorder="1" applyFont="1">
      <alignment horizontal="center" shrinkToFit="0" vertical="center" wrapText="1"/>
    </xf>
    <xf borderId="89" fillId="22" fontId="40" numFmtId="0" xfId="0" applyAlignment="1" applyBorder="1" applyFont="1">
      <alignment horizontal="center" shrinkToFit="0" vertical="center" wrapText="1"/>
    </xf>
    <xf borderId="89" fillId="22" fontId="40" numFmtId="0" xfId="0" applyAlignment="1" applyBorder="1" applyFont="1">
      <alignment horizontal="center" shrinkToFit="0" wrapText="1"/>
    </xf>
    <xf borderId="89" fillId="22" fontId="40" numFmtId="0" xfId="0" applyAlignment="1" applyBorder="1" applyFont="1">
      <alignment horizontal="center" readingOrder="0" shrinkToFit="0" vertical="center" wrapText="1"/>
    </xf>
    <xf borderId="132" fillId="0" fontId="4" numFmtId="0" xfId="0" applyBorder="1" applyFont="1"/>
    <xf borderId="123" fillId="23" fontId="41" numFmtId="0" xfId="0" applyAlignment="1" applyBorder="1" applyFill="1" applyFont="1">
      <alignment shrinkToFit="0" vertical="top" wrapText="1"/>
    </xf>
    <xf borderId="5" fillId="23" fontId="41" numFmtId="0" xfId="0" applyAlignment="1" applyBorder="1" applyFont="1">
      <alignment readingOrder="0" shrinkToFit="0" vertical="top" wrapText="1"/>
    </xf>
    <xf borderId="5" fillId="23" fontId="35" numFmtId="0" xfId="0" applyAlignment="1" applyBorder="1" applyFont="1">
      <alignment shrinkToFit="0" vertical="top" wrapText="1"/>
    </xf>
    <xf borderId="5" fillId="23" fontId="41" numFmtId="0" xfId="0" applyAlignment="1" applyBorder="1" applyFont="1">
      <alignment shrinkToFit="0" vertical="top" wrapText="1"/>
    </xf>
    <xf borderId="5" fillId="23" fontId="35" numFmtId="0" xfId="0" applyAlignment="1" applyBorder="1" applyFont="1">
      <alignment readingOrder="0" shrinkToFit="0" vertical="top" wrapText="1"/>
    </xf>
    <xf borderId="16" fillId="2" fontId="37" numFmtId="0" xfId="0" applyAlignment="1" applyBorder="1" applyFont="1">
      <alignment shrinkToFit="0" wrapText="0"/>
    </xf>
    <xf borderId="10" fillId="2" fontId="35" numFmtId="0" xfId="0" applyAlignment="1" applyBorder="1" applyFont="1">
      <alignment shrinkToFit="0" wrapText="0"/>
    </xf>
    <xf borderId="115" fillId="2" fontId="38" numFmtId="0" xfId="0" applyBorder="1" applyFont="1"/>
    <xf borderId="123" fillId="2" fontId="42" numFmtId="0" xfId="0" applyAlignment="1" applyBorder="1" applyFont="1">
      <alignment horizontal="right" shrinkToFit="0" vertical="center" wrapText="0"/>
    </xf>
    <xf borderId="123" fillId="2" fontId="20" numFmtId="0" xfId="0" applyAlignment="1" applyBorder="1" applyFont="1">
      <alignment shrinkToFit="0" wrapText="0"/>
    </xf>
    <xf borderId="0" fillId="20" fontId="43" numFmtId="0" xfId="0" applyAlignment="1" applyFont="1">
      <alignment horizontal="left" readingOrder="0" shrinkToFit="0" wrapText="0"/>
    </xf>
    <xf borderId="0" fillId="0" fontId="20" numFmtId="0" xfId="0" applyAlignment="1" applyFont="1">
      <alignment shrinkToFit="0" wrapText="0"/>
    </xf>
    <xf borderId="0" fillId="0" fontId="20" numFmtId="0" xfId="0" applyAlignment="1" applyFont="1">
      <alignment readingOrder="0" shrinkToFit="0" wrapText="0"/>
    </xf>
    <xf borderId="2" fillId="3" fontId="3" numFmtId="0" xfId="0" applyAlignment="1" applyBorder="1" applyFont="1">
      <alignment horizontal="center" shrinkToFit="0" vertical="center" wrapText="0"/>
    </xf>
    <xf borderId="5" fillId="4" fontId="13" numFmtId="0" xfId="0" applyAlignment="1" applyBorder="1" applyFont="1">
      <alignment horizontal="center" shrinkToFit="0" vertical="center" wrapText="0"/>
    </xf>
    <xf borderId="34" fillId="8" fontId="19" numFmtId="0" xfId="0" applyAlignment="1" applyBorder="1" applyFont="1">
      <alignment horizontal="center" shrinkToFit="0" vertical="center" wrapText="0"/>
    </xf>
    <xf borderId="43" fillId="11" fontId="23" numFmtId="0" xfId="0" applyAlignment="1" applyBorder="1" applyFont="1">
      <alignment shrinkToFit="0" wrapText="0"/>
    </xf>
    <xf borderId="133" fillId="3" fontId="5" numFmtId="0" xfId="0" applyAlignment="1" applyBorder="1" applyFont="1">
      <alignment horizontal="center" readingOrder="0" shrinkToFit="0" vertical="center" wrapText="1"/>
    </xf>
    <xf borderId="134" fillId="0" fontId="4" numFmtId="0" xfId="0" applyBorder="1" applyFont="1"/>
    <xf borderId="93" fillId="4" fontId="5" numFmtId="0" xfId="0" applyAlignment="1" applyBorder="1" applyFont="1">
      <alignment horizontal="center" readingOrder="0" shrinkToFit="0" vertical="center" wrapText="1"/>
    </xf>
    <xf borderId="2" fillId="4" fontId="32" numFmtId="0" xfId="0" applyAlignment="1" applyBorder="1" applyFont="1">
      <alignment horizontal="center" readingOrder="0" shrinkToFit="0" vertical="center" wrapText="1"/>
    </xf>
    <xf borderId="135" fillId="0" fontId="4" numFmtId="0" xfId="0" applyBorder="1" applyFont="1"/>
    <xf borderId="136" fillId="4" fontId="32" numFmtId="0" xfId="0" applyAlignment="1" applyBorder="1" applyFont="1">
      <alignment horizontal="center" readingOrder="0" shrinkToFit="0" vertical="center" wrapText="1"/>
    </xf>
    <xf borderId="137" fillId="0" fontId="4" numFmtId="0" xfId="0" applyBorder="1" applyFont="1"/>
    <xf borderId="3" fillId="4" fontId="32" numFmtId="0" xfId="0" applyAlignment="1" applyBorder="1" applyFont="1">
      <alignment horizontal="center" shrinkToFit="0" vertical="center" wrapText="1"/>
    </xf>
    <xf borderId="136" fillId="4" fontId="32" numFmtId="0" xfId="0" applyAlignment="1" applyBorder="1" applyFont="1">
      <alignment horizontal="center" shrinkToFit="0" vertical="center" wrapText="1"/>
    </xf>
    <xf borderId="138" fillId="0" fontId="4" numFmtId="0" xfId="0" applyBorder="1" applyFont="1"/>
    <xf borderId="139" fillId="0" fontId="4" numFmtId="0" xfId="0" applyBorder="1" applyFont="1"/>
    <xf borderId="140" fillId="0" fontId="4" numFmtId="0" xfId="0" applyBorder="1" applyFont="1"/>
    <xf borderId="141" fillId="0" fontId="4" numFmtId="0" xfId="0" applyBorder="1" applyFont="1"/>
    <xf borderId="142" fillId="0" fontId="4" numFmtId="0" xfId="0" applyBorder="1" applyFont="1"/>
    <xf borderId="143" fillId="0" fontId="4" numFmtId="0" xfId="0" applyBorder="1" applyFont="1"/>
    <xf borderId="144" fillId="0" fontId="4" numFmtId="0" xfId="0" applyBorder="1" applyFont="1"/>
    <xf borderId="145" fillId="4" fontId="32" numFmtId="0" xfId="0" applyAlignment="1" applyBorder="1" applyFont="1">
      <alignment horizontal="center" readingOrder="0" shrinkToFit="0" vertical="center" wrapText="1"/>
    </xf>
    <xf borderId="146" fillId="0" fontId="4" numFmtId="0" xfId="0" applyBorder="1" applyFont="1"/>
    <xf borderId="147" fillId="0" fontId="4" numFmtId="0" xfId="0" applyBorder="1" applyFont="1"/>
    <xf borderId="148" fillId="4" fontId="32" numFmtId="0" xfId="0" applyAlignment="1" applyBorder="1" applyFont="1">
      <alignment horizontal="center" readingOrder="0" shrinkToFit="0" vertical="center" wrapText="1"/>
    </xf>
    <xf borderId="149" fillId="0" fontId="4" numFmtId="0" xfId="0" applyBorder="1" applyFont="1"/>
    <xf borderId="146" fillId="4" fontId="32" numFmtId="0" xfId="0" applyAlignment="1" applyBorder="1" applyFont="1">
      <alignment horizontal="center" shrinkToFit="0" vertical="center" wrapText="1"/>
    </xf>
    <xf borderId="148" fillId="4" fontId="32" numFmtId="0" xfId="0" applyAlignment="1" applyBorder="1" applyFont="1">
      <alignment horizontal="center" shrinkToFit="0" vertical="center" wrapText="1"/>
    </xf>
    <xf borderId="150" fillId="0" fontId="4" numFmtId="0" xfId="0" applyBorder="1" applyFont="1"/>
    <xf borderId="151" fillId="0" fontId="4" numFmtId="0" xfId="0" applyBorder="1" applyFont="1"/>
    <xf borderId="133" fillId="19" fontId="25" numFmtId="0" xfId="0" applyAlignment="1" applyBorder="1" applyFont="1">
      <alignment horizontal="center" readingOrder="0" shrinkToFit="0" vertical="center" wrapText="1"/>
    </xf>
    <xf borderId="152" fillId="0" fontId="4" numFmtId="0" xfId="0" applyBorder="1" applyFont="1"/>
    <xf borderId="153" fillId="0" fontId="4" numFmtId="0" xfId="0" applyBorder="1" applyFont="1"/>
    <xf borderId="57" fillId="20" fontId="12" numFmtId="0" xfId="0" applyAlignment="1" applyBorder="1" applyFont="1">
      <alignment horizontal="center" readingOrder="0" shrinkToFit="0" vertical="center" wrapText="1"/>
    </xf>
    <xf borderId="154" fillId="0" fontId="4" numFmtId="0" xfId="0" applyBorder="1" applyFont="1"/>
    <xf borderId="57" fillId="4" fontId="32" numFmtId="0" xfId="0" applyAlignment="1" applyBorder="1" applyFont="1">
      <alignment horizontal="center" shrinkToFit="0" vertical="center" wrapText="1"/>
    </xf>
    <xf borderId="110" fillId="19" fontId="25" numFmtId="0" xfId="0" applyAlignment="1" applyBorder="1" applyFont="1">
      <alignment horizontal="center" shrinkToFit="0" vertical="center" wrapText="1"/>
    </xf>
    <xf borderId="2" fillId="24" fontId="44" numFmtId="0" xfId="0" applyAlignment="1" applyBorder="1" applyFill="1" applyFont="1">
      <alignment horizontal="center" shrinkToFit="0" vertical="center" wrapText="0"/>
    </xf>
    <xf borderId="2" fillId="24" fontId="16" numFmtId="0" xfId="0" applyAlignment="1" applyBorder="1" applyFont="1">
      <alignment horizontal="center" shrinkToFit="0" vertical="center" wrapText="0"/>
    </xf>
    <xf borderId="2" fillId="24" fontId="45" numFmtId="0" xfId="0" applyAlignment="1" applyBorder="1" applyFont="1">
      <alignment horizontal="center" shrinkToFit="0" vertical="center" wrapText="0"/>
    </xf>
    <xf borderId="17" fillId="24" fontId="30" numFmtId="0" xfId="0" applyAlignment="1" applyBorder="1" applyFont="1">
      <alignment horizontal="center" shrinkToFit="0" vertical="center" wrapText="0"/>
    </xf>
    <xf borderId="26" fillId="11" fontId="11" numFmtId="0" xfId="0" applyAlignment="1" applyBorder="1" applyFont="1">
      <alignment horizontal="center" shrinkToFit="0" vertical="center" wrapText="0"/>
    </xf>
    <xf borderId="17" fillId="24" fontId="29" numFmtId="0" xfId="0" applyAlignment="1" applyBorder="1" applyFont="1">
      <alignment horizontal="center" shrinkToFit="0" vertical="center" wrapText="0"/>
    </xf>
    <xf borderId="26" fillId="11" fontId="14" numFmtId="0" xfId="0" applyAlignment="1" applyBorder="1" applyFont="1">
      <alignment horizontal="center" shrinkToFit="0" vertical="center" wrapText="0"/>
    </xf>
    <xf borderId="17" fillId="24" fontId="29" numFmtId="0" xfId="0" applyAlignment="1" applyBorder="1" applyFont="1">
      <alignment horizontal="center" readingOrder="0" shrinkToFit="0" vertical="center" wrapText="0"/>
    </xf>
    <xf borderId="26" fillId="22" fontId="14" numFmtId="0" xfId="0" applyAlignment="1" applyBorder="1" applyFont="1">
      <alignment horizontal="center" shrinkToFit="0" vertical="center" wrapText="0"/>
    </xf>
    <xf borderId="26" fillId="11" fontId="11" numFmtId="0" xfId="0" applyAlignment="1" applyBorder="1" applyFont="1">
      <alignment horizontal="center" readingOrder="0" shrinkToFit="0" vertical="center" wrapText="0"/>
    </xf>
    <xf borderId="26" fillId="11" fontId="5" numFmtId="0" xfId="0" applyAlignment="1" applyBorder="1" applyFont="1">
      <alignment horizontal="center" readingOrder="0" shrinkToFit="0" wrapText="0"/>
    </xf>
    <xf borderId="26" fillId="11" fontId="5" numFmtId="0" xfId="0" applyAlignment="1" applyBorder="1" applyFont="1">
      <alignment horizontal="center" shrinkToFit="0" wrapText="0"/>
    </xf>
    <xf borderId="26" fillId="11" fontId="16" numFmtId="0" xfId="0" applyAlignment="1" applyBorder="1" applyFont="1">
      <alignment horizontal="center" shrinkToFit="0" vertical="center" wrapText="0"/>
    </xf>
    <xf borderId="26" fillId="22" fontId="16" numFmtId="0" xfId="0" applyAlignment="1" applyBorder="1" applyFont="1">
      <alignment horizontal="center" shrinkToFit="0" vertical="center" wrapText="0"/>
    </xf>
    <xf borderId="148" fillId="24" fontId="30" numFmtId="0" xfId="0" applyAlignment="1" applyBorder="1" applyFont="1">
      <alignment horizontal="center" shrinkToFit="0" vertical="center" wrapText="0"/>
    </xf>
    <xf borderId="148" fillId="24" fontId="31" numFmtId="0" xfId="0" applyAlignment="1" applyBorder="1" applyFont="1">
      <alignment horizontal="center" shrinkToFit="0" vertical="center" wrapText="0"/>
    </xf>
    <xf borderId="148" fillId="24" fontId="46" numFmtId="0" xfId="0" applyAlignment="1" applyBorder="1" applyFont="1">
      <alignment horizontal="center" shrinkToFit="0" vertical="center" wrapText="0"/>
    </xf>
    <xf borderId="0" fillId="8" fontId="19" numFmtId="0" xfId="0" applyAlignment="1" applyFont="1">
      <alignment horizontal="center" shrinkToFit="0" vertical="center" wrapText="0"/>
    </xf>
    <xf borderId="0" fillId="24" fontId="39" numFmtId="0" xfId="0" applyAlignment="1" applyFont="1">
      <alignment horizontal="center" shrinkToFit="0" vertical="center" wrapText="0"/>
    </xf>
    <xf borderId="155" fillId="4" fontId="20" numFmtId="0" xfId="0" applyAlignment="1" applyBorder="1" applyFont="1">
      <alignment horizontal="center" readingOrder="0" shrinkToFit="0" vertical="center" wrapText="0"/>
    </xf>
    <xf borderId="156" fillId="25" fontId="21" numFmtId="0" xfId="0" applyAlignment="1" applyBorder="1" applyFill="1" applyFont="1">
      <alignment horizontal="center" shrinkToFit="0" vertical="center" wrapText="0"/>
    </xf>
    <xf borderId="156" fillId="23" fontId="22" numFmtId="0" xfId="0" applyAlignment="1" applyBorder="1" applyFont="1">
      <alignment horizontal="center" shrinkToFit="0" wrapText="0"/>
    </xf>
    <xf borderId="157" fillId="22" fontId="22" numFmtId="0" xfId="0" applyAlignment="1" applyBorder="1" applyFont="1">
      <alignment horizontal="center" shrinkToFit="0" wrapText="0"/>
    </xf>
    <xf borderId="155" fillId="4" fontId="23" numFmtId="0" xfId="0" applyAlignment="1" applyBorder="1" applyFont="1">
      <alignment readingOrder="0" shrinkToFit="0" wrapText="0"/>
    </xf>
    <xf borderId="156" fillId="23" fontId="22" numFmtId="0" xfId="0" applyAlignment="1" applyBorder="1" applyFont="1">
      <alignment horizontal="center" shrinkToFit="0" vertical="center" wrapText="0"/>
    </xf>
    <xf borderId="157" fillId="22" fontId="22" numFmtId="0" xfId="0" applyAlignment="1" applyBorder="1" applyFont="1">
      <alignment horizontal="center" shrinkToFit="0" vertical="center" wrapText="0"/>
    </xf>
    <xf borderId="155" fillId="11" fontId="23" numFmtId="0" xfId="0" applyAlignment="1" applyBorder="1" applyFont="1">
      <alignment shrinkToFit="0" wrapText="0"/>
    </xf>
    <xf borderId="0" fillId="24" fontId="39" numFmtId="0" xfId="0" applyAlignment="1" applyFont="1">
      <alignment horizontal="center" shrinkToFit="0" wrapText="0"/>
    </xf>
    <xf borderId="155" fillId="4" fontId="23" numFmtId="0" xfId="0" applyAlignment="1" applyBorder="1" applyFont="1">
      <alignment shrinkToFit="0" wrapText="0"/>
    </xf>
    <xf borderId="156" fillId="25" fontId="21" numFmtId="0" xfId="0" applyAlignment="1" applyBorder="1" applyFont="1">
      <alignment horizontal="center" shrinkToFit="0" wrapText="0"/>
    </xf>
    <xf borderId="156" fillId="22" fontId="22" numFmtId="0" xfId="0" applyAlignment="1" applyBorder="1" applyFont="1">
      <alignment horizontal="center" shrinkToFit="0" wrapText="0"/>
    </xf>
    <xf borderId="0" fillId="8" fontId="24" numFmtId="0" xfId="0" applyAlignment="1" applyFont="1">
      <alignment horizontal="center" shrinkToFit="0" vertical="center" wrapText="0"/>
    </xf>
    <xf borderId="2" fillId="24" fontId="30" numFmtId="0" xfId="0" applyAlignment="1" applyBorder="1" applyFont="1">
      <alignment horizontal="center" shrinkToFit="0" vertical="center" wrapText="0"/>
    </xf>
    <xf borderId="0" fillId="24" fontId="22" numFmtId="0" xfId="0" applyAlignment="1" applyFont="1">
      <alignment horizontal="center" readingOrder="0" shrinkToFit="0" vertical="center" wrapText="0"/>
    </xf>
    <xf borderId="0" fillId="24" fontId="22" numFmtId="0" xfId="0" applyAlignment="1" applyFont="1">
      <alignment horizontal="center" shrinkToFit="0" vertical="center" wrapText="0"/>
    </xf>
    <xf borderId="56" fillId="24" fontId="31" numFmtId="0" xfId="0" applyAlignment="1" applyBorder="1" applyFont="1">
      <alignment horizontal="center" shrinkToFit="0" vertical="center" wrapText="0"/>
    </xf>
    <xf borderId="56" fillId="25" fontId="17" numFmtId="0" xfId="0" applyAlignment="1" applyBorder="1" applyFont="1">
      <alignment horizontal="center" shrinkToFit="0" vertical="center" wrapText="0"/>
    </xf>
    <xf borderId="56" fillId="11" fontId="26" numFmtId="0" xfId="0" applyAlignment="1" applyBorder="1" applyFont="1">
      <alignment horizontal="center" shrinkToFit="0" vertical="center" wrapText="0"/>
    </xf>
    <xf borderId="56" fillId="22" fontId="26" numFmtId="0" xfId="0" applyAlignment="1" applyBorder="1" applyFont="1">
      <alignment horizontal="center" shrinkToFit="0" vertical="center" wrapText="0"/>
    </xf>
    <xf borderId="56" fillId="24" fontId="47" numFmtId="0" xfId="0" applyAlignment="1" applyBorder="1" applyFont="1">
      <alignment horizontal="center" shrinkToFit="0" vertical="center" wrapText="0"/>
    </xf>
    <xf borderId="56" fillId="25" fontId="27" numFmtId="0" xfId="0" applyAlignment="1" applyBorder="1" applyFont="1">
      <alignment horizontal="center" shrinkToFit="0" vertical="center" wrapText="0"/>
    </xf>
    <xf borderId="2" fillId="24" fontId="48" numFmtId="0" xfId="0" applyAlignment="1" applyBorder="1" applyFont="1">
      <alignment horizontal="center" shrinkToFit="0" vertical="center" wrapText="0"/>
    </xf>
    <xf borderId="56" fillId="24" fontId="14" numFmtId="0" xfId="0" applyAlignment="1" applyBorder="1" applyFont="1">
      <alignment horizontal="center" shrinkToFit="0" vertical="center" wrapText="0"/>
    </xf>
    <xf borderId="56" fillId="24" fontId="29" numFmtId="0" xfId="0" applyAlignment="1" applyBorder="1" applyFont="1">
      <alignment horizontal="center" shrinkToFit="0" vertical="center" wrapText="0"/>
    </xf>
    <xf borderId="0" fillId="24" fontId="39" numFmtId="0" xfId="0" applyAlignment="1" applyFont="1">
      <alignment horizontal="center" readingOrder="0" shrinkToFit="0" vertical="center" wrapText="0"/>
    </xf>
    <xf borderId="156" fillId="22" fontId="22" numFmtId="0" xfId="0" applyAlignment="1" applyBorder="1" applyFont="1">
      <alignment horizontal="center" shrinkToFit="0" vertical="center" wrapText="0"/>
    </xf>
    <xf borderId="2" fillId="11" fontId="9" numFmtId="0" xfId="0" applyAlignment="1" applyBorder="1" applyFont="1">
      <alignment horizontal="center" shrinkToFit="0" vertical="center" wrapText="1"/>
    </xf>
    <xf borderId="26" fillId="11" fontId="12" numFmtId="0" xfId="0" applyAlignment="1" applyBorder="1" applyFont="1">
      <alignment horizontal="center" shrinkToFit="0" vertical="center" wrapText="0"/>
    </xf>
    <xf borderId="88" fillId="24" fontId="30" numFmtId="0" xfId="0" applyAlignment="1" applyBorder="1" applyFont="1">
      <alignment horizontal="center" shrinkToFit="0" vertical="center" wrapText="0"/>
    </xf>
    <xf borderId="89" fillId="24" fontId="30" numFmtId="0" xfId="0" applyAlignment="1" applyBorder="1" applyFont="1">
      <alignment horizontal="center" shrinkToFit="0" vertical="center" wrapText="0"/>
    </xf>
    <xf borderId="133" fillId="11" fontId="5" numFmtId="0" xfId="0" applyAlignment="1" applyBorder="1" applyFont="1">
      <alignment horizontal="center" readingOrder="0" shrinkToFit="0" vertical="center" wrapText="1"/>
    </xf>
    <xf borderId="56" fillId="11" fontId="5" numFmtId="0" xfId="0" applyAlignment="1" applyBorder="1" applyFont="1">
      <alignment horizontal="center" readingOrder="0" shrinkToFit="0" vertical="center" wrapText="1"/>
    </xf>
    <xf borderId="57" fillId="11" fontId="12" numFmtId="0" xfId="0" applyAlignment="1" applyBorder="1" applyFont="1">
      <alignment horizontal="center" readingOrder="0" shrinkToFit="0" vertical="center" wrapText="1"/>
    </xf>
    <xf borderId="56" fillId="11" fontId="5" numFmtId="0" xfId="0" applyAlignment="1" applyBorder="1" applyFont="1">
      <alignment horizontal="center" shrinkToFit="0" vertical="center" wrapText="1"/>
    </xf>
    <xf borderId="17" fillId="24" fontId="30" numFmtId="0" xfId="0" applyAlignment="1" applyBorder="1" applyFont="1">
      <alignment horizontal="center" shrinkToFit="0" vertical="center" wrapText="1"/>
    </xf>
    <xf borderId="17" fillId="11" fontId="33" numFmtId="0" xfId="0" applyAlignment="1" applyBorder="1" applyFont="1">
      <alignment horizontal="center" readingOrder="0" shrinkToFit="0" vertical="center" wrapText="1"/>
    </xf>
    <xf borderId="17" fillId="11" fontId="33" numFmtId="0" xfId="0" applyAlignment="1" applyBorder="1" applyFont="1">
      <alignment horizontal="center" shrinkToFit="0" vertical="center" wrapText="1"/>
    </xf>
    <xf borderId="2" fillId="24" fontId="49" numFmtId="0" xfId="0" applyAlignment="1" applyBorder="1" applyFont="1">
      <alignment horizontal="center" readingOrder="0" shrinkToFit="0" vertical="center" wrapText="1"/>
    </xf>
    <xf borderId="88" fillId="24" fontId="22" numFmtId="0" xfId="0" applyAlignment="1" applyBorder="1" applyFont="1">
      <alignment horizontal="center" readingOrder="0" shrinkToFit="0" vertical="center" wrapText="1"/>
    </xf>
    <xf borderId="2" fillId="24" fontId="50" numFmtId="0" xfId="0" applyAlignment="1" applyBorder="1" applyFont="1">
      <alignment horizontal="center" readingOrder="0" shrinkToFit="0" vertical="center" wrapText="1"/>
    </xf>
    <xf borderId="2" fillId="26" fontId="3" numFmtId="0" xfId="0" applyAlignment="1" applyBorder="1" applyFill="1" applyFont="1">
      <alignment horizontal="center" shrinkToFit="0" vertical="center" wrapText="0"/>
    </xf>
    <xf borderId="2" fillId="26" fontId="5" numFmtId="0" xfId="0" applyAlignment="1" applyBorder="1" applyFont="1">
      <alignment horizontal="center" shrinkToFit="0" vertical="center" wrapText="0"/>
    </xf>
    <xf borderId="2" fillId="26" fontId="8" numFmtId="0" xfId="0" applyAlignment="1" applyBorder="1" applyFont="1">
      <alignment horizontal="center" shrinkToFit="0" vertical="center" wrapText="0"/>
    </xf>
    <xf borderId="17" fillId="26" fontId="9" numFmtId="0" xfId="0" applyAlignment="1" applyBorder="1" applyFont="1">
      <alignment horizontal="center" shrinkToFit="0" vertical="center" wrapText="0"/>
    </xf>
    <xf borderId="26" fillId="26" fontId="11" numFmtId="0" xfId="0" applyAlignment="1" applyBorder="1" applyFont="1">
      <alignment horizontal="center" shrinkToFit="0" vertical="center" wrapText="0"/>
    </xf>
    <xf borderId="17" fillId="26" fontId="12" numFmtId="0" xfId="0" applyAlignment="1" applyBorder="1" applyFont="1">
      <alignment horizontal="center" shrinkToFit="0" vertical="center" wrapText="0"/>
    </xf>
    <xf borderId="26" fillId="27" fontId="14" numFmtId="0" xfId="0" applyAlignment="1" applyBorder="1" applyFill="1" applyFont="1">
      <alignment horizontal="center" shrinkToFit="0" vertical="center" wrapText="0"/>
    </xf>
    <xf borderId="17" fillId="26" fontId="12" numFmtId="0" xfId="0" applyAlignment="1" applyBorder="1" applyFont="1">
      <alignment horizontal="center" readingOrder="0" shrinkToFit="0" vertical="center" wrapText="0"/>
    </xf>
    <xf borderId="26" fillId="28" fontId="14" numFmtId="0" xfId="0" applyAlignment="1" applyBorder="1" applyFill="1" applyFont="1">
      <alignment horizontal="center" shrinkToFit="0" vertical="center" wrapText="0"/>
    </xf>
    <xf borderId="26" fillId="26" fontId="11" numFmtId="0" xfId="0" applyAlignment="1" applyBorder="1" applyFont="1">
      <alignment horizontal="center" readingOrder="0" shrinkToFit="0" vertical="center" wrapText="0"/>
    </xf>
    <xf borderId="26" fillId="26" fontId="5" numFmtId="0" xfId="0" applyAlignment="1" applyBorder="1" applyFont="1">
      <alignment horizontal="center" readingOrder="0" shrinkToFit="0" wrapText="0"/>
    </xf>
    <xf borderId="26" fillId="26" fontId="5" numFmtId="0" xfId="0" applyAlignment="1" applyBorder="1" applyFont="1">
      <alignment horizontal="center" shrinkToFit="0" wrapText="0"/>
    </xf>
    <xf borderId="26" fillId="27" fontId="16" numFmtId="0" xfId="0" applyAlignment="1" applyBorder="1" applyFont="1">
      <alignment horizontal="center" shrinkToFit="0" vertical="center" wrapText="0"/>
    </xf>
    <xf borderId="26" fillId="28" fontId="16" numFmtId="0" xfId="0" applyAlignment="1" applyBorder="1" applyFont="1">
      <alignment horizontal="center" shrinkToFit="0" vertical="center" wrapText="0"/>
    </xf>
    <xf borderId="2" fillId="26" fontId="9" numFmtId="0" xfId="0" applyAlignment="1" applyBorder="1" applyFont="1">
      <alignment horizontal="center" shrinkToFit="0" vertical="center" wrapText="0"/>
    </xf>
    <xf borderId="2" fillId="26" fontId="17" numFmtId="0" xfId="0" applyAlignment="1" applyBorder="1" applyFont="1">
      <alignment horizontal="center" shrinkToFit="0" vertical="center" wrapText="0"/>
    </xf>
    <xf borderId="31" fillId="26" fontId="18" numFmtId="0" xfId="0" applyAlignment="1" applyBorder="1" applyFont="1">
      <alignment horizontal="center" shrinkToFit="0" vertical="center" wrapText="0"/>
    </xf>
    <xf borderId="0" fillId="26" fontId="19" numFmtId="0" xfId="0" applyAlignment="1" applyFont="1">
      <alignment horizontal="center" shrinkToFit="0" vertical="center" wrapText="0"/>
    </xf>
    <xf borderId="0" fillId="26" fontId="20" numFmtId="0" xfId="0" applyAlignment="1" applyFont="1">
      <alignment horizontal="center" shrinkToFit="0" vertical="center" wrapText="0"/>
    </xf>
    <xf borderId="0" fillId="4" fontId="20" numFmtId="0" xfId="0" applyAlignment="1" applyFont="1">
      <alignment horizontal="center" readingOrder="0" shrinkToFit="0" vertical="center" wrapText="0"/>
    </xf>
    <xf borderId="0" fillId="26" fontId="21" numFmtId="0" xfId="0" applyAlignment="1" applyFont="1">
      <alignment horizontal="center" shrinkToFit="0" vertical="center" wrapText="0"/>
    </xf>
    <xf borderId="0" fillId="27" fontId="22" numFmtId="0" xfId="0" applyAlignment="1" applyFont="1">
      <alignment horizontal="center" shrinkToFit="0" wrapText="0"/>
    </xf>
    <xf borderId="0" fillId="28" fontId="22" numFmtId="0" xfId="0" applyAlignment="1" applyFont="1">
      <alignment horizontal="center" shrinkToFit="0" wrapText="0"/>
    </xf>
    <xf borderId="0" fillId="4" fontId="23" numFmtId="0" xfId="0" applyAlignment="1" applyFont="1">
      <alignment readingOrder="0" shrinkToFit="0" wrapText="0"/>
    </xf>
    <xf borderId="0" fillId="27" fontId="22" numFmtId="0" xfId="0" applyAlignment="1" applyFont="1">
      <alignment horizontal="center" shrinkToFit="0" vertical="center" wrapText="0"/>
    </xf>
    <xf borderId="0" fillId="28" fontId="22" numFmtId="0" xfId="0" applyAlignment="1" applyFont="1">
      <alignment horizontal="center" shrinkToFit="0" vertical="center" wrapText="0"/>
    </xf>
    <xf borderId="0" fillId="11" fontId="23" numFmtId="0" xfId="0" applyAlignment="1" applyFont="1">
      <alignment shrinkToFit="0" wrapText="0"/>
    </xf>
    <xf borderId="0" fillId="26" fontId="20" numFmtId="0" xfId="0" applyAlignment="1" applyFont="1">
      <alignment horizontal="center" shrinkToFit="0" wrapText="0"/>
    </xf>
    <xf borderId="0" fillId="4" fontId="23" numFmtId="0" xfId="0" applyAlignment="1" applyFont="1">
      <alignment shrinkToFit="0" wrapText="0"/>
    </xf>
    <xf borderId="0" fillId="26" fontId="21" numFmtId="0" xfId="0" applyAlignment="1" applyFont="1">
      <alignment horizontal="center" shrinkToFit="0" wrapText="0"/>
    </xf>
    <xf borderId="0" fillId="26" fontId="24" numFmtId="0" xfId="0" applyAlignment="1" applyFont="1">
      <alignment horizontal="center" shrinkToFit="0" vertical="center" wrapText="0"/>
    </xf>
    <xf borderId="0" fillId="26" fontId="25" numFmtId="0" xfId="0" applyAlignment="1" applyFont="1">
      <alignment horizontal="center" readingOrder="0" shrinkToFit="0" vertical="center" wrapText="0"/>
    </xf>
    <xf borderId="0" fillId="26" fontId="25" numFmtId="0" xfId="0" applyAlignment="1" applyFont="1">
      <alignment horizontal="center" shrinkToFit="0" vertical="center" wrapText="0"/>
    </xf>
    <xf borderId="56" fillId="26" fontId="17" numFmtId="0" xfId="0" applyAlignment="1" applyBorder="1" applyFont="1">
      <alignment horizontal="center" shrinkToFit="0" vertical="center" wrapText="0"/>
    </xf>
    <xf borderId="56" fillId="29" fontId="17" numFmtId="0" xfId="0" applyAlignment="1" applyBorder="1" applyFill="1" applyFont="1">
      <alignment horizontal="center" shrinkToFit="0" vertical="center" wrapText="0"/>
    </xf>
    <xf borderId="56" fillId="29" fontId="51" numFmtId="0" xfId="0" applyAlignment="1" applyBorder="1" applyFont="1">
      <alignment horizontal="center" shrinkToFit="0" vertical="center" wrapText="0"/>
    </xf>
    <xf borderId="56" fillId="30" fontId="52" numFmtId="0" xfId="0" applyAlignment="1" applyBorder="1" applyFill="1" applyFont="1">
      <alignment horizontal="center" shrinkToFit="0" vertical="center" wrapText="0"/>
    </xf>
    <xf borderId="56" fillId="28" fontId="52" numFmtId="0" xfId="0" applyAlignment="1" applyBorder="1" applyFont="1">
      <alignment horizontal="center" shrinkToFit="0" vertical="center" wrapText="0"/>
    </xf>
    <xf borderId="56" fillId="26" fontId="27" numFmtId="0" xfId="0" applyAlignment="1" applyBorder="1" applyFont="1">
      <alignment horizontal="center" shrinkToFit="0" vertical="center" wrapText="0"/>
    </xf>
    <xf borderId="56" fillId="29" fontId="27" numFmtId="0" xfId="0" applyAlignment="1" applyBorder="1" applyFont="1">
      <alignment horizontal="center" shrinkToFit="0" vertical="center" wrapText="0"/>
    </xf>
    <xf borderId="2" fillId="26" fontId="13" numFmtId="0" xfId="0" applyAlignment="1" applyBorder="1" applyFont="1">
      <alignment horizontal="center" shrinkToFit="0" vertical="center" wrapText="0"/>
    </xf>
    <xf borderId="56" fillId="26" fontId="11" numFmtId="0" xfId="0" applyAlignment="1" applyBorder="1" applyFont="1">
      <alignment horizontal="center" shrinkToFit="0" vertical="center" wrapText="0"/>
    </xf>
    <xf borderId="56" fillId="26" fontId="12" numFmtId="0" xfId="0" applyAlignment="1" applyBorder="1" applyFont="1">
      <alignment horizontal="center" shrinkToFit="0" vertical="center" wrapText="0"/>
    </xf>
    <xf borderId="0" fillId="26" fontId="20" numFmtId="0" xfId="0" applyAlignment="1" applyFont="1">
      <alignment horizontal="center" readingOrder="0" shrinkToFit="0" vertical="center" wrapText="0"/>
    </xf>
    <xf borderId="0" fillId="26" fontId="53" numFmtId="0" xfId="0" applyAlignment="1" applyFont="1">
      <alignment horizontal="center" shrinkToFit="0" vertical="center" wrapText="0"/>
    </xf>
    <xf borderId="17" fillId="29" fontId="9" numFmtId="0" xfId="0" applyAlignment="1" applyBorder="1" applyFont="1">
      <alignment horizontal="center" shrinkToFit="0" vertical="center" wrapText="0"/>
    </xf>
    <xf borderId="2" fillId="26" fontId="9" numFmtId="0" xfId="0" applyAlignment="1" applyBorder="1" applyFont="1">
      <alignment horizontal="center" shrinkToFit="0" vertical="center" wrapText="1"/>
    </xf>
    <xf borderId="26" fillId="29" fontId="12" numFmtId="0" xfId="0" applyAlignment="1" applyBorder="1" applyFont="1">
      <alignment horizontal="center" shrinkToFit="0" vertical="center" wrapText="0"/>
    </xf>
    <xf borderId="88" fillId="26" fontId="9" numFmtId="0" xfId="0" applyAlignment="1" applyBorder="1" applyFont="1">
      <alignment horizontal="center" shrinkToFit="0" vertical="center" wrapText="0"/>
    </xf>
    <xf borderId="89" fillId="26" fontId="9" numFmtId="0" xfId="0" applyAlignment="1" applyBorder="1" applyFont="1">
      <alignment horizontal="center" shrinkToFit="0" vertical="center" wrapText="0"/>
    </xf>
    <xf borderId="133" fillId="26" fontId="5" numFmtId="0" xfId="0" applyAlignment="1" applyBorder="1" applyFont="1">
      <alignment horizontal="center" readingOrder="0" shrinkToFit="0" vertical="center" wrapText="1"/>
    </xf>
    <xf borderId="56" fillId="26" fontId="5" numFmtId="0" xfId="0" applyAlignment="1" applyBorder="1" applyFont="1">
      <alignment horizontal="center" readingOrder="0" shrinkToFit="0" vertical="center" wrapText="1"/>
    </xf>
    <xf borderId="57" fillId="26" fontId="12" numFmtId="0" xfId="0" applyAlignment="1" applyBorder="1" applyFont="1">
      <alignment horizontal="center" readingOrder="0" shrinkToFit="0" vertical="center" wrapText="1"/>
    </xf>
    <xf borderId="56" fillId="26" fontId="5" numFmtId="0" xfId="0" applyAlignment="1" applyBorder="1" applyFont="1">
      <alignment horizontal="center" shrinkToFit="0" vertical="center" wrapText="1"/>
    </xf>
    <xf borderId="17" fillId="29" fontId="9" numFmtId="0" xfId="0" applyAlignment="1" applyBorder="1" applyFont="1">
      <alignment horizontal="center" shrinkToFit="0" vertical="center" wrapText="1"/>
    </xf>
    <xf borderId="17" fillId="26" fontId="33" numFmtId="0" xfId="0" applyAlignment="1" applyBorder="1" applyFont="1">
      <alignment horizontal="center" readingOrder="0" shrinkToFit="0" vertical="center" wrapText="1"/>
    </xf>
    <xf borderId="17" fillId="26" fontId="33" numFmtId="0" xfId="0" applyAlignment="1" applyBorder="1" applyFont="1">
      <alignment horizontal="center" shrinkToFit="0" vertical="center" wrapText="1"/>
    </xf>
    <xf borderId="2" fillId="26" fontId="34" numFmtId="0" xfId="0" applyAlignment="1" applyBorder="1" applyFont="1">
      <alignment horizontal="center" readingOrder="0" shrinkToFit="0" vertical="center" wrapText="1"/>
    </xf>
    <xf borderId="88" fillId="26" fontId="25" numFmtId="0" xfId="0" applyAlignment="1" applyBorder="1" applyFont="1">
      <alignment horizontal="center" readingOrder="0" shrinkToFit="0" vertical="center" wrapText="1"/>
    </xf>
    <xf borderId="2" fillId="26" fontId="33" numFmtId="0" xfId="0" applyAlignment="1" applyBorder="1" applyFont="1">
      <alignment horizontal="center" readingOrder="0" shrinkToFit="0" vertical="center" wrapText="1"/>
    </xf>
    <xf borderId="2" fillId="31" fontId="3" numFmtId="0" xfId="0" applyAlignment="1" applyBorder="1" applyFill="1" applyFont="1">
      <alignment horizontal="center" readingOrder="0" shrinkToFit="0" vertical="center" wrapText="0"/>
    </xf>
    <xf borderId="2" fillId="31" fontId="5" numFmtId="0" xfId="0" applyAlignment="1" applyBorder="1" applyFont="1">
      <alignment horizontal="center" shrinkToFit="0" vertical="center" wrapText="0"/>
    </xf>
    <xf borderId="2" fillId="31" fontId="8" numFmtId="0" xfId="0" applyAlignment="1" applyBorder="1" applyFont="1">
      <alignment horizontal="center" shrinkToFit="0" vertical="center" wrapText="0"/>
    </xf>
    <xf borderId="17" fillId="31" fontId="9" numFmtId="0" xfId="0" applyAlignment="1" applyBorder="1" applyFont="1">
      <alignment horizontal="center" shrinkToFit="0" vertical="center" wrapText="0"/>
    </xf>
    <xf borderId="26" fillId="31" fontId="11" numFmtId="0" xfId="0" applyAlignment="1" applyBorder="1" applyFont="1">
      <alignment horizontal="center" shrinkToFit="0" vertical="center" wrapText="0"/>
    </xf>
    <xf borderId="17" fillId="31" fontId="12" numFmtId="0" xfId="0" applyAlignment="1" applyBorder="1" applyFont="1">
      <alignment horizontal="center" shrinkToFit="0" vertical="center" wrapText="0"/>
    </xf>
    <xf borderId="26" fillId="32" fontId="11" numFmtId="0" xfId="0" applyAlignment="1" applyBorder="1" applyFill="1" applyFont="1">
      <alignment horizontal="center" shrinkToFit="0" vertical="center" wrapText="0"/>
    </xf>
    <xf borderId="17" fillId="31" fontId="12" numFmtId="0" xfId="0" applyAlignment="1" applyBorder="1" applyFont="1">
      <alignment horizontal="center" readingOrder="0" shrinkToFit="0" vertical="center" wrapText="0"/>
    </xf>
    <xf borderId="26" fillId="33" fontId="11" numFmtId="0" xfId="0" applyAlignment="1" applyBorder="1" applyFill="1" applyFont="1">
      <alignment horizontal="center" shrinkToFit="0" vertical="center" wrapText="0"/>
    </xf>
    <xf borderId="26" fillId="31" fontId="11" numFmtId="0" xfId="0" applyAlignment="1" applyBorder="1" applyFont="1">
      <alignment horizontal="center" readingOrder="0" shrinkToFit="0" vertical="center" wrapText="0"/>
    </xf>
    <xf borderId="26" fillId="31" fontId="5" numFmtId="0" xfId="0" applyAlignment="1" applyBorder="1" applyFont="1">
      <alignment horizontal="center" readingOrder="0" shrinkToFit="0" wrapText="0"/>
    </xf>
    <xf borderId="26" fillId="31" fontId="5" numFmtId="0" xfId="0" applyAlignment="1" applyBorder="1" applyFont="1">
      <alignment horizontal="center" shrinkToFit="0" wrapText="0"/>
    </xf>
    <xf borderId="26" fillId="32" fontId="5" numFmtId="0" xfId="0" applyAlignment="1" applyBorder="1" applyFont="1">
      <alignment horizontal="center" shrinkToFit="0" vertical="center" wrapText="0"/>
    </xf>
    <xf borderId="26" fillId="33" fontId="5" numFmtId="0" xfId="0" applyAlignment="1" applyBorder="1" applyFont="1">
      <alignment horizontal="center" shrinkToFit="0" vertical="center" wrapText="0"/>
    </xf>
    <xf borderId="2" fillId="31" fontId="9" numFmtId="0" xfId="0" applyAlignment="1" applyBorder="1" applyFont="1">
      <alignment horizontal="center" shrinkToFit="0" vertical="center" wrapText="0"/>
    </xf>
    <xf borderId="2" fillId="31" fontId="17" numFmtId="0" xfId="0" applyAlignment="1" applyBorder="1" applyFont="1">
      <alignment horizontal="center" shrinkToFit="0" vertical="center" wrapText="0"/>
    </xf>
    <xf borderId="31" fillId="31" fontId="18" numFmtId="0" xfId="0" applyAlignment="1" applyBorder="1" applyFont="1">
      <alignment horizontal="center" shrinkToFit="0" vertical="center" wrapText="0"/>
    </xf>
    <xf borderId="0" fillId="31" fontId="20" numFmtId="0" xfId="0" applyAlignment="1" applyFont="1">
      <alignment horizontal="center" shrinkToFit="0" vertical="center" wrapText="0"/>
    </xf>
    <xf borderId="0" fillId="34" fontId="21" numFmtId="0" xfId="0" applyAlignment="1" applyFill="1" applyFont="1">
      <alignment horizontal="center" shrinkToFit="0" vertical="center" wrapText="0"/>
    </xf>
    <xf borderId="0" fillId="35" fontId="25" numFmtId="0" xfId="0" applyAlignment="1" applyFill="1" applyFont="1">
      <alignment horizontal="center" shrinkToFit="0" wrapText="0"/>
    </xf>
    <xf borderId="0" fillId="33" fontId="22" numFmtId="0" xfId="0" applyAlignment="1" applyFont="1">
      <alignment horizontal="center" shrinkToFit="0" wrapText="0"/>
    </xf>
    <xf borderId="0" fillId="35" fontId="25" numFmtId="0" xfId="0" applyAlignment="1" applyFont="1">
      <alignment horizontal="center" shrinkToFit="0" vertical="center" wrapText="0"/>
    </xf>
    <xf borderId="0" fillId="33" fontId="22" numFmtId="0" xfId="0" applyAlignment="1" applyFont="1">
      <alignment horizontal="center" shrinkToFit="0" vertical="center" wrapText="0"/>
    </xf>
    <xf borderId="0" fillId="31" fontId="20" numFmtId="0" xfId="0" applyAlignment="1" applyFont="1">
      <alignment horizontal="center" shrinkToFit="0" wrapText="0"/>
    </xf>
    <xf borderId="0" fillId="34" fontId="21" numFmtId="0" xfId="0" applyAlignment="1" applyFont="1">
      <alignment horizontal="center" shrinkToFit="0" wrapText="0"/>
    </xf>
    <xf borderId="0" fillId="31" fontId="25" numFmtId="0" xfId="0" applyAlignment="1" applyFont="1">
      <alignment horizontal="center" readingOrder="0" shrinkToFit="0" vertical="center" wrapText="0"/>
    </xf>
    <xf borderId="0" fillId="31" fontId="25" numFmtId="0" xfId="0" applyAlignment="1" applyFont="1">
      <alignment horizontal="center" shrinkToFit="0" vertical="center" wrapText="0"/>
    </xf>
    <xf borderId="56" fillId="31" fontId="17" numFmtId="0" xfId="0" applyAlignment="1" applyBorder="1" applyFont="1">
      <alignment horizontal="center" shrinkToFit="0" vertical="center" wrapText="0"/>
    </xf>
    <xf borderId="56" fillId="34" fontId="17" numFmtId="0" xfId="0" applyAlignment="1" applyBorder="1" applyFont="1">
      <alignment horizontal="center" shrinkToFit="0" vertical="center" wrapText="0"/>
    </xf>
    <xf borderId="56" fillId="32" fontId="54" numFmtId="0" xfId="0" applyAlignment="1" applyBorder="1" applyFont="1">
      <alignment horizontal="center" shrinkToFit="0" vertical="center" wrapText="0"/>
    </xf>
    <xf borderId="56" fillId="33" fontId="54" numFmtId="0" xfId="0" applyAlignment="1" applyBorder="1" applyFont="1">
      <alignment horizontal="center" shrinkToFit="0" vertical="center" wrapText="0"/>
    </xf>
    <xf borderId="56" fillId="31" fontId="27" numFmtId="0" xfId="0" applyAlignment="1" applyBorder="1" applyFont="1">
      <alignment horizontal="center" shrinkToFit="0" vertical="center" wrapText="0"/>
    </xf>
    <xf borderId="56" fillId="34" fontId="27" numFmtId="0" xfId="0" applyAlignment="1" applyBorder="1" applyFont="1">
      <alignment horizontal="center" shrinkToFit="0" vertical="center" wrapText="0"/>
    </xf>
    <xf borderId="2" fillId="31" fontId="13" numFmtId="0" xfId="0" applyAlignment="1" applyBorder="1" applyFont="1">
      <alignment horizontal="center" shrinkToFit="0" vertical="center" wrapText="0"/>
    </xf>
    <xf borderId="56" fillId="31" fontId="11" numFmtId="0" xfId="0" applyAlignment="1" applyBorder="1" applyFont="1">
      <alignment horizontal="center" shrinkToFit="0" vertical="center" wrapText="0"/>
    </xf>
    <xf borderId="56" fillId="31" fontId="12" numFmtId="0" xfId="0" applyAlignment="1" applyBorder="1" applyFont="1">
      <alignment horizontal="center" shrinkToFit="0" vertical="center" wrapText="0"/>
    </xf>
    <xf borderId="0" fillId="31" fontId="20" numFmtId="0" xfId="0" applyAlignment="1" applyFont="1">
      <alignment horizontal="center" readingOrder="0" shrinkToFit="0" vertical="center" wrapText="0"/>
    </xf>
    <xf borderId="0" fillId="31" fontId="55" numFmtId="0" xfId="0" applyAlignment="1" applyFont="1">
      <alignment horizontal="center" shrinkToFit="0" vertical="center" wrapText="0"/>
    </xf>
    <xf borderId="0" fillId="8" fontId="19" numFmtId="0" xfId="0" applyAlignment="1" applyFont="1">
      <alignment horizontal="center" readingOrder="0" shrinkToFit="0" vertical="center" wrapText="0"/>
    </xf>
    <xf borderId="17" fillId="34" fontId="9" numFmtId="0" xfId="0" applyAlignment="1" applyBorder="1" applyFont="1">
      <alignment horizontal="center" shrinkToFit="0" vertical="center" wrapText="0"/>
    </xf>
    <xf borderId="2" fillId="31" fontId="9" numFmtId="0" xfId="0" applyAlignment="1" applyBorder="1" applyFont="1">
      <alignment horizontal="center" shrinkToFit="0" vertical="center" wrapText="1"/>
    </xf>
    <xf borderId="26" fillId="31" fontId="12" numFmtId="0" xfId="0" applyAlignment="1" applyBorder="1" applyFont="1">
      <alignment horizontal="center" shrinkToFit="0" vertical="center" wrapText="0"/>
    </xf>
    <xf borderId="88" fillId="34" fontId="9" numFmtId="0" xfId="0" applyAlignment="1" applyBorder="1" applyFont="1">
      <alignment horizontal="center" shrinkToFit="0" vertical="center" wrapText="0"/>
    </xf>
    <xf borderId="89" fillId="34" fontId="9" numFmtId="0" xfId="0" applyAlignment="1" applyBorder="1" applyFont="1">
      <alignment horizontal="center" shrinkToFit="0" vertical="center" wrapText="0"/>
    </xf>
    <xf borderId="133" fillId="31" fontId="5" numFmtId="0" xfId="0" applyAlignment="1" applyBorder="1" applyFont="1">
      <alignment horizontal="center" readingOrder="0" shrinkToFit="0" vertical="center" wrapText="1"/>
    </xf>
    <xf borderId="56" fillId="31" fontId="5" numFmtId="0" xfId="0" applyAlignment="1" applyBorder="1" applyFont="1">
      <alignment horizontal="center" readingOrder="0" shrinkToFit="0" vertical="center" wrapText="1"/>
    </xf>
    <xf borderId="57" fillId="31" fontId="12" numFmtId="0" xfId="0" applyAlignment="1" applyBorder="1" applyFont="1">
      <alignment horizontal="center" readingOrder="0" shrinkToFit="0" vertical="center" wrapText="1"/>
    </xf>
    <xf borderId="56" fillId="31" fontId="5" numFmtId="0" xfId="0" applyAlignment="1" applyBorder="1" applyFont="1">
      <alignment horizontal="center" shrinkToFit="0" vertical="center" wrapText="1"/>
    </xf>
    <xf borderId="17" fillId="34" fontId="9" numFmtId="0" xfId="0" applyAlignment="1" applyBorder="1" applyFont="1">
      <alignment horizontal="center" shrinkToFit="0" vertical="center" wrapText="1"/>
    </xf>
    <xf borderId="17" fillId="31" fontId="33" numFmtId="0" xfId="0" applyAlignment="1" applyBorder="1" applyFont="1">
      <alignment horizontal="center" readingOrder="0" shrinkToFit="0" vertical="center" wrapText="1"/>
    </xf>
    <xf borderId="17" fillId="31" fontId="33" numFmtId="0" xfId="0" applyAlignment="1" applyBorder="1" applyFont="1">
      <alignment horizontal="center" shrinkToFit="0" vertical="center" wrapText="1"/>
    </xf>
    <xf borderId="2" fillId="34" fontId="34" numFmtId="0" xfId="0" applyAlignment="1" applyBorder="1" applyFont="1">
      <alignment horizontal="center" readingOrder="0" shrinkToFit="0" vertical="center" wrapText="1"/>
    </xf>
    <xf borderId="88" fillId="34" fontId="25" numFmtId="0" xfId="0" applyAlignment="1" applyBorder="1" applyFont="1">
      <alignment horizontal="center" readingOrder="0" shrinkToFit="0" vertical="center" wrapText="1"/>
    </xf>
    <xf borderId="2" fillId="34" fontId="33" numFmtId="0" xfId="0" applyAlignment="1" applyBorder="1" applyFont="1">
      <alignment horizontal="center" readingOrder="0" shrinkToFit="0" vertical="center" wrapText="1"/>
    </xf>
    <xf borderId="2" fillId="5" fontId="3" numFmtId="0" xfId="0" applyAlignment="1" applyBorder="1" applyFont="1">
      <alignment horizontal="center" shrinkToFit="0" vertical="center" wrapText="0"/>
    </xf>
    <xf borderId="2" fillId="5" fontId="5" numFmtId="0" xfId="0" applyAlignment="1" applyBorder="1" applyFont="1">
      <alignment horizontal="center" shrinkToFit="0" vertical="center" wrapText="0"/>
    </xf>
    <xf borderId="2" fillId="5" fontId="8" numFmtId="0" xfId="0" applyAlignment="1" applyBorder="1" applyFont="1">
      <alignment horizontal="center" shrinkToFit="0" vertical="center" wrapText="0"/>
    </xf>
    <xf borderId="26" fillId="36" fontId="14" numFmtId="0" xfId="0" applyAlignment="1" applyBorder="1" applyFill="1" applyFont="1">
      <alignment horizontal="center" shrinkToFit="0" vertical="center" wrapText="0"/>
    </xf>
    <xf borderId="26" fillId="37" fontId="14" numFmtId="0" xfId="0" applyAlignment="1" applyBorder="1" applyFill="1" applyFont="1">
      <alignment horizontal="center" shrinkToFit="0" vertical="center" wrapText="0"/>
    </xf>
    <xf borderId="26" fillId="36" fontId="16" numFmtId="0" xfId="0" applyAlignment="1" applyBorder="1" applyFont="1">
      <alignment horizontal="center" shrinkToFit="0" vertical="center" wrapText="0"/>
    </xf>
    <xf borderId="26" fillId="37" fontId="16" numFmtId="0" xfId="0" applyAlignment="1" applyBorder="1" applyFont="1">
      <alignment horizontal="center" shrinkToFit="0" vertical="center" wrapText="0"/>
    </xf>
    <xf borderId="2" fillId="5" fontId="9" numFmtId="0" xfId="0" applyAlignment="1" applyBorder="1" applyFont="1">
      <alignment horizontal="center" shrinkToFit="0" vertical="center" wrapText="0"/>
    </xf>
    <xf borderId="2" fillId="5" fontId="17" numFmtId="0" xfId="0" applyAlignment="1" applyBorder="1" applyFont="1">
      <alignment horizontal="center" shrinkToFit="0" vertical="center" wrapText="0"/>
    </xf>
    <xf borderId="31" fillId="5" fontId="18" numFmtId="0" xfId="0" applyAlignment="1" applyBorder="1" applyFont="1">
      <alignment horizontal="center" shrinkToFit="0" vertical="center" wrapText="0"/>
    </xf>
    <xf borderId="0" fillId="5" fontId="20" numFmtId="0" xfId="0" applyAlignment="1" applyFont="1">
      <alignment horizontal="center" shrinkToFit="0" vertical="center" wrapText="0"/>
    </xf>
    <xf borderId="0" fillId="5" fontId="21" numFmtId="0" xfId="0" applyAlignment="1" applyFont="1">
      <alignment horizontal="center" shrinkToFit="0" vertical="center" wrapText="0"/>
    </xf>
    <xf borderId="0" fillId="7" fontId="22" numFmtId="0" xfId="0" applyAlignment="1" applyFont="1">
      <alignment horizontal="center" shrinkToFit="0" wrapText="0"/>
    </xf>
    <xf borderId="0" fillId="38" fontId="22" numFmtId="0" xfId="0" applyAlignment="1" applyFill="1" applyFont="1">
      <alignment horizontal="center" shrinkToFit="0" wrapText="0"/>
    </xf>
    <xf borderId="0" fillId="7" fontId="22" numFmtId="0" xfId="0" applyAlignment="1" applyFont="1">
      <alignment horizontal="center" shrinkToFit="0" vertical="center" wrapText="0"/>
    </xf>
    <xf borderId="0" fillId="38" fontId="22" numFmtId="0" xfId="0" applyAlignment="1" applyFont="1">
      <alignment horizontal="center" shrinkToFit="0" vertical="center" wrapText="0"/>
    </xf>
    <xf borderId="0" fillId="5" fontId="20" numFmtId="0" xfId="0" applyAlignment="1" applyFont="1">
      <alignment horizontal="center" shrinkToFit="0" wrapText="0"/>
    </xf>
    <xf borderId="0" fillId="5" fontId="21" numFmtId="0" xfId="0" applyAlignment="1" applyFont="1">
      <alignment horizontal="center" shrinkToFit="0" wrapText="0"/>
    </xf>
    <xf borderId="0" fillId="5" fontId="25" numFmtId="0" xfId="0" applyAlignment="1" applyFont="1">
      <alignment horizontal="center" readingOrder="0" shrinkToFit="0" vertical="center" wrapText="0"/>
    </xf>
    <xf borderId="0" fillId="5" fontId="25" numFmtId="0" xfId="0" applyAlignment="1" applyFont="1">
      <alignment horizontal="center" shrinkToFit="0" vertical="center" wrapText="0"/>
    </xf>
    <xf borderId="56" fillId="5" fontId="17" numFmtId="0" xfId="0" applyAlignment="1" applyBorder="1" applyFont="1">
      <alignment horizontal="center" shrinkToFit="0" vertical="center" wrapText="0"/>
    </xf>
    <xf borderId="56" fillId="39" fontId="17" numFmtId="0" xfId="0" applyAlignment="1" applyBorder="1" applyFill="1" applyFont="1">
      <alignment horizontal="center" shrinkToFit="0" vertical="center" wrapText="0"/>
    </xf>
    <xf borderId="56" fillId="36" fontId="26" numFmtId="0" xfId="0" applyAlignment="1" applyBorder="1" applyFont="1">
      <alignment horizontal="center" shrinkToFit="0" vertical="center" wrapText="0"/>
    </xf>
    <xf borderId="56" fillId="38" fontId="26" numFmtId="0" xfId="0" applyAlignment="1" applyBorder="1" applyFont="1">
      <alignment horizontal="center" shrinkToFit="0" vertical="center" wrapText="0"/>
    </xf>
    <xf borderId="56" fillId="5" fontId="27" numFmtId="0" xfId="0" applyAlignment="1" applyBorder="1" applyFont="1">
      <alignment horizontal="center" shrinkToFit="0" vertical="center" wrapText="0"/>
    </xf>
    <xf borderId="56" fillId="39" fontId="27" numFmtId="0" xfId="0" applyAlignment="1" applyBorder="1" applyFont="1">
      <alignment horizontal="center" shrinkToFit="0" vertical="center" wrapText="0"/>
    </xf>
    <xf borderId="2" fillId="5" fontId="13" numFmtId="0" xfId="0" applyAlignment="1" applyBorder="1" applyFont="1">
      <alignment horizontal="center" shrinkToFit="0" vertical="center" wrapText="0"/>
    </xf>
    <xf borderId="56" fillId="5" fontId="11" numFmtId="0" xfId="0" applyAlignment="1" applyBorder="1" applyFont="1">
      <alignment horizontal="center" shrinkToFit="0" vertical="center" wrapText="0"/>
    </xf>
    <xf borderId="56" fillId="5" fontId="12" numFmtId="0" xfId="0" applyAlignment="1" applyBorder="1" applyFont="1">
      <alignment horizontal="center" shrinkToFit="0" vertical="center" wrapText="0"/>
    </xf>
    <xf borderId="0" fillId="5" fontId="20" numFmtId="0" xfId="0" applyAlignment="1" applyFont="1">
      <alignment horizontal="center" readingOrder="0" shrinkToFit="0" vertical="center" wrapText="0"/>
    </xf>
    <xf borderId="0" fillId="5" fontId="56" numFmtId="0" xfId="0" applyAlignment="1" applyFont="1">
      <alignment horizontal="center" shrinkToFit="0" vertical="center" wrapText="0"/>
    </xf>
    <xf borderId="17" fillId="7" fontId="9" numFmtId="0" xfId="0" applyAlignment="1" applyBorder="1" applyFont="1">
      <alignment horizontal="center" shrinkToFit="0" vertical="center" wrapText="0"/>
    </xf>
    <xf borderId="2" fillId="5" fontId="9" numFmtId="0" xfId="0" applyAlignment="1" applyBorder="1" applyFont="1">
      <alignment horizontal="center" shrinkToFit="0" vertical="center" wrapText="1"/>
    </xf>
    <xf borderId="88" fillId="5" fontId="9" numFmtId="0" xfId="0" applyAlignment="1" applyBorder="1" applyFont="1">
      <alignment horizontal="center" shrinkToFit="0" vertical="center" wrapText="0"/>
    </xf>
    <xf borderId="89" fillId="5" fontId="9" numFmtId="0" xfId="0" applyAlignment="1" applyBorder="1" applyFont="1">
      <alignment horizontal="center" shrinkToFit="0" vertical="center" wrapText="0"/>
    </xf>
    <xf borderId="133" fillId="5" fontId="5" numFmtId="0" xfId="0" applyAlignment="1" applyBorder="1" applyFont="1">
      <alignment horizontal="center" readingOrder="0" shrinkToFit="0" vertical="center" wrapText="1"/>
    </xf>
    <xf borderId="56" fillId="5" fontId="5" numFmtId="0" xfId="0" applyAlignment="1" applyBorder="1" applyFont="1">
      <alignment horizontal="center" readingOrder="0" shrinkToFit="0" vertical="center" wrapText="1"/>
    </xf>
    <xf borderId="57" fillId="5" fontId="12" numFmtId="0" xfId="0" applyAlignment="1" applyBorder="1" applyFont="1">
      <alignment horizontal="center" readingOrder="0" shrinkToFit="0" vertical="center" wrapText="1"/>
    </xf>
    <xf borderId="56" fillId="5" fontId="5" numFmtId="0" xfId="0" applyAlignment="1" applyBorder="1" applyFont="1">
      <alignment horizontal="center" shrinkToFit="0" vertical="center" wrapText="1"/>
    </xf>
    <xf borderId="28" fillId="2" fontId="25" numFmtId="0" xfId="0" applyAlignment="1" applyBorder="1" applyFont="1">
      <alignment horizontal="center" readingOrder="0" shrinkToFit="0" vertical="center" wrapText="1"/>
    </xf>
    <xf borderId="1" fillId="2" fontId="1" numFmtId="164" xfId="0" applyAlignment="1" applyBorder="1" applyFont="1" applyNumberFormat="1">
      <alignment readingOrder="0" shrinkToFit="0" vertical="center" wrapText="0"/>
    </xf>
    <xf borderId="26" fillId="3" fontId="11" numFmtId="0" xfId="0" applyAlignment="1" applyBorder="1" applyFont="1">
      <alignment horizontal="center" shrinkToFit="0" vertical="center" wrapText="0"/>
    </xf>
    <xf borderId="17" fillId="3" fontId="12" numFmtId="0" xfId="0" applyAlignment="1" applyBorder="1" applyFont="1">
      <alignment horizontal="center" shrinkToFit="0" vertical="center" wrapText="0"/>
    </xf>
    <xf borderId="17" fillId="3" fontId="12" numFmtId="0" xfId="0" applyAlignment="1" applyBorder="1" applyFont="1">
      <alignment horizontal="center" readingOrder="0" shrinkToFit="0" vertical="center" wrapText="0"/>
    </xf>
    <xf borderId="26" fillId="10" fontId="14" numFmtId="0" xfId="0" applyAlignment="1" applyBorder="1" applyFont="1">
      <alignment horizontal="center" shrinkToFit="0" vertical="center" wrapText="0"/>
    </xf>
    <xf borderId="26" fillId="3" fontId="11" numFmtId="0" xfId="0" applyAlignment="1" applyBorder="1" applyFont="1">
      <alignment horizontal="center" readingOrder="0" shrinkToFit="0" vertical="center" wrapText="0"/>
    </xf>
    <xf borderId="26" fillId="3" fontId="5" numFmtId="0" xfId="0" applyAlignment="1" applyBorder="1" applyFont="1">
      <alignment horizontal="center" readingOrder="0" shrinkToFit="0" wrapText="0"/>
    </xf>
    <xf borderId="26" fillId="3" fontId="5" numFmtId="0" xfId="0" applyAlignment="1" applyBorder="1" applyFont="1">
      <alignment horizontal="center" shrinkToFit="0" wrapText="0"/>
    </xf>
    <xf borderId="26" fillId="3" fontId="5" numFmtId="0" xfId="0" applyAlignment="1" applyBorder="1" applyFont="1">
      <alignment horizontal="center" shrinkToFit="0" vertical="center" wrapText="0"/>
    </xf>
    <xf borderId="26" fillId="10" fontId="16" numFmtId="0" xfId="0" applyAlignment="1" applyBorder="1" applyFont="1">
      <alignment horizontal="center" shrinkToFit="0" vertical="center" wrapText="0"/>
    </xf>
    <xf borderId="2" fillId="3" fontId="13" numFmtId="0" xfId="0" applyAlignment="1" applyBorder="1" applyFont="1">
      <alignment horizontal="center" shrinkToFit="0" vertical="center" wrapText="0"/>
    </xf>
    <xf borderId="56" fillId="3" fontId="11" numFmtId="0" xfId="0" applyAlignment="1" applyBorder="1" applyFont="1">
      <alignment horizontal="center" shrinkToFit="0" vertical="center" wrapText="0"/>
    </xf>
    <xf borderId="56" fillId="3" fontId="12" numFmtId="0" xfId="0" applyAlignment="1" applyBorder="1" applyFont="1">
      <alignment horizontal="center" shrinkToFit="0" vertical="center" wrapText="0"/>
    </xf>
    <xf borderId="17" fillId="9" fontId="9" numFmtId="0" xfId="0" applyAlignment="1" applyBorder="1" applyFont="1">
      <alignment horizontal="center" shrinkToFit="0" vertical="center" wrapText="0"/>
    </xf>
    <xf borderId="26" fillId="3" fontId="12" numFmtId="0" xfId="0" applyAlignment="1" applyBorder="1" applyFont="1">
      <alignment horizontal="center" shrinkToFit="0" vertical="center" wrapText="0"/>
    </xf>
    <xf borderId="17" fillId="9" fontId="9" numFmtId="0" xfId="0" applyAlignment="1" applyBorder="1" applyFont="1">
      <alignment horizontal="center" shrinkToFit="0" vertical="center" wrapText="1"/>
    </xf>
    <xf borderId="17" fillId="3" fontId="33" numFmtId="0" xfId="0" applyAlignment="1" applyBorder="1" applyFont="1">
      <alignment horizontal="center" readingOrder="0" shrinkToFit="0" vertical="center" wrapText="1"/>
    </xf>
    <xf borderId="17" fillId="3" fontId="33" numFmtId="0" xfId="0" applyAlignment="1" applyBorder="1" applyFont="1">
      <alignment horizontal="center" shrinkToFit="0" vertical="center" wrapText="1"/>
    </xf>
    <xf borderId="2" fillId="9" fontId="34" numFmtId="0" xfId="0" applyAlignment="1" applyBorder="1" applyFont="1">
      <alignment horizontal="center" readingOrder="0" shrinkToFit="0" vertical="center" wrapText="1"/>
    </xf>
    <xf borderId="88" fillId="9" fontId="25" numFmtId="0" xfId="0" applyAlignment="1" applyBorder="1" applyFont="1">
      <alignment horizontal="center" readingOrder="0" shrinkToFit="0" vertical="center" wrapText="1"/>
    </xf>
    <xf borderId="2" fillId="9" fontId="33" numFmtId="0" xfId="0" applyAlignment="1" applyBorder="1" applyFont="1">
      <alignment horizontal="center" readingOrder="0" shrinkToFit="0" vertical="center" wrapText="1"/>
    </xf>
    <xf borderId="1" fillId="40" fontId="1" numFmtId="0" xfId="0" applyAlignment="1" applyBorder="1" applyFill="1" applyFont="1">
      <alignment readingOrder="0" shrinkToFit="0" vertical="center" wrapText="0"/>
    </xf>
    <xf borderId="1" fillId="40" fontId="2" numFmtId="0" xfId="0" applyAlignment="1" applyBorder="1" applyFont="1">
      <alignment shrinkToFit="0" vertical="center" wrapText="0"/>
    </xf>
    <xf borderId="1" fillId="40" fontId="1" numFmtId="0" xfId="0" applyAlignment="1" applyBorder="1" applyFont="1">
      <alignment shrinkToFit="0" vertical="center" wrapText="0"/>
    </xf>
    <xf borderId="2" fillId="37" fontId="57" numFmtId="0" xfId="0" applyAlignment="1" applyBorder="1" applyFont="1">
      <alignment horizontal="center" shrinkToFit="0" vertical="center" wrapText="0"/>
    </xf>
    <xf borderId="2" fillId="41" fontId="5" numFmtId="0" xfId="0" applyAlignment="1" applyBorder="1" applyFill="1" applyFont="1">
      <alignment horizontal="center" shrinkToFit="0" vertical="center" wrapText="0"/>
    </xf>
    <xf borderId="1" fillId="40" fontId="6" numFmtId="0" xfId="0" applyAlignment="1" applyBorder="1" applyFont="1">
      <alignment horizontal="center" shrinkToFit="0" vertical="center" wrapText="0"/>
    </xf>
    <xf borderId="2" fillId="41" fontId="8" numFmtId="0" xfId="0" applyAlignment="1" applyBorder="1" applyFont="1">
      <alignment horizontal="center" shrinkToFit="0" vertical="center" wrapText="0"/>
    </xf>
    <xf borderId="10" fillId="40" fontId="6" numFmtId="0" xfId="0" applyAlignment="1" applyBorder="1" applyFont="1">
      <alignment horizontal="center" shrinkToFit="0" vertical="center" wrapText="0"/>
    </xf>
    <xf borderId="15" fillId="40" fontId="2" numFmtId="0" xfId="0" applyAlignment="1" applyBorder="1" applyFont="1">
      <alignment shrinkToFit="0" vertical="center" wrapText="0"/>
    </xf>
    <xf borderId="16" fillId="40" fontId="1" numFmtId="0" xfId="0" applyAlignment="1" applyBorder="1" applyFont="1">
      <alignment shrinkToFit="0" vertical="center" wrapText="0"/>
    </xf>
    <xf borderId="17" fillId="24" fontId="58" numFmtId="0" xfId="0" applyAlignment="1" applyBorder="1" applyFont="1">
      <alignment horizontal="center" shrinkToFit="0" vertical="center" wrapText="0"/>
    </xf>
    <xf borderId="17" fillId="42" fontId="58" numFmtId="0" xfId="0" applyAlignment="1" applyBorder="1" applyFill="1" applyFont="1">
      <alignment horizontal="center" shrinkToFit="0" vertical="center" wrapText="0"/>
    </xf>
    <xf borderId="17" fillId="24" fontId="58" numFmtId="0" xfId="0" applyAlignment="1" applyBorder="1" applyFont="1">
      <alignment horizontal="center" readingOrder="0" shrinkToFit="0" vertical="center" wrapText="0"/>
    </xf>
    <xf borderId="22" fillId="40" fontId="2" numFmtId="0" xfId="0" applyAlignment="1" applyBorder="1" applyFont="1">
      <alignment shrinkToFit="0" vertical="center" wrapText="0"/>
    </xf>
    <xf borderId="16" fillId="40" fontId="10" numFmtId="0" xfId="0" applyAlignment="1" applyBorder="1" applyFont="1">
      <alignment horizontal="center" shrinkToFit="0" vertical="center" wrapText="0"/>
    </xf>
    <xf borderId="26" fillId="24" fontId="59" numFmtId="0" xfId="0" applyAlignment="1" applyBorder="1" applyFont="1">
      <alignment horizontal="center" shrinkToFit="0" vertical="center" wrapText="0"/>
    </xf>
    <xf borderId="26" fillId="4" fontId="60" numFmtId="0" xfId="0" applyAlignment="1" applyBorder="1" applyFont="1">
      <alignment horizontal="center" readingOrder="0" shrinkToFit="0" vertical="center" wrapText="0"/>
    </xf>
    <xf borderId="17" fillId="42" fontId="61" numFmtId="0" xfId="0" applyAlignment="1" applyBorder="1" applyFont="1">
      <alignment horizontal="center" shrinkToFit="0" vertical="center" wrapText="0"/>
    </xf>
    <xf borderId="17" fillId="4" fontId="62" numFmtId="0" xfId="0" applyAlignment="1" applyBorder="1" applyFont="1">
      <alignment horizontal="center" readingOrder="0" shrinkToFit="0" vertical="center" wrapText="0"/>
    </xf>
    <xf borderId="26" fillId="41" fontId="59" numFmtId="0" xfId="0" applyAlignment="1" applyBorder="1" applyFont="1">
      <alignment horizontal="center" shrinkToFit="0" vertical="center" wrapText="0"/>
    </xf>
    <xf borderId="17" fillId="42" fontId="61" numFmtId="0" xfId="0" applyAlignment="1" applyBorder="1" applyFont="1">
      <alignment horizontal="center" readingOrder="0" shrinkToFit="0" vertical="center" wrapText="0"/>
    </xf>
    <xf borderId="26" fillId="0" fontId="60" numFmtId="0" xfId="0" applyAlignment="1" applyBorder="1" applyFont="1">
      <alignment horizontal="center" readingOrder="0"/>
    </xf>
    <xf borderId="26" fillId="43" fontId="59" numFmtId="0" xfId="0" applyAlignment="1" applyBorder="1" applyFill="1" applyFont="1">
      <alignment horizontal="center" shrinkToFit="0" vertical="center" wrapText="0"/>
    </xf>
    <xf borderId="26" fillId="24" fontId="59" numFmtId="0" xfId="0" applyAlignment="1" applyBorder="1" applyFont="1">
      <alignment horizontal="center" readingOrder="0" shrinkToFit="0" vertical="center" wrapText="0"/>
    </xf>
    <xf borderId="0" fillId="0" fontId="63" numFmtId="0" xfId="0" applyAlignment="1" applyFont="1">
      <alignment horizontal="center" readingOrder="0"/>
    </xf>
    <xf borderId="26" fillId="24" fontId="59" numFmtId="0" xfId="0" applyAlignment="1" applyBorder="1" applyFont="1">
      <alignment horizontal="center" readingOrder="0" shrinkToFit="0" wrapText="0"/>
    </xf>
    <xf borderId="26" fillId="4" fontId="60" numFmtId="0" xfId="0" applyAlignment="1" applyBorder="1" applyFont="1">
      <alignment horizontal="center" readingOrder="0" shrinkToFit="0" wrapText="0"/>
    </xf>
    <xf borderId="26" fillId="24" fontId="59" numFmtId="0" xfId="0" applyAlignment="1" applyBorder="1" applyFont="1">
      <alignment horizontal="center" shrinkToFit="0" wrapText="0"/>
    </xf>
    <xf borderId="2" fillId="40" fontId="57" numFmtId="0" xfId="0" applyAlignment="1" applyBorder="1" applyFont="1">
      <alignment horizontal="center" shrinkToFit="0" vertical="center" wrapText="0"/>
    </xf>
    <xf borderId="2" fillId="37" fontId="64" numFmtId="0" xfId="0" applyAlignment="1" applyBorder="1" applyFont="1">
      <alignment horizontal="center" shrinkToFit="0" vertical="center" wrapText="0"/>
    </xf>
    <xf borderId="31" fillId="11" fontId="18" numFmtId="0" xfId="0" applyAlignment="1" applyBorder="1" applyFont="1">
      <alignment horizontal="center" shrinkToFit="0" vertical="center" wrapText="0"/>
    </xf>
    <xf borderId="34" fillId="4" fontId="19" numFmtId="0" xfId="0" applyAlignment="1" applyBorder="1" applyFont="1">
      <alignment horizontal="center" shrinkToFit="0" vertical="center" wrapText="0"/>
    </xf>
    <xf borderId="35" fillId="4" fontId="20" numFmtId="0" xfId="0" applyAlignment="1" applyBorder="1" applyFont="1">
      <alignment horizontal="center" shrinkToFit="0" vertical="center" wrapText="0"/>
    </xf>
    <xf borderId="38" fillId="4" fontId="20" numFmtId="0" xfId="0" applyAlignment="1" applyBorder="1" applyFont="1">
      <alignment horizontal="center" shrinkToFit="0" vertical="center" wrapText="0"/>
    </xf>
    <xf borderId="40" fillId="44" fontId="21" numFmtId="0" xfId="0" applyAlignment="1" applyBorder="1" applyFill="1" applyFont="1">
      <alignment horizontal="center" shrinkToFit="0" vertical="center" wrapText="0"/>
    </xf>
    <xf borderId="41" fillId="41" fontId="25" numFmtId="0" xfId="0" applyAlignment="1" applyBorder="1" applyFont="1">
      <alignment horizontal="center" shrinkToFit="0" wrapText="0"/>
    </xf>
    <xf borderId="41" fillId="43" fontId="25" numFmtId="0" xfId="0" applyAlignment="1" applyBorder="1" applyFont="1">
      <alignment horizontal="center" shrinkToFit="0" wrapText="0"/>
    </xf>
    <xf borderId="37" fillId="4" fontId="19" numFmtId="0" xfId="0" applyAlignment="1" applyBorder="1" applyFont="1">
      <alignment horizontal="center" shrinkToFit="0" vertical="center" wrapText="0"/>
    </xf>
    <xf borderId="42" fillId="4" fontId="20" numFmtId="0" xfId="0" applyAlignment="1" applyBorder="1" applyFont="1">
      <alignment horizontal="center" shrinkToFit="0" vertical="center" wrapText="0"/>
    </xf>
    <xf borderId="41" fillId="41" fontId="25" numFmtId="0" xfId="0" applyAlignment="1" applyBorder="1" applyFont="1">
      <alignment horizontal="center" shrinkToFit="0" vertical="center" wrapText="0"/>
    </xf>
    <xf borderId="41" fillId="43" fontId="25" numFmtId="0" xfId="0" applyAlignment="1" applyBorder="1" applyFont="1">
      <alignment horizontal="center" shrinkToFit="0" vertical="center" wrapText="0"/>
    </xf>
    <xf borderId="38" fillId="4" fontId="20" numFmtId="0" xfId="0" applyAlignment="1" applyBorder="1" applyFont="1">
      <alignment horizontal="center" shrinkToFit="0" wrapText="0"/>
    </xf>
    <xf borderId="40" fillId="44" fontId="21" numFmtId="0" xfId="0" applyAlignment="1" applyBorder="1" applyFont="1">
      <alignment horizontal="center" shrinkToFit="0" wrapText="0"/>
    </xf>
    <xf borderId="44" fillId="43" fontId="25" numFmtId="0" xfId="0" applyAlignment="1" applyBorder="1" applyFont="1">
      <alignment horizontal="center" shrinkToFit="0" wrapText="0"/>
    </xf>
    <xf borderId="45" fillId="4" fontId="19" numFmtId="0" xfId="0" applyAlignment="1" applyBorder="1" applyFont="1">
      <alignment horizontal="center" shrinkToFit="0" vertical="center" wrapText="0"/>
    </xf>
    <xf borderId="46" fillId="4" fontId="20" numFmtId="0" xfId="0" applyAlignment="1" applyBorder="1" applyFont="1">
      <alignment horizontal="center" shrinkToFit="0" vertical="center" wrapText="0"/>
    </xf>
    <xf borderId="49" fillId="4" fontId="20" numFmtId="0" xfId="0" applyAlignment="1" applyBorder="1" applyFont="1">
      <alignment horizontal="center" shrinkToFit="0" vertical="center" wrapText="0"/>
    </xf>
    <xf borderId="50" fillId="44" fontId="21" numFmtId="0" xfId="0" applyAlignment="1" applyBorder="1" applyFont="1">
      <alignment horizontal="center" shrinkToFit="0" vertical="center" wrapText="0"/>
    </xf>
    <xf borderId="51" fillId="41" fontId="25" numFmtId="0" xfId="0" applyAlignment="1" applyBorder="1" applyFont="1">
      <alignment horizontal="center" shrinkToFit="0" wrapText="0"/>
    </xf>
    <xf borderId="51" fillId="43" fontId="25" numFmtId="0" xfId="0" applyAlignment="1" applyBorder="1" applyFont="1">
      <alignment horizontal="center" shrinkToFit="0" wrapText="0"/>
    </xf>
    <xf borderId="52" fillId="4" fontId="19" numFmtId="0" xfId="0" applyAlignment="1" applyBorder="1" applyFont="1">
      <alignment horizontal="center" shrinkToFit="0" vertical="center" wrapText="0"/>
    </xf>
    <xf borderId="53" fillId="4" fontId="20" numFmtId="0" xfId="0" applyAlignment="1" applyBorder="1" applyFont="1">
      <alignment horizontal="center" shrinkToFit="0" vertical="center" wrapText="0"/>
    </xf>
    <xf borderId="51" fillId="41" fontId="25" numFmtId="0" xfId="0" applyAlignment="1" applyBorder="1" applyFont="1">
      <alignment horizontal="center" shrinkToFit="0" vertical="center" wrapText="0"/>
    </xf>
    <xf borderId="51" fillId="43" fontId="25" numFmtId="0" xfId="0" applyAlignment="1" applyBorder="1" applyFont="1">
      <alignment horizontal="center" shrinkToFit="0" vertical="center" wrapText="0"/>
    </xf>
    <xf borderId="52" fillId="4" fontId="24" numFmtId="0" xfId="0" applyAlignment="1" applyBorder="1" applyFont="1">
      <alignment horizontal="center" shrinkToFit="0" vertical="center" wrapText="0"/>
    </xf>
    <xf borderId="49" fillId="4" fontId="20" numFmtId="0" xfId="0" applyAlignment="1" applyBorder="1" applyFont="1">
      <alignment horizontal="center" shrinkToFit="0" wrapText="0"/>
    </xf>
    <xf borderId="50" fillId="44" fontId="21" numFmtId="0" xfId="0" applyAlignment="1" applyBorder="1" applyFont="1">
      <alignment horizontal="center" shrinkToFit="0" wrapText="0"/>
    </xf>
    <xf borderId="54" fillId="43" fontId="25" numFmtId="0" xfId="0" applyAlignment="1" applyBorder="1" applyFont="1">
      <alignment horizontal="center" shrinkToFit="0" wrapText="0"/>
    </xf>
    <xf borderId="2" fillId="24" fontId="58" numFmtId="0" xfId="0" applyAlignment="1" applyBorder="1" applyFont="1">
      <alignment horizontal="center" shrinkToFit="0" vertical="center" wrapText="0"/>
    </xf>
    <xf borderId="53" fillId="4" fontId="25" numFmtId="0" xfId="0" applyAlignment="1" applyBorder="1" applyFont="1">
      <alignment horizontal="center" readingOrder="0" shrinkToFit="0" vertical="center" wrapText="0"/>
    </xf>
    <xf borderId="53" fillId="4" fontId="25" numFmtId="0" xfId="0" applyAlignment="1" applyBorder="1" applyFont="1">
      <alignment horizontal="center" shrinkToFit="0" vertical="center" wrapText="0"/>
    </xf>
    <xf borderId="56" fillId="24" fontId="65" numFmtId="0" xfId="0" applyAlignment="1" applyBorder="1" applyFont="1">
      <alignment horizontal="center" shrinkToFit="0" vertical="center" wrapText="0"/>
    </xf>
    <xf borderId="56" fillId="44" fontId="64" numFmtId="0" xfId="0" applyAlignment="1" applyBorder="1" applyFont="1">
      <alignment horizontal="center" shrinkToFit="0" vertical="center" wrapText="0"/>
    </xf>
    <xf borderId="56" fillId="45" fontId="64" numFmtId="0" xfId="0" applyAlignment="1" applyBorder="1" applyFill="1" applyFont="1">
      <alignment horizontal="center" shrinkToFit="0" vertical="center" wrapText="0"/>
    </xf>
    <xf borderId="56" fillId="43" fontId="64" numFmtId="0" xfId="0" applyAlignment="1" applyBorder="1" applyFont="1">
      <alignment horizontal="center" shrinkToFit="0" vertical="center" wrapText="0"/>
    </xf>
    <xf borderId="2" fillId="6" fontId="62" numFmtId="0" xfId="0" applyAlignment="1" applyBorder="1" applyFont="1">
      <alignment horizontal="center" shrinkToFit="0" vertical="center" wrapText="0"/>
    </xf>
    <xf borderId="56" fillId="6" fontId="60" numFmtId="0" xfId="0" applyAlignment="1" applyBorder="1" applyFont="1">
      <alignment horizontal="center" shrinkToFit="0" vertical="center" wrapText="0"/>
    </xf>
    <xf borderId="46" fillId="4" fontId="25" numFmtId="0" xfId="0" applyAlignment="1" applyBorder="1" applyFont="1">
      <alignment horizontal="center" shrinkToFit="0" vertical="center" wrapText="0"/>
    </xf>
    <xf borderId="56" fillId="6" fontId="66" numFmtId="0" xfId="0" applyAlignment="1" applyBorder="1" applyFont="1">
      <alignment horizontal="center" shrinkToFit="0" vertical="center" wrapText="0"/>
    </xf>
    <xf borderId="45" fillId="4" fontId="19" numFmtId="0" xfId="0" applyAlignment="1" applyBorder="1" applyFont="1">
      <alignment horizontal="center" readingOrder="0" shrinkToFit="0" vertical="center" wrapText="0"/>
    </xf>
    <xf borderId="46" fillId="4" fontId="25" numFmtId="0" xfId="0" applyAlignment="1" applyBorder="1" applyFont="1">
      <alignment horizontal="center" readingOrder="0" shrinkToFit="0" vertical="center" wrapText="0"/>
    </xf>
    <xf borderId="49" fillId="4" fontId="20" numFmtId="0" xfId="0" applyAlignment="1" applyBorder="1" applyFont="1">
      <alignment horizontal="center" readingOrder="0" shrinkToFit="0" vertical="center" wrapText="0"/>
    </xf>
    <xf borderId="2" fillId="12" fontId="62" numFmtId="0" xfId="0" applyAlignment="1" applyBorder="1" applyFont="1">
      <alignment horizontal="center" shrinkToFit="0" vertical="center" wrapText="0"/>
    </xf>
    <xf borderId="56" fillId="12" fontId="60" numFmtId="0" xfId="0" applyAlignment="1" applyBorder="1" applyFont="1">
      <alignment horizontal="center" shrinkToFit="0" vertical="center" wrapText="0"/>
    </xf>
    <xf borderId="54" fillId="43" fontId="25" numFmtId="0" xfId="0" applyAlignment="1" applyBorder="1" applyFont="1">
      <alignment horizontal="center" shrinkToFit="0" vertical="center" wrapText="0"/>
    </xf>
    <xf borderId="56" fillId="12" fontId="66" numFmtId="0" xfId="0" applyAlignment="1" applyBorder="1" applyFont="1">
      <alignment horizontal="center" shrinkToFit="0" vertical="center" wrapText="0"/>
    </xf>
    <xf borderId="2" fillId="13" fontId="62" numFmtId="0" xfId="0" applyAlignment="1" applyBorder="1" applyFont="1">
      <alignment horizontal="center" shrinkToFit="0" vertical="center" wrapText="0"/>
    </xf>
    <xf borderId="56" fillId="13" fontId="60" numFmtId="0" xfId="0" applyAlignment="1" applyBorder="1" applyFont="1">
      <alignment horizontal="center" shrinkToFit="0" vertical="center" wrapText="0"/>
    </xf>
    <xf borderId="53" fillId="4" fontId="28" numFmtId="0" xfId="0" applyAlignment="1" applyBorder="1" applyFont="1">
      <alignment horizontal="center" shrinkToFit="0" vertical="center" wrapText="0"/>
    </xf>
    <xf borderId="56" fillId="13" fontId="66" numFmtId="0" xfId="0" applyAlignment="1" applyBorder="1" applyFont="1">
      <alignment horizontal="center" shrinkToFit="0" vertical="center" wrapText="0"/>
    </xf>
    <xf borderId="2" fillId="14" fontId="61" numFmtId="0" xfId="0" applyAlignment="1" applyBorder="1" applyFont="1">
      <alignment horizontal="center" shrinkToFit="0" vertical="center" wrapText="0"/>
    </xf>
    <xf borderId="2" fillId="14" fontId="58" numFmtId="0" xfId="0" applyAlignment="1" applyBorder="1" applyFont="1">
      <alignment horizontal="center" shrinkToFit="0" vertical="center" wrapText="0"/>
    </xf>
    <xf borderId="2" fillId="15" fontId="61" numFmtId="0" xfId="0" applyAlignment="1" applyBorder="1" applyFont="1">
      <alignment horizontal="center" shrinkToFit="0" vertical="center" wrapText="0"/>
    </xf>
    <xf borderId="2" fillId="15" fontId="58" numFmtId="0" xfId="0" applyAlignment="1" applyBorder="1" applyFont="1">
      <alignment horizontal="center" shrinkToFit="0" vertical="center" wrapText="0"/>
    </xf>
    <xf borderId="46" fillId="4" fontId="28" numFmtId="0" xfId="0" applyAlignment="1" applyBorder="1" applyFont="1">
      <alignment horizontal="center" shrinkToFit="0" vertical="center" wrapText="0"/>
    </xf>
    <xf borderId="2" fillId="16" fontId="65" numFmtId="0" xfId="0" applyAlignment="1" applyBorder="1" applyFont="1">
      <alignment horizontal="center" shrinkToFit="0" vertical="center" wrapText="0"/>
    </xf>
    <xf borderId="2" fillId="16" fontId="58" numFmtId="0" xfId="0" applyAlignment="1" applyBorder="1" applyFont="1">
      <alignment horizontal="center" shrinkToFit="0" vertical="center" wrapText="0"/>
    </xf>
    <xf borderId="2" fillId="17" fontId="65" numFmtId="0" xfId="0" applyAlignment="1" applyBorder="1" applyFont="1">
      <alignment horizontal="center" shrinkToFit="0" vertical="center" wrapText="0"/>
    </xf>
    <xf borderId="2" fillId="17" fontId="58" numFmtId="0" xfId="0" applyAlignment="1" applyBorder="1" applyFont="1">
      <alignment horizontal="center" shrinkToFit="0" vertical="center" wrapText="0"/>
    </xf>
    <xf borderId="59" fillId="4" fontId="19" numFmtId="0" xfId="0" applyAlignment="1" applyBorder="1" applyFont="1">
      <alignment horizontal="center" shrinkToFit="0" vertical="center" wrapText="0"/>
    </xf>
    <xf borderId="60" fillId="4" fontId="28" numFmtId="0" xfId="0" applyAlignment="1" applyBorder="1" applyFont="1">
      <alignment horizontal="center" shrinkToFit="0" vertical="center" wrapText="0"/>
    </xf>
    <xf borderId="63" fillId="4" fontId="20" numFmtId="0" xfId="0" applyAlignment="1" applyBorder="1" applyFont="1">
      <alignment horizontal="center" shrinkToFit="0" vertical="center" wrapText="0"/>
    </xf>
    <xf borderId="65" fillId="44" fontId="21" numFmtId="0" xfId="0" applyAlignment="1" applyBorder="1" applyFont="1">
      <alignment horizontal="center" shrinkToFit="0" vertical="center" wrapText="0"/>
    </xf>
    <xf borderId="66" fillId="41" fontId="25" numFmtId="0" xfId="0" applyAlignment="1" applyBorder="1" applyFont="1">
      <alignment horizontal="center" shrinkToFit="0" wrapText="0"/>
    </xf>
    <xf borderId="66" fillId="43" fontId="25" numFmtId="0" xfId="0" applyAlignment="1" applyBorder="1" applyFont="1">
      <alignment horizontal="center" shrinkToFit="0" wrapText="0"/>
    </xf>
    <xf borderId="67" fillId="4" fontId="19" numFmtId="0" xfId="0" applyAlignment="1" applyBorder="1" applyFont="1">
      <alignment horizontal="center" shrinkToFit="0" vertical="center" wrapText="0"/>
    </xf>
    <xf borderId="68" fillId="4" fontId="28" numFmtId="0" xfId="0" applyAlignment="1" applyBorder="1" applyFont="1">
      <alignment horizontal="center" shrinkToFit="0" vertical="center" wrapText="0"/>
    </xf>
    <xf borderId="63" fillId="4" fontId="20" numFmtId="0" xfId="0" applyAlignment="1" applyBorder="1" applyFont="1">
      <alignment horizontal="center" shrinkToFit="0" wrapText="0"/>
    </xf>
    <xf borderId="66" fillId="41" fontId="25" numFmtId="0" xfId="0" applyAlignment="1" applyBorder="1" applyFont="1">
      <alignment horizontal="center" shrinkToFit="0" vertical="center" wrapText="0"/>
    </xf>
    <xf borderId="66" fillId="43" fontId="25" numFmtId="0" xfId="0" applyAlignment="1" applyBorder="1" applyFont="1">
      <alignment horizontal="center" shrinkToFit="0" vertical="center" wrapText="0"/>
    </xf>
    <xf borderId="68" fillId="4" fontId="20" numFmtId="0" xfId="0" applyAlignment="1" applyBorder="1" applyFont="1">
      <alignment horizontal="center" shrinkToFit="0" vertical="center" wrapText="0"/>
    </xf>
    <xf borderId="65" fillId="44" fontId="21" numFmtId="0" xfId="0" applyAlignment="1" applyBorder="1" applyFont="1">
      <alignment horizontal="center" shrinkToFit="0" wrapText="0"/>
    </xf>
    <xf borderId="69" fillId="43" fontId="25" numFmtId="0" xfId="0" applyAlignment="1" applyBorder="1" applyFont="1">
      <alignment horizontal="center" shrinkToFit="0" wrapText="0"/>
    </xf>
    <xf borderId="17" fillId="24" fontId="67" numFmtId="0" xfId="0" applyAlignment="1" applyBorder="1" applyFont="1">
      <alignment horizontal="center" shrinkToFit="0" vertical="center" wrapText="0"/>
    </xf>
    <xf borderId="2" fillId="24" fontId="67" numFmtId="0" xfId="0" applyAlignment="1" applyBorder="1" applyFont="1">
      <alignment horizontal="center" shrinkToFit="0" vertical="center" wrapText="1"/>
    </xf>
    <xf borderId="26" fillId="24" fontId="68" numFmtId="0" xfId="0" applyAlignment="1" applyBorder="1" applyFont="1">
      <alignment horizontal="center" shrinkToFit="0" vertical="center" wrapText="0"/>
    </xf>
    <xf borderId="5" fillId="19" fontId="63" numFmtId="0" xfId="0" applyAlignment="1" applyBorder="1" applyFont="1">
      <alignment horizontal="center" shrinkToFit="0" vertical="center" wrapText="0"/>
    </xf>
    <xf borderId="74" fillId="19" fontId="63" numFmtId="0" xfId="0" applyAlignment="1" applyBorder="1" applyFont="1">
      <alignment horizontal="center" shrinkToFit="0" vertical="center" wrapText="0"/>
    </xf>
    <xf borderId="74" fillId="19" fontId="63" numFmtId="0" xfId="0" applyAlignment="1" applyBorder="1" applyFont="1">
      <alignment horizontal="center" readingOrder="0" shrinkToFit="0" vertical="center" wrapText="0"/>
    </xf>
    <xf borderId="78" fillId="0" fontId="63" numFmtId="0" xfId="0" applyAlignment="1" applyBorder="1" applyFont="1">
      <alignment horizontal="center" readingOrder="0" shrinkToFit="0" vertical="center" wrapText="0"/>
    </xf>
    <xf borderId="81" fillId="0" fontId="63" numFmtId="0" xfId="0" applyAlignment="1" applyBorder="1" applyFont="1">
      <alignment horizontal="center" shrinkToFit="0" vertical="center" wrapText="0"/>
    </xf>
    <xf borderId="81" fillId="19" fontId="63" numFmtId="0" xfId="0" applyAlignment="1" applyBorder="1" applyFont="1">
      <alignment horizontal="center" shrinkToFit="0" vertical="center" wrapText="0"/>
    </xf>
    <xf borderId="81" fillId="0" fontId="63" numFmtId="0" xfId="0" applyAlignment="1" applyBorder="1" applyFont="1">
      <alignment horizontal="center" readingOrder="0" shrinkToFit="0" vertical="center" wrapText="0"/>
    </xf>
    <xf borderId="78" fillId="0" fontId="63" numFmtId="0" xfId="0" applyAlignment="1" applyBorder="1" applyFont="1">
      <alignment horizontal="center" shrinkToFit="0" vertical="center" wrapText="0"/>
    </xf>
    <xf borderId="81" fillId="19" fontId="63" numFmtId="0" xfId="0" applyAlignment="1" applyBorder="1" applyFont="1">
      <alignment horizontal="center" shrinkToFit="0" wrapText="0"/>
    </xf>
    <xf borderId="88" fillId="24" fontId="67" numFmtId="0" xfId="0" applyAlignment="1" applyBorder="1" applyFont="1">
      <alignment horizontal="center" shrinkToFit="0" vertical="center" wrapText="0"/>
    </xf>
    <xf borderId="89" fillId="24" fontId="67" numFmtId="0" xfId="0" applyAlignment="1" applyBorder="1" applyFont="1">
      <alignment horizontal="center" shrinkToFit="0" vertical="center" wrapText="0"/>
    </xf>
    <xf borderId="88" fillId="24" fontId="9" numFmtId="0" xfId="0" applyAlignment="1" applyBorder="1" applyFont="1">
      <alignment horizontal="center" shrinkToFit="0" vertical="center" wrapText="0"/>
    </xf>
    <xf borderId="133" fillId="24" fontId="69" numFmtId="0" xfId="0" applyAlignment="1" applyBorder="1" applyFont="1">
      <alignment horizontal="center" readingOrder="0" shrinkToFit="0" vertical="center" wrapText="1"/>
    </xf>
    <xf borderId="56" fillId="24" fontId="70" numFmtId="0" xfId="0" applyAlignment="1" applyBorder="1" applyFont="1">
      <alignment horizontal="center" readingOrder="0" shrinkToFit="0" vertical="center" wrapText="1"/>
    </xf>
    <xf borderId="57" fillId="24" fontId="68" numFmtId="0" xfId="0" applyAlignment="1" applyBorder="1" applyFont="1">
      <alignment horizontal="center" readingOrder="0" shrinkToFit="0" vertical="center" wrapText="1"/>
    </xf>
    <xf borderId="56" fillId="24" fontId="69" numFmtId="0" xfId="0" applyAlignment="1" applyBorder="1" applyFont="1">
      <alignment horizontal="center" shrinkToFit="0" vertical="center" wrapText="1"/>
    </xf>
    <xf borderId="111" fillId="40" fontId="20" numFmtId="0" xfId="0" applyAlignment="1" applyBorder="1" applyFont="1">
      <alignment shrinkToFit="0" wrapText="0"/>
    </xf>
    <xf borderId="17" fillId="40" fontId="9" numFmtId="0" xfId="0" applyAlignment="1" applyBorder="1" applyFont="1">
      <alignment horizontal="center" shrinkToFit="0" vertical="center" wrapText="1"/>
    </xf>
    <xf borderId="22" fillId="40" fontId="20" numFmtId="0" xfId="0" applyAlignment="1" applyBorder="1" applyFont="1">
      <alignment shrinkToFit="0" wrapText="0"/>
    </xf>
    <xf borderId="17" fillId="24" fontId="68" numFmtId="0" xfId="0" applyAlignment="1" applyBorder="1" applyFont="1">
      <alignment horizontal="center" readingOrder="0" shrinkToFit="0" vertical="center" wrapText="1"/>
    </xf>
    <xf borderId="17" fillId="24" fontId="68" numFmtId="0" xfId="0" applyAlignment="1" applyBorder="1" applyFont="1">
      <alignment horizontal="center" shrinkToFit="0" vertical="center" wrapText="1"/>
    </xf>
    <xf borderId="113" fillId="40" fontId="20" numFmtId="0" xfId="0" applyAlignment="1" applyBorder="1" applyFont="1">
      <alignment shrinkToFit="0" wrapText="0"/>
    </xf>
    <xf borderId="2" fillId="24" fontId="67" numFmtId="0" xfId="0" applyAlignment="1" applyBorder="1" applyFont="1">
      <alignment horizontal="center" readingOrder="0" shrinkToFit="0" vertical="center" wrapText="1"/>
    </xf>
    <xf borderId="88" fillId="24" fontId="71" numFmtId="0" xfId="0" applyAlignment="1" applyBorder="1" applyFont="1">
      <alignment horizontal="center" readingOrder="0" shrinkToFit="0" vertical="center" wrapText="1"/>
    </xf>
    <xf borderId="2" fillId="24" fontId="68" numFmtId="0" xfId="0" applyAlignment="1" applyBorder="1" applyFont="1">
      <alignment horizontal="center" readingOrder="0" shrinkToFit="0" vertical="center" wrapText="1"/>
    </xf>
    <xf borderId="1" fillId="40" fontId="20" numFmtId="0" xfId="0" applyAlignment="1" applyBorder="1" applyFont="1">
      <alignment shrinkToFit="0" wrapText="0"/>
    </xf>
    <xf borderId="15" fillId="40" fontId="20" numFmtId="0" xfId="0" applyAlignment="1" applyBorder="1" applyFont="1">
      <alignment shrinkToFit="0" wrapText="0"/>
    </xf>
    <xf borderId="117" fillId="40" fontId="35" numFmtId="0" xfId="0" applyAlignment="1" applyBorder="1" applyFont="1">
      <alignment shrinkToFit="0" wrapText="0"/>
    </xf>
    <xf borderId="17" fillId="24" fontId="72" numFmtId="0" xfId="0" applyAlignment="1" applyBorder="1" applyFont="1">
      <alignment horizontal="center" shrinkToFit="0" vertical="center" wrapText="1"/>
    </xf>
    <xf borderId="89" fillId="24" fontId="72" numFmtId="0" xfId="0" applyAlignment="1" applyBorder="1" applyFont="1">
      <alignment horizontal="center" shrinkToFit="0" vertical="center" wrapText="1"/>
    </xf>
    <xf borderId="118" fillId="40" fontId="35" numFmtId="0" xfId="0" applyAlignment="1" applyBorder="1" applyFont="1">
      <alignment shrinkToFit="0" wrapText="0"/>
    </xf>
    <xf borderId="119" fillId="40" fontId="37" numFmtId="0" xfId="0" applyAlignment="1" applyBorder="1" applyFont="1">
      <alignment shrinkToFit="0" wrapText="0"/>
    </xf>
    <xf borderId="124" fillId="40" fontId="37" numFmtId="0" xfId="0" applyAlignment="1" applyBorder="1" applyFont="1">
      <alignment shrinkToFit="0" wrapText="0"/>
    </xf>
    <xf borderId="119" fillId="40" fontId="38" numFmtId="0" xfId="0" applyAlignment="1" applyBorder="1" applyFont="1">
      <alignment shrinkToFit="0" wrapText="0"/>
    </xf>
    <xf borderId="125" fillId="4" fontId="63" numFmtId="0" xfId="0" applyAlignment="1" applyBorder="1" applyFont="1">
      <alignment horizontal="center" shrinkToFit="0" vertical="center" wrapText="1"/>
    </xf>
    <xf borderId="31" fillId="4" fontId="63" numFmtId="0" xfId="0" applyAlignment="1" applyBorder="1" applyFont="1">
      <alignment horizontal="center" shrinkToFit="0" vertical="center" wrapText="1"/>
    </xf>
    <xf borderId="124" fillId="40" fontId="20" numFmtId="0" xfId="0" applyAlignment="1" applyBorder="1" applyFont="1">
      <alignment shrinkToFit="0" wrapText="0"/>
    </xf>
    <xf borderId="119" fillId="40" fontId="20" numFmtId="0" xfId="0" applyAlignment="1" applyBorder="1" applyFont="1">
      <alignment shrinkToFit="0" wrapText="0"/>
    </xf>
    <xf borderId="128" fillId="40" fontId="20" numFmtId="0" xfId="0" applyAlignment="1" applyBorder="1" applyFont="1">
      <alignment shrinkToFit="0" wrapText="0"/>
    </xf>
    <xf borderId="130" fillId="40" fontId="20" numFmtId="0" xfId="0" applyAlignment="1" applyBorder="1" applyFont="1">
      <alignment shrinkToFit="0" wrapText="0"/>
    </xf>
    <xf borderId="0" fillId="40" fontId="20" numFmtId="0" xfId="0" applyAlignment="1" applyFont="1">
      <alignment shrinkToFit="0" wrapText="0"/>
    </xf>
    <xf borderId="17" fillId="24" fontId="73" numFmtId="0" xfId="0" applyAlignment="1" applyBorder="1" applyFont="1">
      <alignment horizontal="center" shrinkToFit="0" vertical="center" wrapText="1"/>
    </xf>
    <xf borderId="89" fillId="24" fontId="73" numFmtId="0" xfId="0" applyAlignment="1" applyBorder="1" applyFont="1">
      <alignment horizontal="center" shrinkToFit="0" vertical="center" wrapText="1"/>
    </xf>
    <xf borderId="89" fillId="24" fontId="74" numFmtId="0" xfId="0" applyAlignment="1" applyBorder="1" applyFont="1">
      <alignment horizontal="center" shrinkToFit="0" vertical="center" wrapText="1"/>
    </xf>
    <xf borderId="89" fillId="24" fontId="74" numFmtId="0" xfId="0" applyAlignment="1" applyBorder="1" applyFont="1">
      <alignment horizontal="center" shrinkToFit="0" wrapText="1"/>
    </xf>
    <xf borderId="89" fillId="24" fontId="74" numFmtId="0" xfId="0" applyAlignment="1" applyBorder="1" applyFont="1">
      <alignment horizontal="center" readingOrder="0" shrinkToFit="0" vertical="center" wrapText="1"/>
    </xf>
    <xf borderId="89" fillId="24" fontId="39" numFmtId="0" xfId="0" applyAlignment="1" applyBorder="1" applyFont="1">
      <alignment horizontal="center" shrinkToFit="0" vertical="center" wrapText="1"/>
    </xf>
    <xf borderId="89" fillId="24" fontId="40" numFmtId="0" xfId="0" applyAlignment="1" applyBorder="1" applyFont="1">
      <alignment horizontal="center" shrinkToFit="0" wrapText="1"/>
    </xf>
    <xf borderId="16" fillId="40" fontId="37" numFmtId="0" xfId="0" applyAlignment="1" applyBorder="1" applyFont="1">
      <alignment shrinkToFit="0" wrapText="0"/>
    </xf>
    <xf borderId="10" fillId="40" fontId="35" numFmtId="0" xfId="0" applyAlignment="1" applyBorder="1" applyFont="1">
      <alignment shrinkToFit="0" wrapText="0"/>
    </xf>
    <xf borderId="115" fillId="40" fontId="20" numFmtId="0" xfId="0" applyAlignment="1" applyBorder="1" applyFont="1">
      <alignment shrinkToFit="0" wrapText="0"/>
    </xf>
    <xf borderId="115" fillId="40" fontId="38" numFmtId="0" xfId="0" applyBorder="1" applyFont="1"/>
    <xf borderId="123" fillId="40" fontId="42" numFmtId="0" xfId="0" applyAlignment="1" applyBorder="1" applyFont="1">
      <alignment horizontal="right" shrinkToFit="0" vertical="center" wrapText="0"/>
    </xf>
    <xf borderId="123" fillId="40" fontId="20" numFmtId="0" xfId="0" applyAlignment="1" applyBorder="1" applyFont="1">
      <alignment shrinkToFit="0" wrapText="0"/>
    </xf>
    <xf borderId="2" fillId="46" fontId="3" numFmtId="0" xfId="0" applyAlignment="1" applyBorder="1" applyFill="1" applyFont="1">
      <alignment horizontal="center" shrinkToFit="0" vertical="center" wrapText="0"/>
    </xf>
    <xf borderId="2" fillId="46" fontId="5" numFmtId="0" xfId="0" applyAlignment="1" applyBorder="1" applyFont="1">
      <alignment horizontal="center" shrinkToFit="0" vertical="center" wrapText="0"/>
    </xf>
    <xf borderId="2" fillId="46" fontId="8" numFmtId="0" xfId="0" applyAlignment="1" applyBorder="1" applyFont="1">
      <alignment horizontal="center" shrinkToFit="0" vertical="center" wrapText="0"/>
    </xf>
    <xf borderId="17" fillId="46" fontId="9" numFmtId="0" xfId="0" applyAlignment="1" applyBorder="1" applyFont="1">
      <alignment horizontal="center" shrinkToFit="0" vertical="center" wrapText="0"/>
    </xf>
    <xf borderId="26" fillId="46" fontId="11" numFmtId="0" xfId="0" applyAlignment="1" applyBorder="1" applyFont="1">
      <alignment horizontal="center" shrinkToFit="0" vertical="center" wrapText="0"/>
    </xf>
    <xf borderId="17" fillId="46" fontId="12" numFmtId="0" xfId="0" applyAlignment="1" applyBorder="1" applyFont="1">
      <alignment horizontal="center" shrinkToFit="0" vertical="center" wrapText="0"/>
    </xf>
    <xf borderId="26" fillId="47" fontId="14" numFmtId="0" xfId="0" applyAlignment="1" applyBorder="1" applyFill="1" applyFont="1">
      <alignment horizontal="center" shrinkToFit="0" vertical="center" wrapText="0"/>
    </xf>
    <xf borderId="17" fillId="46" fontId="12" numFmtId="0" xfId="0" applyAlignment="1" applyBorder="1" applyFont="1">
      <alignment horizontal="center" readingOrder="0" shrinkToFit="0" vertical="center" wrapText="0"/>
    </xf>
    <xf borderId="26" fillId="48" fontId="14" numFmtId="0" xfId="0" applyAlignment="1" applyBorder="1" applyFill="1" applyFont="1">
      <alignment horizontal="center" shrinkToFit="0" vertical="center" wrapText="0"/>
    </xf>
    <xf borderId="26" fillId="46" fontId="11" numFmtId="0" xfId="0" applyAlignment="1" applyBorder="1" applyFont="1">
      <alignment horizontal="center" readingOrder="0" shrinkToFit="0" vertical="center" wrapText="0"/>
    </xf>
    <xf borderId="26" fillId="46" fontId="5" numFmtId="0" xfId="0" applyAlignment="1" applyBorder="1" applyFont="1">
      <alignment horizontal="center" readingOrder="0" shrinkToFit="0" wrapText="0"/>
    </xf>
    <xf borderId="26" fillId="46" fontId="5" numFmtId="0" xfId="0" applyAlignment="1" applyBorder="1" applyFont="1">
      <alignment horizontal="center" shrinkToFit="0" wrapText="0"/>
    </xf>
    <xf borderId="26" fillId="47" fontId="16" numFmtId="0" xfId="0" applyAlignment="1" applyBorder="1" applyFont="1">
      <alignment horizontal="center" shrinkToFit="0" vertical="center" wrapText="0"/>
    </xf>
    <xf borderId="26" fillId="48" fontId="16" numFmtId="0" xfId="0" applyAlignment="1" applyBorder="1" applyFont="1">
      <alignment horizontal="center" shrinkToFit="0" vertical="center" wrapText="0"/>
    </xf>
    <xf borderId="2" fillId="46" fontId="9" numFmtId="0" xfId="0" applyAlignment="1" applyBorder="1" applyFont="1">
      <alignment horizontal="center" shrinkToFit="0" vertical="center" wrapText="0"/>
    </xf>
    <xf borderId="2" fillId="46" fontId="17" numFmtId="0" xfId="0" applyAlignment="1" applyBorder="1" applyFont="1">
      <alignment horizontal="center" shrinkToFit="0" vertical="center" wrapText="0"/>
    </xf>
    <xf borderId="31" fillId="46" fontId="18" numFmtId="0" xfId="0" applyAlignment="1" applyBorder="1" applyFont="1">
      <alignment horizontal="center" shrinkToFit="0" vertical="center" wrapText="0"/>
    </xf>
    <xf borderId="158" fillId="46" fontId="19" numFmtId="0" xfId="0" applyAlignment="1" applyBorder="1" applyFont="1">
      <alignment horizontal="center" shrinkToFit="0" vertical="center" wrapText="0"/>
    </xf>
    <xf borderId="0" fillId="46" fontId="20" numFmtId="0" xfId="0" applyAlignment="1" applyFont="1">
      <alignment horizontal="center" shrinkToFit="0" vertical="center" wrapText="0"/>
    </xf>
    <xf borderId="0" fillId="49" fontId="21" numFmtId="0" xfId="0" applyAlignment="1" applyFill="1" applyFont="1">
      <alignment horizontal="center" shrinkToFit="0" vertical="center" wrapText="0"/>
    </xf>
    <xf borderId="0" fillId="47" fontId="22" numFmtId="0" xfId="0" applyAlignment="1" applyFont="1">
      <alignment horizontal="center" shrinkToFit="0" wrapText="0"/>
    </xf>
    <xf borderId="0" fillId="48" fontId="22" numFmtId="0" xfId="0" applyAlignment="1" applyFont="1">
      <alignment horizontal="center" shrinkToFit="0" wrapText="0"/>
    </xf>
    <xf borderId="0" fillId="46" fontId="19" numFmtId="0" xfId="0" applyAlignment="1" applyFont="1">
      <alignment horizontal="center" shrinkToFit="0" vertical="center" wrapText="0"/>
    </xf>
    <xf borderId="0" fillId="47" fontId="22" numFmtId="0" xfId="0" applyAlignment="1" applyFont="1">
      <alignment horizontal="center" shrinkToFit="0" vertical="center" wrapText="0"/>
    </xf>
    <xf borderId="0" fillId="48" fontId="22" numFmtId="0" xfId="0" applyAlignment="1" applyFont="1">
      <alignment horizontal="center" shrinkToFit="0" vertical="center" wrapText="0"/>
    </xf>
    <xf borderId="0" fillId="46" fontId="20" numFmtId="0" xfId="0" applyAlignment="1" applyFont="1">
      <alignment horizontal="center" shrinkToFit="0" wrapText="0"/>
    </xf>
    <xf borderId="0" fillId="49" fontId="21" numFmtId="0" xfId="0" applyAlignment="1" applyFont="1">
      <alignment horizontal="center" shrinkToFit="0" wrapText="0"/>
    </xf>
    <xf borderId="159" fillId="46" fontId="19" numFmtId="0" xfId="0" applyAlignment="1" applyBorder="1" applyFont="1">
      <alignment horizontal="center" shrinkToFit="0" vertical="center" wrapText="0"/>
    </xf>
    <xf borderId="0" fillId="46" fontId="24" numFmtId="0" xfId="0" applyAlignment="1" applyFont="1">
      <alignment horizontal="center" shrinkToFit="0" vertical="center" wrapText="0"/>
    </xf>
    <xf borderId="0" fillId="46" fontId="25" numFmtId="0" xfId="0" applyAlignment="1" applyFont="1">
      <alignment horizontal="center" readingOrder="0" shrinkToFit="0" vertical="center" wrapText="0"/>
    </xf>
    <xf borderId="0" fillId="46" fontId="25" numFmtId="0" xfId="0" applyAlignment="1" applyFont="1">
      <alignment horizontal="center" shrinkToFit="0" vertical="center" wrapText="0"/>
    </xf>
    <xf borderId="56" fillId="46" fontId="17" numFmtId="0" xfId="0" applyAlignment="1" applyBorder="1" applyFont="1">
      <alignment horizontal="center" shrinkToFit="0" vertical="center" wrapText="0"/>
    </xf>
    <xf borderId="56" fillId="49" fontId="17" numFmtId="0" xfId="0" applyAlignment="1" applyBorder="1" applyFont="1">
      <alignment horizontal="center" shrinkToFit="0" vertical="center" wrapText="0"/>
    </xf>
    <xf borderId="56" fillId="47" fontId="26" numFmtId="0" xfId="0" applyAlignment="1" applyBorder="1" applyFont="1">
      <alignment horizontal="center" shrinkToFit="0" vertical="center" wrapText="0"/>
    </xf>
    <xf borderId="56" fillId="48" fontId="26" numFmtId="0" xfId="0" applyAlignment="1" applyBorder="1" applyFont="1">
      <alignment horizontal="center" shrinkToFit="0" vertical="center" wrapText="0"/>
    </xf>
    <xf borderId="56" fillId="46" fontId="27" numFmtId="0" xfId="0" applyAlignment="1" applyBorder="1" applyFont="1">
      <alignment horizontal="center" shrinkToFit="0" vertical="center" wrapText="0"/>
    </xf>
    <xf borderId="56" fillId="49" fontId="27" numFmtId="0" xfId="0" applyAlignment="1" applyBorder="1" applyFont="1">
      <alignment horizontal="center" shrinkToFit="0" vertical="center" wrapText="0"/>
    </xf>
    <xf borderId="2" fillId="50" fontId="13" numFmtId="0" xfId="0" applyAlignment="1" applyBorder="1" applyFill="1" applyFont="1">
      <alignment horizontal="center" shrinkToFit="0" vertical="center" wrapText="0"/>
    </xf>
    <xf borderId="56" fillId="50" fontId="11" numFmtId="0" xfId="0" applyAlignment="1" applyBorder="1" applyFont="1">
      <alignment horizontal="center" shrinkToFit="0" vertical="center" wrapText="0"/>
    </xf>
    <xf borderId="56" fillId="50" fontId="12" numFmtId="0" xfId="0" applyAlignment="1" applyBorder="1" applyFont="1">
      <alignment horizontal="center" shrinkToFit="0" vertical="center" wrapText="0"/>
    </xf>
    <xf borderId="0" fillId="46" fontId="20" numFmtId="0" xfId="0" applyAlignment="1" applyFont="1">
      <alignment horizontal="center" readingOrder="0" shrinkToFit="0" vertical="center" wrapText="0"/>
    </xf>
    <xf borderId="0" fillId="46" fontId="75" numFmtId="0" xfId="0" applyAlignment="1" applyFont="1">
      <alignment horizontal="center" shrinkToFit="0" vertical="center" wrapText="0"/>
    </xf>
    <xf borderId="23" fillId="46" fontId="19" numFmtId="0" xfId="0" applyAlignment="1" applyBorder="1" applyFont="1">
      <alignment horizontal="center" shrinkToFit="0" vertical="center" wrapText="0"/>
    </xf>
    <xf borderId="17" fillId="47" fontId="9" numFmtId="0" xfId="0" applyAlignment="1" applyBorder="1" applyFont="1">
      <alignment horizontal="center" shrinkToFit="0" vertical="center" wrapText="0"/>
    </xf>
    <xf borderId="2" fillId="46" fontId="9" numFmtId="0" xfId="0" applyAlignment="1" applyBorder="1" applyFont="1">
      <alignment horizontal="center" shrinkToFit="0" vertical="center" wrapText="1"/>
    </xf>
    <xf borderId="26" fillId="46" fontId="12" numFmtId="0" xfId="0" applyAlignment="1" applyBorder="1" applyFont="1">
      <alignment horizontal="center" shrinkToFit="0" vertical="center" wrapText="0"/>
    </xf>
    <xf borderId="88" fillId="46" fontId="9" numFmtId="0" xfId="0" applyAlignment="1" applyBorder="1" applyFont="1">
      <alignment horizontal="center" shrinkToFit="0" vertical="center" wrapText="0"/>
    </xf>
    <xf borderId="89" fillId="46" fontId="9" numFmtId="0" xfId="0" applyAlignment="1" applyBorder="1" applyFont="1">
      <alignment horizontal="center" shrinkToFit="0" vertical="center" wrapText="0"/>
    </xf>
    <xf borderId="133" fillId="46" fontId="5" numFmtId="0" xfId="0" applyAlignment="1" applyBorder="1" applyFont="1">
      <alignment horizontal="center" readingOrder="0" shrinkToFit="0" vertical="center" wrapText="1"/>
    </xf>
    <xf borderId="56" fillId="46" fontId="5" numFmtId="0" xfId="0" applyAlignment="1" applyBorder="1" applyFont="1">
      <alignment horizontal="center" readingOrder="0" shrinkToFit="0" vertical="center" wrapText="1"/>
    </xf>
    <xf borderId="57" fillId="46" fontId="12" numFmtId="0" xfId="0" applyAlignment="1" applyBorder="1" applyFont="1">
      <alignment horizontal="center" readingOrder="0" shrinkToFit="0" vertical="center" wrapText="1"/>
    </xf>
    <xf borderId="56" fillId="46" fontId="5" numFmtId="0" xfId="0" applyAlignment="1" applyBorder="1" applyFont="1">
      <alignment horizontal="center" shrinkToFit="0" vertical="center" wrapText="1"/>
    </xf>
    <xf borderId="17" fillId="47" fontId="9" numFmtId="0" xfId="0" applyAlignment="1" applyBorder="1" applyFont="1">
      <alignment horizontal="center" shrinkToFit="0" vertical="center" wrapText="1"/>
    </xf>
    <xf borderId="17" fillId="46" fontId="33" numFmtId="0" xfId="0" applyAlignment="1" applyBorder="1" applyFont="1">
      <alignment horizontal="center" readingOrder="0" shrinkToFit="0" vertical="center" wrapText="1"/>
    </xf>
    <xf borderId="17" fillId="46" fontId="33" numFmtId="0" xfId="0" applyAlignment="1" applyBorder="1" applyFont="1">
      <alignment horizontal="center" shrinkToFit="0" vertical="center" wrapText="1"/>
    </xf>
    <xf borderId="2" fillId="47" fontId="34" numFmtId="0" xfId="0" applyAlignment="1" applyBorder="1" applyFont="1">
      <alignment horizontal="center" readingOrder="0" shrinkToFit="0" vertical="center" wrapText="1"/>
    </xf>
    <xf borderId="88" fillId="47" fontId="25" numFmtId="0" xfId="0" applyAlignment="1" applyBorder="1" applyFont="1">
      <alignment horizontal="center" readingOrder="0" shrinkToFit="0" vertical="center" wrapText="1"/>
    </xf>
    <xf borderId="2" fillId="47" fontId="33" numFmtId="0" xfId="0" applyAlignment="1" applyBorder="1" applyFont="1">
      <alignment horizontal="center" readingOrder="0" shrinkToFit="0" vertical="center" wrapText="1"/>
    </xf>
  </cellXfs>
  <cellStyles count="1">
    <cellStyle xfId="0" name="Normal" builtinId="0"/>
  </cellStyles>
  <dxfs count="16">
    <dxf>
      <font>
        <color rgb="FFC1EBDB"/>
      </font>
      <fill>
        <patternFill patternType="solid">
          <fgColor rgb="FFC1EBDB"/>
          <bgColor rgb="FFC1EBDB"/>
        </patternFill>
      </fill>
      <border/>
    </dxf>
    <dxf>
      <font>
        <color rgb="FFFFFFFF"/>
      </font>
      <fill>
        <patternFill patternType="solid">
          <fgColor rgb="FFE7637B"/>
          <bgColor rgb="FFE7637B"/>
        </patternFill>
      </fill>
      <border/>
    </dxf>
    <dxf>
      <font>
        <b/>
      </font>
      <fill>
        <patternFill patternType="solid">
          <fgColor rgb="FF78E6CC"/>
          <bgColor rgb="FF78E6CC"/>
        </patternFill>
      </fill>
      <border/>
    </dxf>
    <dxf>
      <font>
        <color rgb="FFC1EBDB"/>
      </font>
      <fill>
        <patternFill patternType="solid">
          <fgColor rgb="FF000000"/>
          <bgColor rgb="FF000000"/>
        </patternFill>
      </fill>
      <border/>
    </dxf>
    <dxf>
      <font>
        <b/>
        <color rgb="FF000000"/>
      </font>
      <fill>
        <patternFill patternType="solid">
          <fgColor rgb="FFFFFFFF"/>
          <bgColor rgb="FFFFFFFF"/>
        </patternFill>
      </fill>
      <border/>
    </dxf>
    <dxf>
      <font>
        <color rgb="FFC1EBDB"/>
      </font>
      <fill>
        <patternFill patternType="solid">
          <fgColor rgb="FFC3B1E1"/>
          <bgColor rgb="FFC3B1E1"/>
        </patternFill>
      </fill>
      <border/>
    </dxf>
    <dxf>
      <font>
        <b/>
      </font>
      <fill>
        <patternFill patternType="solid">
          <fgColor rgb="FF7D4CCC"/>
          <bgColor rgb="FF7D4CCC"/>
        </patternFill>
      </fill>
      <border/>
    </dxf>
    <dxf>
      <font>
        <color rgb="FFC1EBDB"/>
      </font>
      <fill>
        <patternFill patternType="solid">
          <fgColor rgb="FFFFFAA0"/>
          <bgColor rgb="FFFFFAA0"/>
        </patternFill>
      </fill>
      <border/>
    </dxf>
    <dxf>
      <font>
        <b/>
      </font>
      <fill>
        <patternFill patternType="solid">
          <fgColor rgb="FFF1C232"/>
          <bgColor rgb="FFF1C232"/>
        </patternFill>
      </fill>
      <border/>
    </dxf>
    <dxf>
      <font>
        <color rgb="FFC1EBDB"/>
      </font>
      <fill>
        <patternFill patternType="solid">
          <fgColor rgb="FFF6ACBD"/>
          <bgColor rgb="FFF6ACBD"/>
        </patternFill>
      </fill>
      <border/>
    </dxf>
    <dxf>
      <font>
        <b/>
      </font>
      <fill>
        <patternFill patternType="solid">
          <fgColor rgb="FFF67280"/>
          <bgColor rgb="FFF67280"/>
        </patternFill>
      </fill>
      <border/>
    </dxf>
    <dxf>
      <font>
        <color rgb="FFC1EBDB"/>
      </font>
      <fill>
        <patternFill patternType="none"/>
      </fill>
      <border/>
    </dxf>
    <dxf>
      <font/>
      <fill>
        <patternFill patternType="solid">
          <fgColor rgb="FFF4C7C3"/>
          <bgColor rgb="FFF4C7C3"/>
        </patternFill>
      </fill>
      <border/>
    </dxf>
    <dxf>
      <font>
        <color rgb="FFC1EBDB"/>
      </font>
      <fill>
        <patternFill patternType="solid">
          <fgColor rgb="FFCFE2F3"/>
          <bgColor rgb="FFCFE2F3"/>
        </patternFill>
      </fill>
      <border/>
    </dxf>
    <dxf>
      <font>
        <b/>
      </font>
      <fill>
        <patternFill patternType="solid">
          <fgColor rgb="FFA4C2F4"/>
          <bgColor rgb="FFA4C2F4"/>
        </patternFill>
      </fill>
      <border/>
    </dxf>
    <dxf>
      <font>
        <b/>
        <color rgb="FF000000"/>
      </font>
      <fill>
        <patternFill patternType="solid">
          <fgColor rgb="FFA4C2F4"/>
          <bgColor rgb="FFA4C2F4"/>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55" width="2.5"/>
  </cols>
  <sheetData>
    <row r="1" ht="11.25" customHeight="1">
      <c r="A1" s="1">
        <v>35.0</v>
      </c>
      <c r="B1" s="2"/>
      <c r="C1" s="2"/>
      <c r="D1" s="2"/>
      <c r="E1" s="2"/>
      <c r="F1" s="2"/>
      <c r="G1" s="2"/>
      <c r="H1" s="2"/>
      <c r="I1" s="2"/>
      <c r="J1" s="2"/>
      <c r="K1" s="2"/>
      <c r="L1" s="2"/>
      <c r="M1" s="2"/>
      <c r="N1" s="2"/>
      <c r="O1" s="2"/>
      <c r="P1" s="2"/>
      <c r="Q1" s="2"/>
      <c r="R1" s="2"/>
      <c r="S1" s="2"/>
      <c r="T1" s="2"/>
      <c r="U1" s="2"/>
      <c r="V1" s="2"/>
      <c r="W1" s="2"/>
      <c r="X1" s="2"/>
      <c r="Y1" s="2"/>
      <c r="Z1" s="2"/>
      <c r="AA1" s="2"/>
      <c r="AB1" s="2"/>
      <c r="AC1" s="3"/>
      <c r="AD1" s="3"/>
      <c r="AE1" s="3"/>
      <c r="AF1" s="3"/>
      <c r="AG1" s="3"/>
      <c r="AH1" s="3"/>
      <c r="AI1" s="3"/>
      <c r="AJ1" s="3"/>
      <c r="AK1" s="3"/>
      <c r="AL1" s="3"/>
      <c r="AM1" s="3"/>
      <c r="AN1" s="3"/>
      <c r="AO1" s="3"/>
      <c r="AP1" s="3"/>
      <c r="AQ1" s="3"/>
      <c r="AR1" s="3"/>
      <c r="AS1" s="3"/>
      <c r="AT1" s="3"/>
      <c r="AU1" s="3"/>
      <c r="AV1" s="3"/>
      <c r="AW1" s="3"/>
      <c r="AX1" s="3"/>
      <c r="AY1" s="3"/>
      <c r="AZ1" s="3"/>
      <c r="BA1" s="3"/>
      <c r="BB1" s="3"/>
      <c r="BC1" s="3"/>
    </row>
    <row r="2" ht="9.0" customHeight="1">
      <c r="A2" s="2"/>
      <c r="B2" s="4" t="s">
        <v>0</v>
      </c>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6" t="s">
        <v>1</v>
      </c>
      <c r="AU2" s="5"/>
      <c r="AV2" s="7"/>
      <c r="AW2" s="6" t="s">
        <v>2</v>
      </c>
      <c r="AX2" s="5"/>
      <c r="AY2" s="7"/>
      <c r="AZ2" s="6" t="s">
        <v>3</v>
      </c>
      <c r="BA2" s="5"/>
      <c r="BB2" s="7"/>
      <c r="BC2" s="3"/>
    </row>
    <row r="3" ht="9.0" customHeight="1">
      <c r="A3" s="8"/>
      <c r="B3" s="9"/>
      <c r="AT3" s="10"/>
      <c r="AU3" s="11"/>
      <c r="AV3" s="12"/>
      <c r="AW3" s="10"/>
      <c r="AX3" s="11"/>
      <c r="AY3" s="12"/>
      <c r="AZ3" s="10"/>
      <c r="BA3" s="11"/>
      <c r="BB3" s="12"/>
      <c r="BC3" s="3"/>
    </row>
    <row r="4" ht="9.0" customHeight="1">
      <c r="A4" s="8"/>
      <c r="B4" s="9"/>
      <c r="AT4" s="13"/>
      <c r="AU4" s="5"/>
      <c r="AV4" s="7"/>
      <c r="AW4" s="6" t="s">
        <v>4</v>
      </c>
      <c r="AX4" s="5"/>
      <c r="AY4" s="7"/>
      <c r="AZ4" s="14" t="s">
        <v>5</v>
      </c>
      <c r="BA4" s="5"/>
      <c r="BB4" s="7"/>
      <c r="BC4" s="3"/>
    </row>
    <row r="5" ht="9.0" customHeight="1">
      <c r="A5" s="8"/>
      <c r="B5" s="9"/>
      <c r="AT5" s="9"/>
      <c r="AV5" s="15"/>
      <c r="AW5" s="9"/>
      <c r="AY5" s="15"/>
      <c r="AZ5" s="9"/>
      <c r="BB5" s="15"/>
      <c r="BC5" s="3"/>
    </row>
    <row r="6" ht="9.0" customHeight="1">
      <c r="A6" s="2"/>
      <c r="B6" s="9"/>
      <c r="AT6" s="10"/>
      <c r="AU6" s="11"/>
      <c r="AV6" s="12"/>
      <c r="AW6" s="10"/>
      <c r="AX6" s="11"/>
      <c r="AY6" s="12"/>
      <c r="AZ6" s="10"/>
      <c r="BA6" s="11"/>
      <c r="BB6" s="12"/>
      <c r="BC6" s="2"/>
    </row>
    <row r="7" ht="13.5" customHeight="1">
      <c r="A7" s="16"/>
      <c r="B7" s="17"/>
      <c r="C7" s="17"/>
      <c r="D7" s="17"/>
      <c r="E7" s="17"/>
      <c r="F7" s="17"/>
      <c r="G7" s="17"/>
      <c r="H7" s="17"/>
      <c r="I7" s="17"/>
      <c r="J7" s="17"/>
      <c r="K7" s="17"/>
      <c r="L7" s="17"/>
      <c r="M7" s="17"/>
      <c r="N7" s="17"/>
      <c r="O7" s="18"/>
      <c r="P7" s="18"/>
      <c r="Q7" s="19"/>
      <c r="R7" s="18"/>
      <c r="S7" s="18"/>
      <c r="T7" s="18"/>
      <c r="U7" s="18"/>
      <c r="V7" s="18"/>
      <c r="W7" s="18"/>
      <c r="X7" s="18"/>
      <c r="Y7" s="18"/>
      <c r="Z7" s="18"/>
      <c r="AA7" s="18"/>
      <c r="AB7" s="18"/>
      <c r="AC7" s="18"/>
      <c r="AD7" s="18"/>
      <c r="AE7" s="18"/>
      <c r="AF7" s="18"/>
      <c r="AG7" s="18"/>
      <c r="AH7" s="18"/>
      <c r="AI7" s="18"/>
      <c r="AJ7" s="18"/>
      <c r="AK7" s="18"/>
      <c r="AL7" s="18"/>
      <c r="AM7" s="18"/>
      <c r="AN7" s="18"/>
      <c r="AO7" s="18"/>
      <c r="AP7" s="20"/>
      <c r="AQ7" s="17"/>
      <c r="AR7" s="17"/>
      <c r="AS7" s="17"/>
      <c r="AT7" s="17"/>
      <c r="AU7" s="17"/>
      <c r="AV7" s="17"/>
      <c r="AW7" s="17"/>
      <c r="AX7" s="17"/>
      <c r="AY7" s="17"/>
      <c r="AZ7" s="17"/>
      <c r="BA7" s="17"/>
      <c r="BB7" s="17"/>
      <c r="BC7" s="21"/>
    </row>
    <row r="8" ht="13.5" customHeight="1">
      <c r="A8" s="22"/>
      <c r="B8" s="23" t="s">
        <v>6</v>
      </c>
      <c r="C8" s="24"/>
      <c r="D8" s="24"/>
      <c r="E8" s="24"/>
      <c r="F8" s="24"/>
      <c r="G8" s="24"/>
      <c r="H8" s="24"/>
      <c r="I8" s="24"/>
      <c r="J8" s="24"/>
      <c r="K8" s="24"/>
      <c r="L8" s="24"/>
      <c r="M8" s="24"/>
      <c r="N8" s="24"/>
      <c r="O8" s="24"/>
      <c r="P8" s="25"/>
      <c r="Q8" s="26"/>
      <c r="R8" s="23" t="s">
        <v>7</v>
      </c>
      <c r="S8" s="24"/>
      <c r="T8" s="24"/>
      <c r="U8" s="24"/>
      <c r="V8" s="24"/>
      <c r="W8" s="24"/>
      <c r="X8" s="24"/>
      <c r="Y8" s="24"/>
      <c r="Z8" s="24"/>
      <c r="AA8" s="24"/>
      <c r="AB8" s="24"/>
      <c r="AC8" s="24"/>
      <c r="AD8" s="24"/>
      <c r="AE8" s="24"/>
      <c r="AF8" s="24"/>
      <c r="AG8" s="24"/>
      <c r="AH8" s="24"/>
      <c r="AI8" s="24"/>
      <c r="AJ8" s="24"/>
      <c r="AK8" s="24"/>
      <c r="AL8" s="24"/>
      <c r="AM8" s="24"/>
      <c r="AN8" s="24"/>
      <c r="AO8" s="25"/>
      <c r="AP8" s="27"/>
      <c r="AQ8" s="23" t="s">
        <v>8</v>
      </c>
      <c r="AR8" s="24"/>
      <c r="AS8" s="24"/>
      <c r="AT8" s="24"/>
      <c r="AU8" s="24"/>
      <c r="AV8" s="24"/>
      <c r="AW8" s="24"/>
      <c r="AX8" s="24"/>
      <c r="AY8" s="24"/>
      <c r="AZ8" s="24"/>
      <c r="BA8" s="24"/>
      <c r="BB8" s="25"/>
      <c r="BC8" s="28"/>
    </row>
    <row r="9" ht="13.5" customHeight="1">
      <c r="A9" s="29"/>
      <c r="B9" s="30"/>
      <c r="C9" s="31"/>
      <c r="D9" s="31"/>
      <c r="E9" s="31"/>
      <c r="F9" s="31"/>
      <c r="G9" s="31"/>
      <c r="H9" s="31"/>
      <c r="I9" s="31"/>
      <c r="J9" s="31"/>
      <c r="K9" s="31"/>
      <c r="L9" s="31"/>
      <c r="M9" s="31"/>
      <c r="N9" s="31"/>
      <c r="O9" s="31"/>
      <c r="P9" s="32"/>
      <c r="Q9" s="26"/>
      <c r="R9" s="30"/>
      <c r="S9" s="31"/>
      <c r="T9" s="31"/>
      <c r="U9" s="31"/>
      <c r="V9" s="31"/>
      <c r="W9" s="31"/>
      <c r="X9" s="31"/>
      <c r="Y9" s="31"/>
      <c r="Z9" s="31"/>
      <c r="AA9" s="31"/>
      <c r="AB9" s="31"/>
      <c r="AC9" s="31"/>
      <c r="AD9" s="31"/>
      <c r="AE9" s="31"/>
      <c r="AF9" s="31"/>
      <c r="AG9" s="31"/>
      <c r="AH9" s="31"/>
      <c r="AI9" s="31"/>
      <c r="AJ9" s="31"/>
      <c r="AK9" s="31"/>
      <c r="AL9" s="31"/>
      <c r="AM9" s="31"/>
      <c r="AN9" s="31"/>
      <c r="AO9" s="32"/>
      <c r="AP9" s="27"/>
      <c r="AQ9" s="30"/>
      <c r="AR9" s="31"/>
      <c r="AS9" s="31"/>
      <c r="AT9" s="31"/>
      <c r="AU9" s="31"/>
      <c r="AV9" s="31"/>
      <c r="AW9" s="31"/>
      <c r="AX9" s="31"/>
      <c r="AY9" s="31"/>
      <c r="AZ9" s="31"/>
      <c r="BA9" s="31"/>
      <c r="BB9" s="32"/>
      <c r="BC9" s="28"/>
    </row>
    <row r="10" ht="13.5" customHeight="1">
      <c r="A10" s="22"/>
      <c r="B10" s="33" t="s">
        <v>9</v>
      </c>
      <c r="C10" s="34"/>
      <c r="D10" s="35"/>
      <c r="E10" s="36"/>
      <c r="F10" s="34"/>
      <c r="G10" s="34"/>
      <c r="H10" s="34"/>
      <c r="I10" s="34"/>
      <c r="J10" s="34"/>
      <c r="K10" s="34"/>
      <c r="L10" s="34"/>
      <c r="M10" s="34"/>
      <c r="N10" s="34"/>
      <c r="O10" s="34"/>
      <c r="P10" s="35"/>
      <c r="Q10" s="26"/>
      <c r="R10" s="37" t="s">
        <v>10</v>
      </c>
      <c r="S10" s="24"/>
      <c r="T10" s="24"/>
      <c r="U10" s="25"/>
      <c r="V10" s="38"/>
      <c r="W10" s="25"/>
      <c r="X10" s="39">
        <f>Int(DIVIDE(V10,2))</f>
        <v>0</v>
      </c>
      <c r="Y10" s="35"/>
      <c r="Z10" s="40" t="s">
        <v>11</v>
      </c>
      <c r="AA10" s="24"/>
      <c r="AB10" s="24"/>
      <c r="AC10" s="25"/>
      <c r="AD10" s="38"/>
      <c r="AE10" s="25"/>
      <c r="AF10" s="39">
        <f>Int(DIVIDE(AD10,2))</f>
        <v>0</v>
      </c>
      <c r="AG10" s="35"/>
      <c r="AH10" s="40" t="s">
        <v>12</v>
      </c>
      <c r="AI10" s="24"/>
      <c r="AJ10" s="24"/>
      <c r="AK10" s="25"/>
      <c r="AL10" s="38"/>
      <c r="AM10" s="25"/>
      <c r="AN10" s="39">
        <f>Int(DIVIDE(AL10,2))</f>
        <v>0</v>
      </c>
      <c r="AO10" s="35"/>
      <c r="AP10" s="28"/>
      <c r="AQ10" s="41"/>
      <c r="BB10" s="15"/>
      <c r="BC10" s="3"/>
    </row>
    <row r="11" ht="13.5" customHeight="1">
      <c r="A11" s="22"/>
      <c r="B11" s="33" t="s">
        <v>13</v>
      </c>
      <c r="C11" s="34"/>
      <c r="D11" s="35"/>
      <c r="E11" s="42"/>
      <c r="F11" s="34"/>
      <c r="G11" s="34"/>
      <c r="H11" s="34"/>
      <c r="I11" s="34"/>
      <c r="J11" s="34"/>
      <c r="K11" s="34"/>
      <c r="L11" s="34"/>
      <c r="M11" s="34"/>
      <c r="N11" s="34"/>
      <c r="O11" s="34"/>
      <c r="P11" s="35"/>
      <c r="Q11" s="26"/>
      <c r="R11" s="30"/>
      <c r="S11" s="31"/>
      <c r="T11" s="31"/>
      <c r="U11" s="32"/>
      <c r="V11" s="30"/>
      <c r="W11" s="32"/>
      <c r="X11" s="43">
        <f>int(DIVIDE(V10,5))</f>
        <v>0</v>
      </c>
      <c r="Y11" s="35"/>
      <c r="Z11" s="30"/>
      <c r="AA11" s="31"/>
      <c r="AB11" s="31"/>
      <c r="AC11" s="32"/>
      <c r="AD11" s="30"/>
      <c r="AE11" s="32"/>
      <c r="AF11" s="43">
        <f>int(DIVIDE(AD10,5))</f>
        <v>0</v>
      </c>
      <c r="AG11" s="35"/>
      <c r="AH11" s="30"/>
      <c r="AI11" s="31"/>
      <c r="AJ11" s="31"/>
      <c r="AK11" s="32"/>
      <c r="AL11" s="30"/>
      <c r="AM11" s="32"/>
      <c r="AN11" s="43">
        <f>int(DIVIDE(AL10,5))</f>
        <v>0</v>
      </c>
      <c r="AO11" s="35"/>
      <c r="AP11" s="28"/>
      <c r="AQ11" s="9"/>
      <c r="BB11" s="15"/>
      <c r="BC11" s="2"/>
    </row>
    <row r="12" ht="13.5" customHeight="1">
      <c r="A12" s="22"/>
      <c r="B12" s="44" t="s">
        <v>14</v>
      </c>
      <c r="C12" s="34"/>
      <c r="D12" s="35"/>
      <c r="E12" s="45" t="s">
        <v>15</v>
      </c>
      <c r="J12" s="46" t="s">
        <v>16</v>
      </c>
      <c r="K12" s="35"/>
      <c r="L12" s="36"/>
      <c r="M12" s="34"/>
      <c r="N12" s="34"/>
      <c r="O12" s="34"/>
      <c r="P12" s="35"/>
      <c r="Q12" s="26"/>
      <c r="R12" s="37" t="s">
        <v>17</v>
      </c>
      <c r="S12" s="24"/>
      <c r="T12" s="24"/>
      <c r="U12" s="25"/>
      <c r="V12" s="38"/>
      <c r="W12" s="25"/>
      <c r="X12" s="39">
        <f>Int(DIVIDE(V12,2))</f>
        <v>0</v>
      </c>
      <c r="Y12" s="35"/>
      <c r="Z12" s="37" t="s">
        <v>18</v>
      </c>
      <c r="AA12" s="24"/>
      <c r="AB12" s="24"/>
      <c r="AC12" s="25"/>
      <c r="AD12" s="38"/>
      <c r="AE12" s="25"/>
      <c r="AF12" s="39">
        <f>Int(DIVIDE(AD12,2))</f>
        <v>0</v>
      </c>
      <c r="AG12" s="35"/>
      <c r="AH12" s="40" t="s">
        <v>19</v>
      </c>
      <c r="AI12" s="24"/>
      <c r="AJ12" s="24"/>
      <c r="AK12" s="25"/>
      <c r="AL12" s="38"/>
      <c r="AM12" s="25"/>
      <c r="AN12" s="39">
        <f>Int(DIVIDE(AL12,2))</f>
        <v>0</v>
      </c>
      <c r="AO12" s="35"/>
      <c r="AP12" s="28"/>
      <c r="AQ12" s="9"/>
      <c r="BB12" s="15"/>
      <c r="BC12" s="3"/>
    </row>
    <row r="13" ht="13.5" customHeight="1">
      <c r="A13" s="22"/>
      <c r="B13" s="33" t="s">
        <v>20</v>
      </c>
      <c r="C13" s="34"/>
      <c r="D13" s="35"/>
      <c r="E13" s="47"/>
      <c r="F13" s="34"/>
      <c r="G13" s="34"/>
      <c r="H13" s="34"/>
      <c r="I13" s="35"/>
      <c r="J13" s="48" t="s">
        <v>21</v>
      </c>
      <c r="K13" s="35"/>
      <c r="L13" s="36"/>
      <c r="M13" s="34"/>
      <c r="N13" s="34"/>
      <c r="O13" s="34"/>
      <c r="P13" s="35"/>
      <c r="Q13" s="26"/>
      <c r="R13" s="30"/>
      <c r="S13" s="31"/>
      <c r="T13" s="31"/>
      <c r="U13" s="32"/>
      <c r="V13" s="30"/>
      <c r="W13" s="32"/>
      <c r="X13" s="43">
        <f>int(DIVIDE(V12,5))</f>
        <v>0</v>
      </c>
      <c r="Y13" s="35"/>
      <c r="Z13" s="30"/>
      <c r="AA13" s="31"/>
      <c r="AB13" s="31"/>
      <c r="AC13" s="32"/>
      <c r="AD13" s="30"/>
      <c r="AE13" s="32"/>
      <c r="AF13" s="43">
        <f>int(DIVIDE(AD12,5))</f>
        <v>0</v>
      </c>
      <c r="AG13" s="35"/>
      <c r="AH13" s="30"/>
      <c r="AI13" s="31"/>
      <c r="AJ13" s="31"/>
      <c r="AK13" s="32"/>
      <c r="AL13" s="30"/>
      <c r="AM13" s="32"/>
      <c r="AN13" s="43">
        <f>int(DIVIDE(AL12,5))</f>
        <v>0</v>
      </c>
      <c r="AO13" s="35"/>
      <c r="AP13" s="28"/>
      <c r="AQ13" s="9"/>
      <c r="BB13" s="15"/>
      <c r="BC13" s="3"/>
    </row>
    <row r="14" ht="13.5" customHeight="1">
      <c r="A14" s="22"/>
      <c r="B14" s="33" t="s">
        <v>22</v>
      </c>
      <c r="C14" s="34"/>
      <c r="D14" s="35"/>
      <c r="E14" s="47"/>
      <c r="F14" s="34"/>
      <c r="G14" s="34"/>
      <c r="H14" s="34"/>
      <c r="I14" s="35"/>
      <c r="J14" s="48" t="s">
        <v>23</v>
      </c>
      <c r="K14" s="35"/>
      <c r="L14" s="36"/>
      <c r="M14" s="34"/>
      <c r="N14" s="34"/>
      <c r="O14" s="34"/>
      <c r="P14" s="35"/>
      <c r="Q14" s="26"/>
      <c r="R14" s="37" t="s">
        <v>24</v>
      </c>
      <c r="S14" s="24"/>
      <c r="T14" s="24"/>
      <c r="U14" s="25"/>
      <c r="V14" s="38"/>
      <c r="W14" s="25"/>
      <c r="X14" s="49">
        <f>Int(DIVIDE(V14,2))</f>
        <v>0</v>
      </c>
      <c r="Y14" s="35"/>
      <c r="Z14" s="40" t="s">
        <v>25</v>
      </c>
      <c r="AA14" s="24"/>
      <c r="AB14" s="24"/>
      <c r="AC14" s="25"/>
      <c r="AD14" s="38"/>
      <c r="AE14" s="25"/>
      <c r="AF14" s="49">
        <f>Int(DIVIDE(AD14,2))</f>
        <v>0</v>
      </c>
      <c r="AG14" s="35"/>
      <c r="AH14" s="37" t="s">
        <v>26</v>
      </c>
      <c r="AI14" s="24"/>
      <c r="AJ14" s="24"/>
      <c r="AK14" s="25"/>
      <c r="AL14" s="38"/>
      <c r="AM14" s="25"/>
      <c r="AN14" s="49">
        <f>Int(DIVIDE(AL14,2))</f>
        <v>0</v>
      </c>
      <c r="AO14" s="35"/>
      <c r="AP14" s="28"/>
      <c r="AQ14" s="9"/>
      <c r="BB14" s="15"/>
      <c r="BC14" s="3"/>
    </row>
    <row r="15" ht="13.5" customHeight="1">
      <c r="A15" s="22"/>
      <c r="B15" s="33" t="s">
        <v>27</v>
      </c>
      <c r="C15" s="34"/>
      <c r="D15" s="35"/>
      <c r="E15" s="47"/>
      <c r="F15" s="34"/>
      <c r="G15" s="34"/>
      <c r="H15" s="34"/>
      <c r="I15" s="35"/>
      <c r="J15" s="48" t="s">
        <v>28</v>
      </c>
      <c r="K15" s="35"/>
      <c r="L15" s="36"/>
      <c r="M15" s="34"/>
      <c r="N15" s="34"/>
      <c r="O15" s="34"/>
      <c r="P15" s="35"/>
      <c r="Q15" s="26"/>
      <c r="R15" s="30"/>
      <c r="S15" s="31"/>
      <c r="T15" s="31"/>
      <c r="U15" s="32"/>
      <c r="V15" s="30"/>
      <c r="W15" s="32"/>
      <c r="X15" s="50">
        <f>int(DIVIDE(V14,5))</f>
        <v>0</v>
      </c>
      <c r="Y15" s="35"/>
      <c r="Z15" s="30"/>
      <c r="AA15" s="31"/>
      <c r="AB15" s="31"/>
      <c r="AC15" s="32"/>
      <c r="AD15" s="30"/>
      <c r="AE15" s="32"/>
      <c r="AF15" s="50">
        <f>int(DIVIDE(AD14,5))</f>
        <v>0</v>
      </c>
      <c r="AG15" s="35"/>
      <c r="AH15" s="30"/>
      <c r="AI15" s="31"/>
      <c r="AJ15" s="31"/>
      <c r="AK15" s="32"/>
      <c r="AL15" s="30"/>
      <c r="AM15" s="32"/>
      <c r="AN15" s="50">
        <f>int(DIVIDE(AL14,5))</f>
        <v>0</v>
      </c>
      <c r="AO15" s="35"/>
      <c r="AP15" s="28"/>
      <c r="AQ15" s="9"/>
      <c r="BB15" s="15"/>
      <c r="BC15" s="3"/>
    </row>
    <row r="16" ht="13.5" customHeight="1">
      <c r="A16" s="2"/>
      <c r="B16" s="51"/>
      <c r="C16" s="51"/>
      <c r="D16" s="51"/>
      <c r="E16" s="51"/>
      <c r="F16" s="51"/>
      <c r="G16" s="51"/>
      <c r="H16" s="51"/>
      <c r="I16" s="51"/>
      <c r="J16" s="51"/>
      <c r="K16" s="51"/>
      <c r="L16" s="51"/>
      <c r="M16" s="51"/>
      <c r="N16" s="51"/>
      <c r="O16" s="51"/>
      <c r="P16" s="51"/>
      <c r="Q16" s="52"/>
      <c r="R16" s="51"/>
      <c r="S16" s="51"/>
      <c r="T16" s="51"/>
      <c r="U16" s="51"/>
      <c r="V16" s="51"/>
      <c r="W16" s="51"/>
      <c r="X16" s="51"/>
      <c r="Y16" s="51"/>
      <c r="Z16" s="51"/>
      <c r="AA16" s="51"/>
      <c r="AB16" s="51"/>
      <c r="AC16" s="53"/>
      <c r="AD16" s="53"/>
      <c r="AE16" s="53"/>
      <c r="AF16" s="53"/>
      <c r="AG16" s="53"/>
      <c r="AH16" s="53"/>
      <c r="AI16" s="53"/>
      <c r="AJ16" s="53"/>
      <c r="AK16" s="53"/>
      <c r="AL16" s="53"/>
      <c r="AM16" s="53"/>
      <c r="AN16" s="53"/>
      <c r="AO16" s="53"/>
      <c r="AP16" s="3"/>
      <c r="AQ16" s="9"/>
      <c r="BB16" s="15"/>
      <c r="BC16" s="3"/>
    </row>
    <row r="17" ht="13.5" customHeight="1">
      <c r="A17" s="22"/>
      <c r="B17" s="54" t="s">
        <v>29</v>
      </c>
      <c r="C17" s="5"/>
      <c r="D17" s="5"/>
      <c r="E17" s="5"/>
      <c r="F17" s="5"/>
      <c r="G17" s="5"/>
      <c r="H17" s="5"/>
      <c r="I17" s="5"/>
      <c r="J17" s="5"/>
      <c r="K17" s="5"/>
      <c r="L17" s="5"/>
      <c r="M17" s="5"/>
      <c r="N17" s="55"/>
      <c r="O17" s="56" t="s">
        <v>30</v>
      </c>
      <c r="P17" s="5"/>
      <c r="Q17" s="5"/>
      <c r="R17" s="5"/>
      <c r="S17" s="5"/>
      <c r="T17" s="57">
        <f>IF(E12="간호사", AL12*4,
IF(E12="갱 보스", AL12*2+AD12*2,
IF(E12="건달", AL12*2+MAX(V10*2,AD10*2),
IF(E12="건 몰", AL12*2+AD12*2,
IF(E12="건축가", AL12*4,
IF(E12="경관", AL12*2+MAX(V10*2,AD10*2),
IF(E12="고고학자", AL12*4,
IF(E12="곡예사", AL12*2+AD10*2,
IF(E12="골동품상", AL12*4,
IF(E12="골동품 연구가", AL12*4,
IF(E12="과학자", AL12*4,
IF(E12="광부", AL12*2+MAX(V10*2,AD10*2),
IF(E12="광신자", AL12*2+MAX(AD12*2,AL10*2),
IF(E12="교수", AL12*4,
IF(E12="교주", AL12*2+AD12*2,
IF(E12="기술자", AL12*4,
IF(E12="기자", AL12*4,
IF(E12="깡패", AL12*2+V10*2,
IF(E12="노조 활동가", AL12*4,
IF(E12="농부", AL12*2+MAX(V10*2,AD10*2),
IF(E12="단독 범죄자", AL12*2+MAX(AD10*2,AD12*2),
IF(E12="대학생", AL12*4,
IF(E12="도둑", AL12*2+AD10*2,
IF(E12="도박사", AL12*2+MAX(AD10*2,AD12*2),
IF(E12="등반가", AL12*2+MAX(V10*2,AD10*2),
IF(E12="디자이너", AL12*4,
IF(E12="디프로그래머", AL12*4,
IF(E12="딜레탕트", AL12*2+AD12*2,
IF(E12="떠돌이", AL12*2+MAX(AD10*2,AD12*2),
IF(E12="리포터", AL12*4,
IF(E12="매춘부", AL12*2+AD12*2,
IF(E12="맹수사냥꾼", AL12*2+MAX(V10*2,AD10*2),
IF(E12="미술가", AL12*2+MAX(AD10*2,AL10*2),
IF(E12="밀수꾼", AL12*2+MAX(AD10*2,AD12*2),
IF(E12="밀주업자", AL12*2+V10*2,
IF(E12="바텐더", AL12*2+AD12*2,
IF(E12="박물관 큐레이터", AL12*4,
IF(E12="배우", AL12*2+AD12*2,
IF(E12="벌목꾼", AL12*2+MAX(V10*2,AD10*2),
IF(E12="법의학자", AL12*4,
IF(E12="변호사", AL12*4,
IF(E12="병사", AL12*2+MAX(V10*2,AD10*2),
IF(E12="병원 보조원", AL12*2+V10*2,
IF(E12="복서/레슬러", AL12*2+V10*2,
IF(E12="부랑자", AL12*2+MAX(AD12*2,V10*2,AD10*2),
IF(E12="부족민", AL12*2+MAX(V10*2,AD10*2),
IF(E12="부하 조직원", AL12*2+MAX(V10*2,AD10*2),
IF(E12="비서", AL12*2+MAX(AD10*2,AD12*2),
IF(E12="비숙련공", AL12*2+MAX(V10*2,AD10*2),
IF(E12="비행사", AL12*4,
IF(E12="사립탐정", AL12*2+MAX(V10*2,AD10*2),
IF(E12="사무원", AL12*4,
IF(E12="사서", AL12*4,
IF(E12="사육사", AL12*4,
IF(E12="사진가", AL12*4,
IF(E12="사진기자", AL12*4,
IF(E12="서적상", AL12*4,
IF(E12="선교사", AL12*2+AD12*2,
IF(E12="선원", AL12*2+MAX(V10*2,AD10*2),
IF(E12="선출직 공무원", AL12*2+AD12*2,
IF(E12="성직자", AL12*4,
IF(E12="소방관", AL12*2+MAX(V10*2,AD10*2),
IF(E12="수병", AL12*2+MAX(V10*2,AD10*2),
IF(E12="스턴트맨", AL12*2+MAX(V10*2,AD10*2),
IF(E12="스턴트우먼", AL12*2+MAX(V10*2,AD10*2),
IF(E12="스파이", AL12*2+MAX(AD10*2,AD12*2),
IF(E12="신비학자", AL12*4,
IF(E12="신사/숙녀", AL12*2+AD12*2,
IF(E12="심령학자", AL12*4,
IF(E12="심리학자", AL12*4,
IF(E12="약사", AL12*4,
IF(E12="엔지니어", AL12*4,
IF(E12="연구실 조수", AL12*4,
IF(E12="연구자", AL12*4,
IF(E12="연방 요원", AL12*4,
IF(E12="연예인", AL12*2+AD12*2,
IF(E12="연주자", AL12*2+MAX(AD10*2,AD12*2),
IF(E12="외신 기자", AL12*4,
IF(E12="운동선수", AL12*2+MAX(V10*2,AD10*2),
IF(E12="운전사", AL12*2+MAX(V10*2,AD10*2),
IF(E12="웨이터", AL12*2+MAX(AD10*2,AD12*2),
IF(E12="웨이트리스", AL12*2+MAX(AD10*2,AD12*2),
IF(E12="위조업자", AL12*4,
IF(E12="은행강도", AL12*2+MAX(V10*2,AD10*2),
IF(E12="의사", AL12*4,
IF(E12="인턴", AL12*4,
IF(E12="자객", AL12*2+MAX(V10*2,AD10*2),
IF(E12="자연 애호가", ,
IF(E12="작가", AL12*4,
IF(E12="잠수부", AL12*2+AD10*2,
IF(E12="장교", AL12*2+MAX(V10*2,AD10*2),
IF(E12="장물아비", AL12*2+AD12*2,
IF(E12="장의사", AL12*4,
IF(E12="장인", AL12*2+AD10*2,
IF(E12="전속 기사", AL12*2+AD10*2,
IF(E12="점장", AL12*2+MAX(AD10*2,AD12*2),
IF(E12="정신감정사", AL12*4,
IF(E12="정신과 의사", AL12*4,
IF(E12="정신병원 직원", AL12*2+MAX(V10*2,AD10*2),
IF(E12="정신분석가", AL12*4,
IF(E12="조련사", AL12*2+MAX(AD12*2,AL10*2),
IF(E12="조종사", AL12*2+AD10*2,
IF(E12="중상급 관리자", AL12*4,
IF(E12="집사", AL12*4,
IF(E12="카우걸/카우보이", AL12*2+MAX(V10*2,AD10*2),
IF(E12="컴퓨터 테크니션", AL12*4,
IF(E12="탐광인", AL12*2+MAX(V10*2,AD10*2),
IF(E12="탐험가", AL12*2+MAX(AD12*2,V10*2,AD10*2),
IF(E12="택시 운전사", AL12*2+AD10*2,
IF(E12="판매원", AL12*2+AD12*2,
IF(E12="판사", AL12*4,
IF(E12="편집자", AL12*4,
IF(E12="폭력배", AL12*2+V10*2,
IF(E12="프로그래머", AL12*4,
IF(E12="하녀", AL12*4,
IF(E12="하인", AL12*4,
IF(E12="해커", AL12*4,
IF(E12="현상금 사냥꾼", AL12*2+MAX(V10*2,AD10*2),
IF(E12="형사", AL12*2+MAX(V10*2,AD10*2),
IF(E12="회계사", AL12*4,
IF(E12="기타", AL12*4,
IF(E12="회사 탐정", AL12*2+MAX(V10*2,AD10*2),"0"))))))))))))))))))))))))))))))))))))))))))))))))))))))))))))))))))))))))))))))))))))))))))))))))))))))))))))))))))))))))))</f>
        <v>0</v>
      </c>
      <c r="U17" s="5"/>
      <c r="V17" s="5"/>
      <c r="W17" s="7"/>
      <c r="X17" s="56" t="s">
        <v>31</v>
      </c>
      <c r="Y17" s="5"/>
      <c r="Z17" s="5"/>
      <c r="AA17" s="5"/>
      <c r="AB17" s="5"/>
      <c r="AC17" s="57">
        <f>(AD14*2)</f>
        <v>0</v>
      </c>
      <c r="AD17" s="5"/>
      <c r="AE17" s="5"/>
      <c r="AF17" s="5"/>
      <c r="AG17" s="7"/>
      <c r="AH17" s="56" t="s">
        <v>32</v>
      </c>
      <c r="AI17" s="5"/>
      <c r="AJ17" s="5"/>
      <c r="AK17" s="5"/>
      <c r="AL17" s="57">
        <f>(SUM(T17,AC17))-(SUM(H19:H36,R19:R36,AB19:AB36,AL19:AL36))+AY53+AB19</f>
        <v>0</v>
      </c>
      <c r="AM17" s="5"/>
      <c r="AN17" s="5"/>
      <c r="AO17" s="7"/>
      <c r="AP17" s="28"/>
      <c r="AQ17" s="9"/>
      <c r="BB17" s="15"/>
      <c r="BC17" s="3"/>
    </row>
    <row r="18" ht="13.5" customHeight="1">
      <c r="A18" s="22"/>
      <c r="B18" s="10"/>
      <c r="C18" s="11"/>
      <c r="D18" s="11"/>
      <c r="E18" s="11"/>
      <c r="F18" s="11"/>
      <c r="G18" s="11"/>
      <c r="H18" s="11"/>
      <c r="I18" s="11"/>
      <c r="J18" s="11"/>
      <c r="K18" s="11"/>
      <c r="L18" s="11"/>
      <c r="M18" s="11"/>
      <c r="N18" s="58"/>
      <c r="O18" s="10"/>
      <c r="P18" s="11"/>
      <c r="Q18" s="11"/>
      <c r="R18" s="11"/>
      <c r="S18" s="11"/>
      <c r="T18" s="59"/>
      <c r="U18" s="11"/>
      <c r="V18" s="11"/>
      <c r="W18" s="12"/>
      <c r="X18" s="10"/>
      <c r="Y18" s="11"/>
      <c r="Z18" s="11"/>
      <c r="AA18" s="11"/>
      <c r="AB18" s="11"/>
      <c r="AC18" s="59"/>
      <c r="AD18" s="11"/>
      <c r="AE18" s="11"/>
      <c r="AF18" s="11"/>
      <c r="AG18" s="12"/>
      <c r="AH18" s="10"/>
      <c r="AI18" s="11"/>
      <c r="AJ18" s="11"/>
      <c r="AK18" s="11"/>
      <c r="AL18" s="59"/>
      <c r="AM18" s="11"/>
      <c r="AN18" s="11"/>
      <c r="AO18" s="12"/>
      <c r="AP18" s="60"/>
      <c r="AQ18" s="9"/>
      <c r="BB18" s="15"/>
      <c r="BC18" s="3"/>
    </row>
    <row r="19" ht="16.5" customHeight="1">
      <c r="A19" s="22"/>
      <c r="B19" s="61" t="s">
        <v>33</v>
      </c>
      <c r="C19" s="62" t="s">
        <v>34</v>
      </c>
      <c r="D19" s="63"/>
      <c r="E19" s="63"/>
      <c r="F19" s="64"/>
      <c r="G19" s="65">
        <v>25.0</v>
      </c>
      <c r="H19" s="66"/>
      <c r="I19" s="67">
        <f t="shared" ref="I19:I36" si="1">SUM(G19,H19)</f>
        <v>25</v>
      </c>
      <c r="J19" s="68">
        <f>int(DIVIDE(I19,2))</f>
        <v>12</v>
      </c>
      <c r="K19" s="69">
        <f t="shared" ref="K19:K36" si="2">int(DIVIDE(I19,5))</f>
        <v>5</v>
      </c>
      <c r="L19" s="70" t="s">
        <v>33</v>
      </c>
      <c r="M19" s="71" t="s">
        <v>35</v>
      </c>
      <c r="N19" s="63"/>
      <c r="O19" s="63"/>
      <c r="P19" s="64"/>
      <c r="Q19" s="65">
        <v>0.0</v>
      </c>
      <c r="R19" s="72"/>
      <c r="S19" s="67">
        <f t="shared" ref="S19:S36" si="3">SUM(Q19,R19)</f>
        <v>0</v>
      </c>
      <c r="T19" s="73">
        <f t="shared" ref="T19:T36" si="4">Int(DIVIDE(S19,2))</f>
        <v>0</v>
      </c>
      <c r="U19" s="74">
        <f t="shared" ref="U19:U36" si="5">int(DIVIDE(S19,5))</f>
        <v>0</v>
      </c>
      <c r="V19" s="70" t="s">
        <v>33</v>
      </c>
      <c r="W19" s="71" t="s">
        <v>36</v>
      </c>
      <c r="X19" s="63"/>
      <c r="Y19" s="63"/>
      <c r="Z19" s="64"/>
      <c r="AA19" s="65">
        <v>0.0</v>
      </c>
      <c r="AB19" s="75"/>
      <c r="AC19" s="67">
        <f t="shared" ref="AC19:AC36" si="6">SUM(AA19,AB19)</f>
        <v>0</v>
      </c>
      <c r="AD19" s="73">
        <f t="shared" ref="AD19:AD36" si="7">Int(DIVIDE(AC19,2))</f>
        <v>0</v>
      </c>
      <c r="AE19" s="74">
        <f t="shared" ref="AE19:AE36" si="8">int(DIVIDE(AC19,5))</f>
        <v>0</v>
      </c>
      <c r="AF19" s="70" t="s">
        <v>33</v>
      </c>
      <c r="AG19" s="71" t="s">
        <v>37</v>
      </c>
      <c r="AH19" s="63"/>
      <c r="AI19" s="63"/>
      <c r="AJ19" s="64"/>
      <c r="AK19" s="76">
        <v>1.0</v>
      </c>
      <c r="AL19" s="77"/>
      <c r="AM19" s="78">
        <f t="shared" ref="AM19:AM36" si="9">SUM(AK19,AL19)</f>
        <v>1</v>
      </c>
      <c r="AN19" s="68">
        <f t="shared" ref="AN19:AN36" si="10">Int(DIVIDE(AM19,2))</f>
        <v>0</v>
      </c>
      <c r="AO19" s="79">
        <f t="shared" ref="AO19:AO36" si="11">int(DIVIDE(AM19,5))</f>
        <v>0</v>
      </c>
      <c r="AP19" s="60"/>
      <c r="AQ19" s="10"/>
      <c r="AR19" s="11"/>
      <c r="AS19" s="11"/>
      <c r="AT19" s="11"/>
      <c r="AU19" s="11"/>
      <c r="AV19" s="11"/>
      <c r="AW19" s="11"/>
      <c r="AX19" s="11"/>
      <c r="AY19" s="11"/>
      <c r="AZ19" s="11"/>
      <c r="BA19" s="11"/>
      <c r="BB19" s="12"/>
      <c r="BC19" s="3"/>
    </row>
    <row r="20" ht="16.5" customHeight="1">
      <c r="A20" s="22"/>
      <c r="B20" s="80" t="s">
        <v>33</v>
      </c>
      <c r="C20" s="81" t="s">
        <v>38</v>
      </c>
      <c r="D20" s="82"/>
      <c r="E20" s="82"/>
      <c r="F20" s="83"/>
      <c r="G20" s="84">
        <v>20.0</v>
      </c>
      <c r="H20" s="85"/>
      <c r="I20" s="86">
        <f t="shared" si="1"/>
        <v>20</v>
      </c>
      <c r="J20" s="87">
        <f t="shared" ref="J20:J22" si="12">Int(DIVIDE(I20,2))</f>
        <v>10</v>
      </c>
      <c r="K20" s="88">
        <f t="shared" si="2"/>
        <v>4</v>
      </c>
      <c r="L20" s="89" t="s">
        <v>33</v>
      </c>
      <c r="M20" s="90" t="s">
        <v>39</v>
      </c>
      <c r="N20" s="82"/>
      <c r="O20" s="82"/>
      <c r="P20" s="83"/>
      <c r="Q20" s="84">
        <v>5.0</v>
      </c>
      <c r="R20" s="91"/>
      <c r="S20" s="86">
        <f t="shared" si="3"/>
        <v>5</v>
      </c>
      <c r="T20" s="92">
        <f t="shared" si="4"/>
        <v>2</v>
      </c>
      <c r="U20" s="93">
        <f t="shared" si="5"/>
        <v>1</v>
      </c>
      <c r="V20" s="94" t="s">
        <v>33</v>
      </c>
      <c r="W20" s="90" t="s">
        <v>40</v>
      </c>
      <c r="X20" s="82"/>
      <c r="Y20" s="82"/>
      <c r="Z20" s="83"/>
      <c r="AA20" s="84">
        <v>5.0</v>
      </c>
      <c r="AB20" s="85"/>
      <c r="AC20" s="86">
        <f t="shared" si="6"/>
        <v>5</v>
      </c>
      <c r="AD20" s="92">
        <f t="shared" si="7"/>
        <v>2</v>
      </c>
      <c r="AE20" s="93">
        <f t="shared" si="8"/>
        <v>1</v>
      </c>
      <c r="AF20" s="89" t="s">
        <v>33</v>
      </c>
      <c r="AG20" s="90" t="s">
        <v>41</v>
      </c>
      <c r="AH20" s="82"/>
      <c r="AI20" s="82"/>
      <c r="AJ20" s="83"/>
      <c r="AK20" s="95">
        <v>30.0</v>
      </c>
      <c r="AL20" s="85"/>
      <c r="AM20" s="96">
        <f t="shared" si="9"/>
        <v>30</v>
      </c>
      <c r="AN20" s="87">
        <f t="shared" si="10"/>
        <v>15</v>
      </c>
      <c r="AO20" s="97">
        <f t="shared" si="11"/>
        <v>6</v>
      </c>
      <c r="AP20" s="28"/>
      <c r="AQ20" s="98"/>
      <c r="AR20" s="98"/>
      <c r="AS20" s="98"/>
      <c r="AT20" s="98"/>
      <c r="AU20" s="98"/>
      <c r="AV20" s="98"/>
      <c r="AW20" s="98"/>
      <c r="AX20" s="98"/>
      <c r="AY20" s="98"/>
      <c r="AZ20" s="98"/>
      <c r="BA20" s="98"/>
      <c r="BB20" s="98"/>
      <c r="BC20" s="98"/>
    </row>
    <row r="21" ht="16.5" customHeight="1">
      <c r="A21" s="22"/>
      <c r="B21" s="80" t="s">
        <v>33</v>
      </c>
      <c r="C21" s="81" t="s">
        <v>42</v>
      </c>
      <c r="D21" s="82"/>
      <c r="E21" s="82"/>
      <c r="F21" s="83"/>
      <c r="G21" s="84">
        <v>20.0</v>
      </c>
      <c r="H21" s="85"/>
      <c r="I21" s="86">
        <f t="shared" si="1"/>
        <v>20</v>
      </c>
      <c r="J21" s="87">
        <f t="shared" si="12"/>
        <v>10</v>
      </c>
      <c r="K21" s="88">
        <f t="shared" si="2"/>
        <v>4</v>
      </c>
      <c r="L21" s="89" t="s">
        <v>33</v>
      </c>
      <c r="M21" s="90" t="s">
        <v>43</v>
      </c>
      <c r="N21" s="82"/>
      <c r="O21" s="82"/>
      <c r="P21" s="83"/>
      <c r="Q21" s="84">
        <v>10.0</v>
      </c>
      <c r="R21" s="85"/>
      <c r="S21" s="86">
        <f t="shared" si="3"/>
        <v>10</v>
      </c>
      <c r="T21" s="92">
        <f t="shared" si="4"/>
        <v>5</v>
      </c>
      <c r="U21" s="93">
        <f t="shared" si="5"/>
        <v>2</v>
      </c>
      <c r="V21" s="89" t="s">
        <v>33</v>
      </c>
      <c r="W21" s="90" t="s">
        <v>44</v>
      </c>
      <c r="X21" s="82"/>
      <c r="Y21" s="82"/>
      <c r="Z21" s="83"/>
      <c r="AA21" s="84">
        <v>1.0</v>
      </c>
      <c r="AB21" s="91"/>
      <c r="AC21" s="86">
        <f t="shared" si="6"/>
        <v>1</v>
      </c>
      <c r="AD21" s="92">
        <f t="shared" si="7"/>
        <v>0</v>
      </c>
      <c r="AE21" s="93">
        <f t="shared" si="8"/>
        <v>0</v>
      </c>
      <c r="AF21" s="89" t="s">
        <v>33</v>
      </c>
      <c r="AG21" s="90" t="s">
        <v>45</v>
      </c>
      <c r="AH21" s="82"/>
      <c r="AI21" s="82"/>
      <c r="AJ21" s="83"/>
      <c r="AK21" s="95">
        <v>10.0</v>
      </c>
      <c r="AL21" s="91"/>
      <c r="AM21" s="96">
        <f t="shared" si="9"/>
        <v>10</v>
      </c>
      <c r="AN21" s="87">
        <f t="shared" si="10"/>
        <v>5</v>
      </c>
      <c r="AO21" s="97">
        <f t="shared" si="11"/>
        <v>2</v>
      </c>
      <c r="AP21" s="99"/>
      <c r="AQ21" s="54" t="s">
        <v>46</v>
      </c>
      <c r="AR21" s="5"/>
      <c r="AS21" s="5"/>
      <c r="AT21" s="5"/>
      <c r="AU21" s="5"/>
      <c r="AV21" s="5"/>
      <c r="AW21" s="5"/>
      <c r="AX21" s="5"/>
      <c r="AY21" s="5"/>
      <c r="AZ21" s="5"/>
      <c r="BA21" s="5"/>
      <c r="BB21" s="7"/>
      <c r="BC21" s="3"/>
    </row>
    <row r="22" ht="16.5" customHeight="1">
      <c r="A22" s="22"/>
      <c r="B22" s="100" t="s">
        <v>33</v>
      </c>
      <c r="C22" s="81" t="s">
        <v>47</v>
      </c>
      <c r="D22" s="82"/>
      <c r="E22" s="82"/>
      <c r="F22" s="83"/>
      <c r="G22" s="84">
        <v>5.0</v>
      </c>
      <c r="H22" s="85"/>
      <c r="I22" s="86">
        <f t="shared" si="1"/>
        <v>5</v>
      </c>
      <c r="J22" s="87">
        <f t="shared" si="12"/>
        <v>2</v>
      </c>
      <c r="K22" s="88">
        <f t="shared" si="2"/>
        <v>1</v>
      </c>
      <c r="L22" s="101" t="s">
        <v>33</v>
      </c>
      <c r="M22" s="102" t="s">
        <v>48</v>
      </c>
      <c r="N22" s="82"/>
      <c r="O22" s="82"/>
      <c r="P22" s="83"/>
      <c r="Q22" s="84">
        <v>1.0</v>
      </c>
      <c r="R22" s="85"/>
      <c r="S22" s="86">
        <f t="shared" si="3"/>
        <v>1</v>
      </c>
      <c r="T22" s="92">
        <f t="shared" si="4"/>
        <v>0</v>
      </c>
      <c r="U22" s="93">
        <f t="shared" si="5"/>
        <v>0</v>
      </c>
      <c r="V22" s="101" t="s">
        <v>33</v>
      </c>
      <c r="W22" s="90" t="s">
        <v>49</v>
      </c>
      <c r="X22" s="82"/>
      <c r="Y22" s="82"/>
      <c r="Z22" s="83"/>
      <c r="AA22" s="84">
        <v>10.0</v>
      </c>
      <c r="AB22" s="85"/>
      <c r="AC22" s="86">
        <f t="shared" si="6"/>
        <v>10</v>
      </c>
      <c r="AD22" s="92">
        <f t="shared" si="7"/>
        <v>5</v>
      </c>
      <c r="AE22" s="93">
        <f t="shared" si="8"/>
        <v>2</v>
      </c>
      <c r="AF22" s="89" t="s">
        <v>33</v>
      </c>
      <c r="AG22" s="90" t="s">
        <v>50</v>
      </c>
      <c r="AH22" s="82"/>
      <c r="AI22" s="82"/>
      <c r="AJ22" s="83"/>
      <c r="AK22" s="95">
        <v>20.0</v>
      </c>
      <c r="AL22" s="85"/>
      <c r="AM22" s="96">
        <f t="shared" si="9"/>
        <v>20</v>
      </c>
      <c r="AN22" s="87">
        <f t="shared" si="10"/>
        <v>10</v>
      </c>
      <c r="AO22" s="97">
        <f t="shared" si="11"/>
        <v>4</v>
      </c>
      <c r="AP22" s="28"/>
      <c r="AQ22" s="10"/>
      <c r="AR22" s="11"/>
      <c r="AS22" s="11"/>
      <c r="AT22" s="11"/>
      <c r="AU22" s="11"/>
      <c r="AV22" s="11"/>
      <c r="AW22" s="11"/>
      <c r="AX22" s="11"/>
      <c r="AY22" s="11"/>
      <c r="AZ22" s="11"/>
      <c r="BA22" s="11"/>
      <c r="BB22" s="12"/>
      <c r="BC22" s="3"/>
    </row>
    <row r="23" ht="16.5" customHeight="1">
      <c r="A23" s="22"/>
      <c r="B23" s="100" t="s">
        <v>33</v>
      </c>
      <c r="C23" s="81" t="s">
        <v>51</v>
      </c>
      <c r="D23" s="82"/>
      <c r="E23" s="82"/>
      <c r="F23" s="83"/>
      <c r="G23" s="84">
        <v>1.0</v>
      </c>
      <c r="H23" s="85"/>
      <c r="I23" s="86">
        <f t="shared" si="1"/>
        <v>1</v>
      </c>
      <c r="J23" s="87">
        <f>int(DIVIDE(I23,2))</f>
        <v>0</v>
      </c>
      <c r="K23" s="88">
        <f t="shared" si="2"/>
        <v>0</v>
      </c>
      <c r="L23" s="89" t="s">
        <v>33</v>
      </c>
      <c r="M23" s="103"/>
      <c r="N23" s="82"/>
      <c r="O23" s="82"/>
      <c r="P23" s="83"/>
      <c r="Q23" s="84"/>
      <c r="R23" s="91"/>
      <c r="S23" s="86">
        <f t="shared" si="3"/>
        <v>0</v>
      </c>
      <c r="T23" s="92">
        <f t="shared" si="4"/>
        <v>0</v>
      </c>
      <c r="U23" s="93">
        <f t="shared" si="5"/>
        <v>0</v>
      </c>
      <c r="V23" s="101" t="s">
        <v>33</v>
      </c>
      <c r="W23" s="90" t="s">
        <v>52</v>
      </c>
      <c r="X23" s="82"/>
      <c r="Y23" s="82"/>
      <c r="Z23" s="83"/>
      <c r="AA23" s="84">
        <v>15.0</v>
      </c>
      <c r="AB23" s="85"/>
      <c r="AC23" s="86">
        <f t="shared" si="6"/>
        <v>15</v>
      </c>
      <c r="AD23" s="92">
        <f t="shared" si="7"/>
        <v>7</v>
      </c>
      <c r="AE23" s="93">
        <f t="shared" si="8"/>
        <v>3</v>
      </c>
      <c r="AF23" s="89" t="s">
        <v>33</v>
      </c>
      <c r="AG23" s="90" t="s">
        <v>53</v>
      </c>
      <c r="AH23" s="82"/>
      <c r="AI23" s="82"/>
      <c r="AJ23" s="83"/>
      <c r="AK23" s="95">
        <v>20.0</v>
      </c>
      <c r="AL23" s="85"/>
      <c r="AM23" s="96">
        <f t="shared" si="9"/>
        <v>20</v>
      </c>
      <c r="AN23" s="87">
        <f t="shared" si="10"/>
        <v>10</v>
      </c>
      <c r="AO23" s="97">
        <f t="shared" si="11"/>
        <v>4</v>
      </c>
      <c r="AP23" s="28"/>
      <c r="AQ23" s="104" t="s">
        <v>54</v>
      </c>
      <c r="AR23" s="105"/>
      <c r="AS23" s="105"/>
      <c r="AT23" s="105"/>
      <c r="AU23" s="105"/>
      <c r="AV23" s="105"/>
      <c r="AW23" s="106">
        <f>if((V10+V14)&lt;=64,-2,if((V10+V14)&lt;=84,-1,if((V10+V14)&lt;=124,0,if((V10+V14)&lt;=164,"+1D4",if((V10+V14)&lt;=204,"+1D6",if((V10+V14)&lt;=284,"+2D6",if((V10+V14)&lt;=20364,"+3D6",if((V10+V14)&lt;=444,"+4D6",if((V10+V14)&lt;=524,"+5D6")))))))))</f>
        <v>-2</v>
      </c>
      <c r="AX23" s="105"/>
      <c r="AY23" s="105"/>
      <c r="AZ23" s="105"/>
      <c r="BA23" s="105"/>
      <c r="BB23" s="107"/>
      <c r="BC23" s="3"/>
    </row>
    <row r="24" ht="16.5" customHeight="1">
      <c r="A24" s="22"/>
      <c r="B24" s="100" t="s">
        <v>33</v>
      </c>
      <c r="C24" s="81" t="s">
        <v>55</v>
      </c>
      <c r="D24" s="82"/>
      <c r="E24" s="82"/>
      <c r="F24" s="83"/>
      <c r="G24" s="84">
        <v>10.0</v>
      </c>
      <c r="H24" s="85"/>
      <c r="I24" s="86">
        <f t="shared" si="1"/>
        <v>10</v>
      </c>
      <c r="J24" s="87">
        <f t="shared" ref="J24:J26" si="13">Int(DIVIDE(I24,2))</f>
        <v>5</v>
      </c>
      <c r="K24" s="88">
        <f t="shared" si="2"/>
        <v>2</v>
      </c>
      <c r="L24" s="89" t="s">
        <v>33</v>
      </c>
      <c r="M24" s="103"/>
      <c r="N24" s="82"/>
      <c r="O24" s="82"/>
      <c r="P24" s="83"/>
      <c r="Q24" s="84"/>
      <c r="R24" s="91"/>
      <c r="S24" s="86">
        <f t="shared" si="3"/>
        <v>0</v>
      </c>
      <c r="T24" s="92">
        <f t="shared" si="4"/>
        <v>0</v>
      </c>
      <c r="U24" s="93">
        <f t="shared" si="5"/>
        <v>0</v>
      </c>
      <c r="V24" s="89" t="s">
        <v>33</v>
      </c>
      <c r="W24" s="90" t="s">
        <v>56</v>
      </c>
      <c r="X24" s="82"/>
      <c r="Y24" s="82"/>
      <c r="Z24" s="83"/>
      <c r="AA24" s="84">
        <v>15.0</v>
      </c>
      <c r="AB24" s="85"/>
      <c r="AC24" s="86">
        <f t="shared" si="6"/>
        <v>15</v>
      </c>
      <c r="AD24" s="92">
        <f t="shared" si="7"/>
        <v>7</v>
      </c>
      <c r="AE24" s="93">
        <f t="shared" si="8"/>
        <v>3</v>
      </c>
      <c r="AF24" s="101" t="s">
        <v>33</v>
      </c>
      <c r="AG24" s="90" t="s">
        <v>57</v>
      </c>
      <c r="AH24" s="82"/>
      <c r="AI24" s="82"/>
      <c r="AJ24" s="83"/>
      <c r="AK24" s="95">
        <v>20.0</v>
      </c>
      <c r="AL24" s="85"/>
      <c r="AM24" s="96">
        <f t="shared" si="9"/>
        <v>20</v>
      </c>
      <c r="AN24" s="87">
        <f t="shared" si="10"/>
        <v>10</v>
      </c>
      <c r="AO24" s="97">
        <f t="shared" si="11"/>
        <v>4</v>
      </c>
      <c r="AP24" s="28"/>
      <c r="AQ24" s="104" t="s">
        <v>58</v>
      </c>
      <c r="AR24" s="105"/>
      <c r="AS24" s="105"/>
      <c r="AT24" s="105"/>
      <c r="AU24" s="105"/>
      <c r="AV24" s="105"/>
      <c r="AW24" s="106">
        <f>if((V10+V14)&lt;=64,-2,if((V10+V14)&lt;=84,-1,if((V10+V14)&lt;=124,0,if((V10+V14)&lt;=164,"+1",if((V10+V14)&lt;=204,"+2",if((V10+V14)&lt;=284,"+3",if((V10+V14)&lt;=20364,"+4",if((V10+V14)&lt;=444,"+5",if((V10+V14)&lt;=524,"+6")))))))))</f>
        <v>-2</v>
      </c>
      <c r="AX24" s="105"/>
      <c r="AY24" s="105"/>
      <c r="AZ24" s="105"/>
      <c r="BA24" s="105"/>
      <c r="BB24" s="107"/>
      <c r="BC24" s="3"/>
    </row>
    <row r="25" ht="16.5" customHeight="1">
      <c r="A25" s="22"/>
      <c r="B25" s="100" t="s">
        <v>33</v>
      </c>
      <c r="C25" s="81" t="s">
        <v>59</v>
      </c>
      <c r="D25" s="82"/>
      <c r="E25" s="82"/>
      <c r="F25" s="83"/>
      <c r="G25" s="84">
        <v>10.0</v>
      </c>
      <c r="H25" s="91"/>
      <c r="I25" s="86">
        <f t="shared" si="1"/>
        <v>10</v>
      </c>
      <c r="J25" s="87">
        <f t="shared" si="13"/>
        <v>5</v>
      </c>
      <c r="K25" s="88">
        <f t="shared" si="2"/>
        <v>2</v>
      </c>
      <c r="L25" s="89" t="s">
        <v>33</v>
      </c>
      <c r="M25" s="90" t="s">
        <v>60</v>
      </c>
      <c r="N25" s="82"/>
      <c r="O25" s="82"/>
      <c r="P25" s="83"/>
      <c r="Q25" s="84">
        <v>5.0</v>
      </c>
      <c r="R25" s="85"/>
      <c r="S25" s="86">
        <f t="shared" si="3"/>
        <v>5</v>
      </c>
      <c r="T25" s="92">
        <f t="shared" si="4"/>
        <v>2</v>
      </c>
      <c r="U25" s="93">
        <f t="shared" si="5"/>
        <v>1</v>
      </c>
      <c r="V25" s="89" t="s">
        <v>33</v>
      </c>
      <c r="W25" s="90" t="s">
        <v>61</v>
      </c>
      <c r="X25" s="82"/>
      <c r="Y25" s="82"/>
      <c r="Z25" s="83"/>
      <c r="AA25" s="84">
        <v>5.0</v>
      </c>
      <c r="AB25" s="85"/>
      <c r="AC25" s="86">
        <f t="shared" si="6"/>
        <v>5</v>
      </c>
      <c r="AD25" s="92">
        <f t="shared" si="7"/>
        <v>2</v>
      </c>
      <c r="AE25" s="93">
        <f t="shared" si="8"/>
        <v>1</v>
      </c>
      <c r="AF25" s="101" t="s">
        <v>33</v>
      </c>
      <c r="AG25" s="90" t="s">
        <v>62</v>
      </c>
      <c r="AH25" s="82"/>
      <c r="AI25" s="82"/>
      <c r="AJ25" s="83"/>
      <c r="AK25" s="95">
        <f>Int(DIVIDE(AD10,2))</f>
        <v>0</v>
      </c>
      <c r="AL25" s="85"/>
      <c r="AM25" s="96">
        <f t="shared" si="9"/>
        <v>0</v>
      </c>
      <c r="AN25" s="87">
        <f t="shared" si="10"/>
        <v>0</v>
      </c>
      <c r="AO25" s="97">
        <f t="shared" si="11"/>
        <v>0</v>
      </c>
      <c r="AP25" s="60"/>
      <c r="AQ25" s="104" t="s">
        <v>62</v>
      </c>
      <c r="AR25" s="105"/>
      <c r="AS25" s="105"/>
      <c r="AT25" s="105"/>
      <c r="AU25" s="105"/>
      <c r="AV25" s="105"/>
      <c r="AW25" s="106">
        <f>Int(DIVIDE(AD10,2))</f>
        <v>0</v>
      </c>
      <c r="AX25" s="105"/>
      <c r="AY25" s="108">
        <f>int(AW25/2)</f>
        <v>0</v>
      </c>
      <c r="AZ25" s="105"/>
      <c r="BA25" s="109">
        <f>int(AW25/5)</f>
        <v>0</v>
      </c>
      <c r="BB25" s="107"/>
      <c r="BC25" s="3"/>
    </row>
    <row r="26" ht="16.5" customHeight="1">
      <c r="A26" s="22"/>
      <c r="B26" s="100" t="s">
        <v>33</v>
      </c>
      <c r="C26" s="81" t="s">
        <v>63</v>
      </c>
      <c r="D26" s="82"/>
      <c r="E26" s="82"/>
      <c r="F26" s="83"/>
      <c r="G26" s="84">
        <v>20.0</v>
      </c>
      <c r="H26" s="85"/>
      <c r="I26" s="86">
        <f t="shared" si="1"/>
        <v>20</v>
      </c>
      <c r="J26" s="87">
        <f t="shared" si="13"/>
        <v>10</v>
      </c>
      <c r="K26" s="88">
        <f t="shared" si="2"/>
        <v>4</v>
      </c>
      <c r="L26" s="89" t="s">
        <v>33</v>
      </c>
      <c r="M26" s="90" t="s">
        <v>64</v>
      </c>
      <c r="N26" s="82"/>
      <c r="O26" s="82"/>
      <c r="P26" s="83"/>
      <c r="Q26" s="84">
        <v>1.0</v>
      </c>
      <c r="R26" s="91"/>
      <c r="S26" s="86">
        <f t="shared" si="3"/>
        <v>1</v>
      </c>
      <c r="T26" s="92">
        <f t="shared" si="4"/>
        <v>0</v>
      </c>
      <c r="U26" s="93">
        <f t="shared" si="5"/>
        <v>0</v>
      </c>
      <c r="V26" s="89" t="s">
        <v>33</v>
      </c>
      <c r="W26" s="90" t="s">
        <v>65</v>
      </c>
      <c r="X26" s="82"/>
      <c r="Y26" s="82"/>
      <c r="Z26" s="83"/>
      <c r="AA26" s="84">
        <v>10.0</v>
      </c>
      <c r="AB26" s="91"/>
      <c r="AC26" s="86">
        <f t="shared" si="6"/>
        <v>10</v>
      </c>
      <c r="AD26" s="92">
        <f t="shared" si="7"/>
        <v>5</v>
      </c>
      <c r="AE26" s="93">
        <f t="shared" si="8"/>
        <v>2</v>
      </c>
      <c r="AF26" s="89" t="s">
        <v>33</v>
      </c>
      <c r="AG26" s="90" t="s">
        <v>66</v>
      </c>
      <c r="AH26" s="82"/>
      <c r="AI26" s="82"/>
      <c r="AJ26" s="83"/>
      <c r="AK26" s="95">
        <v>5.0</v>
      </c>
      <c r="AL26" s="85"/>
      <c r="AM26" s="96">
        <f t="shared" si="9"/>
        <v>5</v>
      </c>
      <c r="AN26" s="87">
        <f t="shared" si="10"/>
        <v>2</v>
      </c>
      <c r="AO26" s="97">
        <f t="shared" si="11"/>
        <v>1</v>
      </c>
      <c r="AP26" s="60"/>
      <c r="AQ26" s="110" t="s">
        <v>67</v>
      </c>
      <c r="AR26" s="105"/>
      <c r="AS26" s="105"/>
      <c r="AT26" s="105"/>
      <c r="AU26" s="105"/>
      <c r="AV26" s="107"/>
      <c r="AW26" s="111">
        <f>IF(AND(V10&gt;V14,AD10&gt;V14),if(int(divide(L13,10))&gt;=4,12-int(divide(L13,10)),9),if(and(V10&lt;V14,AD10&lt;V14),if(int(divide(L13,10))&gt;=4,10-int(divide(L13,10)),7),if(int(divide(L13,10))&gt;=4,11-int(divide(L13,10)),8)))</f>
        <v>8</v>
      </c>
      <c r="AX26" s="105"/>
      <c r="AY26" s="105"/>
      <c r="AZ26" s="105"/>
      <c r="BA26" s="105"/>
      <c r="BB26" s="107"/>
      <c r="BC26" s="3"/>
    </row>
    <row r="27" ht="16.5" customHeight="1">
      <c r="A27" s="22"/>
      <c r="B27" s="100" t="s">
        <v>33</v>
      </c>
      <c r="C27" s="81" t="s">
        <v>68</v>
      </c>
      <c r="D27" s="82"/>
      <c r="E27" s="82"/>
      <c r="F27" s="83"/>
      <c r="G27" s="84">
        <v>1.0</v>
      </c>
      <c r="H27" s="91"/>
      <c r="I27" s="86">
        <f t="shared" si="1"/>
        <v>1</v>
      </c>
      <c r="J27" s="87">
        <f>int(DIVIDE(I27,2))</f>
        <v>0</v>
      </c>
      <c r="K27" s="88">
        <f t="shared" si="2"/>
        <v>0</v>
      </c>
      <c r="L27" s="89" t="s">
        <v>33</v>
      </c>
      <c r="M27" s="90" t="s">
        <v>69</v>
      </c>
      <c r="N27" s="82"/>
      <c r="O27" s="82"/>
      <c r="P27" s="83"/>
      <c r="Q27" s="84">
        <v>5.0</v>
      </c>
      <c r="R27" s="91"/>
      <c r="S27" s="86">
        <f t="shared" si="3"/>
        <v>5</v>
      </c>
      <c r="T27" s="92">
        <f t="shared" si="4"/>
        <v>2</v>
      </c>
      <c r="U27" s="93">
        <f t="shared" si="5"/>
        <v>1</v>
      </c>
      <c r="V27" s="89" t="s">
        <v>33</v>
      </c>
      <c r="W27" s="103" t="str">
        <f>"모국어"&amp;IF(ISBLANK(L14),"",":"&amp;L14)</f>
        <v>모국어</v>
      </c>
      <c r="X27" s="82"/>
      <c r="Y27" s="82"/>
      <c r="Z27" s="83"/>
      <c r="AA27" s="84">
        <f>(AL12*1)</f>
        <v>0</v>
      </c>
      <c r="AB27" s="91"/>
      <c r="AC27" s="86">
        <f t="shared" si="6"/>
        <v>0</v>
      </c>
      <c r="AD27" s="92">
        <f t="shared" si="7"/>
        <v>0</v>
      </c>
      <c r="AE27" s="93">
        <f t="shared" si="8"/>
        <v>0</v>
      </c>
      <c r="AF27" s="101" t="s">
        <v>33</v>
      </c>
      <c r="AG27" s="90" t="s">
        <v>70</v>
      </c>
      <c r="AH27" s="82"/>
      <c r="AI27" s="82"/>
      <c r="AJ27" s="83"/>
      <c r="AK27" s="95">
        <v>20.0</v>
      </c>
      <c r="AL27" s="85"/>
      <c r="AM27" s="96">
        <f t="shared" si="9"/>
        <v>20</v>
      </c>
      <c r="AN27" s="87">
        <f t="shared" si="10"/>
        <v>10</v>
      </c>
      <c r="AO27" s="97">
        <f t="shared" si="11"/>
        <v>4</v>
      </c>
      <c r="AP27" s="60"/>
      <c r="AQ27" s="112" t="s">
        <v>71</v>
      </c>
      <c r="AR27" s="5"/>
      <c r="AS27" s="5"/>
      <c r="AT27" s="7"/>
      <c r="AU27" s="113"/>
      <c r="AV27" s="5"/>
      <c r="AW27" s="5"/>
      <c r="AX27" s="7"/>
      <c r="AY27" s="114" t="s">
        <v>72</v>
      </c>
      <c r="AZ27" s="105"/>
      <c r="BA27" s="105"/>
      <c r="BB27" s="107"/>
      <c r="BC27" s="3"/>
    </row>
    <row r="28" ht="16.5" customHeight="1">
      <c r="A28" s="22"/>
      <c r="B28" s="100" t="s">
        <v>33</v>
      </c>
      <c r="C28" s="115" t="s">
        <v>73</v>
      </c>
      <c r="D28" s="82"/>
      <c r="E28" s="82"/>
      <c r="F28" s="83"/>
      <c r="G28" s="84">
        <v>1.0</v>
      </c>
      <c r="H28" s="91"/>
      <c r="I28" s="86">
        <f t="shared" si="1"/>
        <v>1</v>
      </c>
      <c r="J28" s="87">
        <f t="shared" ref="J28:J29" si="14">Int(DIVIDE(I28,2))</f>
        <v>0</v>
      </c>
      <c r="K28" s="88">
        <f t="shared" si="2"/>
        <v>0</v>
      </c>
      <c r="L28" s="89" t="s">
        <v>33</v>
      </c>
      <c r="M28" s="90" t="s">
        <v>74</v>
      </c>
      <c r="N28" s="82"/>
      <c r="O28" s="82"/>
      <c r="P28" s="83"/>
      <c r="Q28" s="84">
        <v>1.0</v>
      </c>
      <c r="R28" s="91"/>
      <c r="S28" s="86">
        <f t="shared" si="3"/>
        <v>1</v>
      </c>
      <c r="T28" s="92">
        <f t="shared" si="4"/>
        <v>0</v>
      </c>
      <c r="U28" s="93">
        <f t="shared" si="5"/>
        <v>0</v>
      </c>
      <c r="V28" s="89" t="s">
        <v>33</v>
      </c>
      <c r="W28" s="102" t="s">
        <v>75</v>
      </c>
      <c r="X28" s="82"/>
      <c r="Y28" s="82"/>
      <c r="Z28" s="83"/>
      <c r="AA28" s="84">
        <v>1.0</v>
      </c>
      <c r="AB28" s="85"/>
      <c r="AC28" s="86">
        <f t="shared" si="6"/>
        <v>1</v>
      </c>
      <c r="AD28" s="92">
        <f t="shared" si="7"/>
        <v>0</v>
      </c>
      <c r="AE28" s="93">
        <f t="shared" si="8"/>
        <v>0</v>
      </c>
      <c r="AF28" s="89" t="s">
        <v>33</v>
      </c>
      <c r="AG28" s="90" t="s">
        <v>76</v>
      </c>
      <c r="AH28" s="82"/>
      <c r="AI28" s="82"/>
      <c r="AJ28" s="83"/>
      <c r="AK28" s="95">
        <v>10.0</v>
      </c>
      <c r="AL28" s="85"/>
      <c r="AM28" s="96">
        <f t="shared" si="9"/>
        <v>10</v>
      </c>
      <c r="AN28" s="87">
        <f t="shared" si="10"/>
        <v>5</v>
      </c>
      <c r="AO28" s="97">
        <f t="shared" si="11"/>
        <v>2</v>
      </c>
      <c r="AP28" s="60"/>
      <c r="AQ28" s="10"/>
      <c r="AR28" s="11"/>
      <c r="AS28" s="11"/>
      <c r="AT28" s="12"/>
      <c r="AU28" s="10"/>
      <c r="AV28" s="11"/>
      <c r="AW28" s="11"/>
      <c r="AX28" s="12"/>
      <c r="AY28" s="116">
        <f>Int((V14+V12)/10)</f>
        <v>0</v>
      </c>
      <c r="AZ28" s="105"/>
      <c r="BA28" s="105"/>
      <c r="BB28" s="107"/>
      <c r="BC28" s="3"/>
    </row>
    <row r="29" ht="16.5" customHeight="1">
      <c r="A29" s="22"/>
      <c r="B29" s="100" t="s">
        <v>33</v>
      </c>
      <c r="C29" s="117"/>
      <c r="D29" s="82"/>
      <c r="E29" s="82"/>
      <c r="F29" s="83"/>
      <c r="G29" s="118"/>
      <c r="H29" s="85"/>
      <c r="I29" s="86">
        <f t="shared" si="1"/>
        <v>0</v>
      </c>
      <c r="J29" s="87">
        <f t="shared" si="14"/>
        <v>0</v>
      </c>
      <c r="K29" s="88">
        <f t="shared" si="2"/>
        <v>0</v>
      </c>
      <c r="L29" s="89" t="s">
        <v>33</v>
      </c>
      <c r="M29" s="90" t="s">
        <v>77</v>
      </c>
      <c r="N29" s="82"/>
      <c r="O29" s="82"/>
      <c r="P29" s="83"/>
      <c r="Q29" s="84">
        <v>5.0</v>
      </c>
      <c r="R29" s="91"/>
      <c r="S29" s="86">
        <f t="shared" si="3"/>
        <v>5</v>
      </c>
      <c r="T29" s="92">
        <f t="shared" si="4"/>
        <v>2</v>
      </c>
      <c r="U29" s="93">
        <f t="shared" si="5"/>
        <v>1</v>
      </c>
      <c r="V29" s="89" t="s">
        <v>33</v>
      </c>
      <c r="W29" s="103"/>
      <c r="X29" s="82"/>
      <c r="Y29" s="82"/>
      <c r="Z29" s="83"/>
      <c r="AA29" s="84"/>
      <c r="AB29" s="91"/>
      <c r="AC29" s="86">
        <f t="shared" si="6"/>
        <v>0</v>
      </c>
      <c r="AD29" s="92">
        <f t="shared" si="7"/>
        <v>0</v>
      </c>
      <c r="AE29" s="93">
        <f t="shared" si="8"/>
        <v>0</v>
      </c>
      <c r="AF29" s="89" t="s">
        <v>33</v>
      </c>
      <c r="AG29" s="90" t="s">
        <v>78</v>
      </c>
      <c r="AH29" s="82"/>
      <c r="AI29" s="82"/>
      <c r="AJ29" s="83"/>
      <c r="AK29" s="95">
        <v>1.0</v>
      </c>
      <c r="AL29" s="91"/>
      <c r="AM29" s="96">
        <f t="shared" si="9"/>
        <v>1</v>
      </c>
      <c r="AN29" s="87">
        <f t="shared" si="10"/>
        <v>0</v>
      </c>
      <c r="AO29" s="97">
        <f t="shared" si="11"/>
        <v>0</v>
      </c>
      <c r="AP29" s="28"/>
      <c r="AQ29" s="119" t="s">
        <v>79</v>
      </c>
      <c r="AR29" s="5"/>
      <c r="AS29" s="5"/>
      <c r="AT29" s="7"/>
      <c r="AU29" s="113"/>
      <c r="AV29" s="5"/>
      <c r="AW29" s="5"/>
      <c r="AX29" s="7"/>
      <c r="AY29" s="120" t="s">
        <v>80</v>
      </c>
      <c r="AZ29" s="105"/>
      <c r="BA29" s="105"/>
      <c r="BB29" s="107"/>
      <c r="BC29" s="3"/>
    </row>
    <row r="30" ht="16.5" customHeight="1">
      <c r="A30" s="22"/>
      <c r="B30" s="100" t="s">
        <v>33</v>
      </c>
      <c r="C30" s="81" t="s">
        <v>81</v>
      </c>
      <c r="D30" s="82"/>
      <c r="E30" s="82"/>
      <c r="F30" s="83"/>
      <c r="G30" s="95">
        <v>10.0</v>
      </c>
      <c r="H30" s="85"/>
      <c r="I30" s="86">
        <f t="shared" si="1"/>
        <v>10</v>
      </c>
      <c r="J30" s="87">
        <f>int(DIVIDE(I30,2))</f>
        <v>5</v>
      </c>
      <c r="K30" s="88">
        <f t="shared" si="2"/>
        <v>2</v>
      </c>
      <c r="L30" s="89" t="s">
        <v>33</v>
      </c>
      <c r="M30" s="121" t="s">
        <v>82</v>
      </c>
      <c r="N30" s="82"/>
      <c r="O30" s="82"/>
      <c r="P30" s="83"/>
      <c r="Q30" s="84">
        <v>5.0</v>
      </c>
      <c r="R30" s="85"/>
      <c r="S30" s="86">
        <f t="shared" si="3"/>
        <v>5</v>
      </c>
      <c r="T30" s="92">
        <f t="shared" si="4"/>
        <v>2</v>
      </c>
      <c r="U30" s="93">
        <f t="shared" si="5"/>
        <v>1</v>
      </c>
      <c r="V30" s="89" t="s">
        <v>33</v>
      </c>
      <c r="W30" s="90" t="s">
        <v>83</v>
      </c>
      <c r="X30" s="82"/>
      <c r="Y30" s="82"/>
      <c r="Z30" s="83"/>
      <c r="AA30" s="95">
        <v>20.0</v>
      </c>
      <c r="AB30" s="85"/>
      <c r="AC30" s="96">
        <f t="shared" si="6"/>
        <v>20</v>
      </c>
      <c r="AD30" s="87">
        <f t="shared" si="7"/>
        <v>10</v>
      </c>
      <c r="AE30" s="88">
        <f t="shared" si="8"/>
        <v>4</v>
      </c>
      <c r="AF30" s="89" t="s">
        <v>33</v>
      </c>
      <c r="AG30" s="103" t="s">
        <v>84</v>
      </c>
      <c r="AH30" s="82"/>
      <c r="AI30" s="82"/>
      <c r="AJ30" s="83"/>
      <c r="AK30" s="95">
        <v>20.0</v>
      </c>
      <c r="AL30" s="91"/>
      <c r="AM30" s="86">
        <f t="shared" si="9"/>
        <v>20</v>
      </c>
      <c r="AN30" s="92">
        <f t="shared" si="10"/>
        <v>10</v>
      </c>
      <c r="AO30" s="122">
        <f t="shared" si="11"/>
        <v>4</v>
      </c>
      <c r="AP30" s="28"/>
      <c r="AQ30" s="10"/>
      <c r="AR30" s="11"/>
      <c r="AS30" s="11"/>
      <c r="AT30" s="12"/>
      <c r="AU30" s="10"/>
      <c r="AV30" s="11"/>
      <c r="AW30" s="11"/>
      <c r="AX30" s="12"/>
      <c r="AY30" s="123">
        <f>int(AL10/5)</f>
        <v>0</v>
      </c>
      <c r="AZ30" s="105"/>
      <c r="BA30" s="105"/>
      <c r="BB30" s="107"/>
      <c r="BC30" s="3"/>
    </row>
    <row r="31" ht="16.5" customHeight="1">
      <c r="A31" s="22"/>
      <c r="B31" s="100" t="s">
        <v>33</v>
      </c>
      <c r="C31" s="81" t="s">
        <v>85</v>
      </c>
      <c r="D31" s="82"/>
      <c r="E31" s="82"/>
      <c r="F31" s="83"/>
      <c r="G31" s="95">
        <v>10.0</v>
      </c>
      <c r="H31" s="85"/>
      <c r="I31" s="86">
        <f t="shared" si="1"/>
        <v>10</v>
      </c>
      <c r="J31" s="87">
        <f t="shared" ref="J31:J36" si="15">Int(DIVIDE(I31,2))</f>
        <v>5</v>
      </c>
      <c r="K31" s="88">
        <f t="shared" si="2"/>
        <v>2</v>
      </c>
      <c r="L31" s="89" t="s">
        <v>33</v>
      </c>
      <c r="M31" s="121"/>
      <c r="N31" s="82"/>
      <c r="O31" s="82"/>
      <c r="P31" s="83"/>
      <c r="Q31" s="118"/>
      <c r="R31" s="85"/>
      <c r="S31" s="86">
        <f t="shared" si="3"/>
        <v>0</v>
      </c>
      <c r="T31" s="92">
        <f t="shared" si="4"/>
        <v>0</v>
      </c>
      <c r="U31" s="93">
        <f t="shared" si="5"/>
        <v>0</v>
      </c>
      <c r="V31" s="89" t="s">
        <v>33</v>
      </c>
      <c r="W31" s="103" t="s">
        <v>86</v>
      </c>
      <c r="X31" s="82"/>
      <c r="Y31" s="82"/>
      <c r="Z31" s="83"/>
      <c r="AA31" s="95">
        <v>25.0</v>
      </c>
      <c r="AB31" s="85"/>
      <c r="AC31" s="96">
        <f t="shared" si="6"/>
        <v>25</v>
      </c>
      <c r="AD31" s="87">
        <f t="shared" si="7"/>
        <v>12</v>
      </c>
      <c r="AE31" s="88">
        <f t="shared" si="8"/>
        <v>5</v>
      </c>
      <c r="AF31" s="89" t="s">
        <v>33</v>
      </c>
      <c r="AG31" s="103" t="s">
        <v>87</v>
      </c>
      <c r="AH31" s="82"/>
      <c r="AI31" s="82"/>
      <c r="AJ31" s="83"/>
      <c r="AK31" s="95">
        <v>25.0</v>
      </c>
      <c r="AL31" s="91"/>
      <c r="AM31" s="86">
        <f t="shared" si="9"/>
        <v>25</v>
      </c>
      <c r="AN31" s="92">
        <f t="shared" si="10"/>
        <v>12</v>
      </c>
      <c r="AO31" s="122">
        <f t="shared" si="11"/>
        <v>5</v>
      </c>
      <c r="AP31" s="28"/>
      <c r="AQ31" s="124" t="s">
        <v>88</v>
      </c>
      <c r="AR31" s="5"/>
      <c r="AS31" s="5"/>
      <c r="AT31" s="7"/>
      <c r="AU31" s="113"/>
      <c r="AV31" s="5"/>
      <c r="AW31" s="5"/>
      <c r="AX31" s="7"/>
      <c r="AY31" s="125" t="s">
        <v>89</v>
      </c>
      <c r="AZ31" s="107"/>
      <c r="BA31" s="125" t="s">
        <v>90</v>
      </c>
      <c r="BB31" s="107"/>
      <c r="BC31" s="3"/>
    </row>
    <row r="32" ht="16.5" customHeight="1">
      <c r="A32" s="22"/>
      <c r="B32" s="100" t="s">
        <v>33</v>
      </c>
      <c r="C32" s="81" t="s">
        <v>91</v>
      </c>
      <c r="D32" s="82"/>
      <c r="E32" s="82"/>
      <c r="F32" s="83"/>
      <c r="G32" s="95">
        <v>5.0</v>
      </c>
      <c r="H32" s="85"/>
      <c r="I32" s="86">
        <f t="shared" si="1"/>
        <v>5</v>
      </c>
      <c r="J32" s="87">
        <f t="shared" si="15"/>
        <v>2</v>
      </c>
      <c r="K32" s="88">
        <f t="shared" si="2"/>
        <v>1</v>
      </c>
      <c r="L32" s="89" t="s">
        <v>33</v>
      </c>
      <c r="M32" s="126" t="s">
        <v>92</v>
      </c>
      <c r="N32" s="82"/>
      <c r="O32" s="82"/>
      <c r="P32" s="83"/>
      <c r="Q32" s="95">
        <v>1.0</v>
      </c>
      <c r="R32" s="91"/>
      <c r="S32" s="86">
        <f t="shared" si="3"/>
        <v>1</v>
      </c>
      <c r="T32" s="92">
        <f t="shared" si="4"/>
        <v>0</v>
      </c>
      <c r="U32" s="93">
        <f t="shared" si="5"/>
        <v>0</v>
      </c>
      <c r="V32" s="89" t="s">
        <v>33</v>
      </c>
      <c r="W32" s="103" t="s">
        <v>93</v>
      </c>
      <c r="X32" s="82"/>
      <c r="Y32" s="82"/>
      <c r="Z32" s="83"/>
      <c r="AA32" s="95">
        <v>20.0</v>
      </c>
      <c r="AB32" s="91"/>
      <c r="AC32" s="96">
        <f t="shared" si="6"/>
        <v>20</v>
      </c>
      <c r="AD32" s="87">
        <f t="shared" si="7"/>
        <v>10</v>
      </c>
      <c r="AE32" s="88">
        <f t="shared" si="8"/>
        <v>4</v>
      </c>
      <c r="AF32" s="89" t="s">
        <v>33</v>
      </c>
      <c r="AG32" s="103" t="s">
        <v>94</v>
      </c>
      <c r="AH32" s="82"/>
      <c r="AI32" s="82"/>
      <c r="AJ32" s="83"/>
      <c r="AK32" s="95">
        <v>15.0</v>
      </c>
      <c r="AL32" s="91"/>
      <c r="AM32" s="86">
        <f t="shared" si="9"/>
        <v>15</v>
      </c>
      <c r="AN32" s="92">
        <f t="shared" si="10"/>
        <v>7</v>
      </c>
      <c r="AO32" s="122">
        <f t="shared" si="11"/>
        <v>3</v>
      </c>
      <c r="AP32" s="28"/>
      <c r="AQ32" s="10"/>
      <c r="AR32" s="11"/>
      <c r="AS32" s="11"/>
      <c r="AT32" s="12"/>
      <c r="AU32" s="10"/>
      <c r="AV32" s="11"/>
      <c r="AW32" s="11"/>
      <c r="AX32" s="12"/>
      <c r="AY32" s="127" t="str">
        <f>IF(AL10=0,"자동",MIN(AL10,BA32))</f>
        <v>자동</v>
      </c>
      <c r="AZ32" s="107"/>
      <c r="BA32" s="127">
        <f>99-AB19</f>
        <v>99</v>
      </c>
      <c r="BB32" s="107"/>
      <c r="BC32" s="3"/>
    </row>
    <row r="33" ht="16.5" customHeight="1">
      <c r="A33" s="22"/>
      <c r="B33" s="100" t="s">
        <v>33</v>
      </c>
      <c r="C33" s="81"/>
      <c r="D33" s="82"/>
      <c r="E33" s="82"/>
      <c r="F33" s="83"/>
      <c r="G33" s="84"/>
      <c r="H33" s="85"/>
      <c r="I33" s="86">
        <f t="shared" si="1"/>
        <v>0</v>
      </c>
      <c r="J33" s="87">
        <f t="shared" si="15"/>
        <v>0</v>
      </c>
      <c r="K33" s="88">
        <f t="shared" si="2"/>
        <v>0</v>
      </c>
      <c r="L33" s="89" t="s">
        <v>33</v>
      </c>
      <c r="M33" s="126" t="s">
        <v>95</v>
      </c>
      <c r="N33" s="82"/>
      <c r="O33" s="82"/>
      <c r="P33" s="83"/>
      <c r="Q33" s="95">
        <v>5.0</v>
      </c>
      <c r="R33" s="85"/>
      <c r="S33" s="86">
        <f t="shared" si="3"/>
        <v>5</v>
      </c>
      <c r="T33" s="92">
        <f t="shared" si="4"/>
        <v>2</v>
      </c>
      <c r="U33" s="93">
        <f t="shared" si="5"/>
        <v>1</v>
      </c>
      <c r="V33" s="89" t="s">
        <v>33</v>
      </c>
      <c r="W33" s="103" t="s">
        <v>96</v>
      </c>
      <c r="X33" s="82"/>
      <c r="Y33" s="82"/>
      <c r="Z33" s="83"/>
      <c r="AA33" s="95">
        <v>15.0</v>
      </c>
      <c r="AB33" s="91"/>
      <c r="AC33" s="96">
        <f t="shared" si="6"/>
        <v>15</v>
      </c>
      <c r="AD33" s="87">
        <f t="shared" si="7"/>
        <v>7</v>
      </c>
      <c r="AE33" s="88">
        <f t="shared" si="8"/>
        <v>3</v>
      </c>
      <c r="AF33" s="89" t="s">
        <v>33</v>
      </c>
      <c r="AG33" s="103" t="s">
        <v>97</v>
      </c>
      <c r="AH33" s="82"/>
      <c r="AI33" s="82"/>
      <c r="AJ33" s="83"/>
      <c r="AK33" s="95">
        <v>10.0</v>
      </c>
      <c r="AL33" s="91"/>
      <c r="AM33" s="86">
        <f t="shared" si="9"/>
        <v>10</v>
      </c>
      <c r="AN33" s="92">
        <f t="shared" si="10"/>
        <v>5</v>
      </c>
      <c r="AO33" s="122">
        <f t="shared" si="11"/>
        <v>2</v>
      </c>
      <c r="AP33" s="28"/>
      <c r="AQ33" s="128" t="s">
        <v>98</v>
      </c>
      <c r="AR33" s="5"/>
      <c r="AS33" s="5"/>
      <c r="AT33" s="7"/>
      <c r="AU33" s="129" t="s">
        <v>33</v>
      </c>
      <c r="AV33" s="7"/>
      <c r="AW33" s="130" t="s">
        <v>99</v>
      </c>
      <c r="AX33" s="5"/>
      <c r="AY33" s="5"/>
      <c r="AZ33" s="7"/>
      <c r="BA33" s="131" t="s">
        <v>33</v>
      </c>
      <c r="BB33" s="7"/>
      <c r="BC33" s="3"/>
    </row>
    <row r="34" ht="16.5" customHeight="1">
      <c r="A34" s="22"/>
      <c r="B34" s="100" t="s">
        <v>33</v>
      </c>
      <c r="C34" s="81"/>
      <c r="D34" s="82"/>
      <c r="E34" s="82"/>
      <c r="F34" s="83"/>
      <c r="G34" s="84"/>
      <c r="H34" s="91"/>
      <c r="I34" s="86">
        <f t="shared" si="1"/>
        <v>0</v>
      </c>
      <c r="J34" s="87">
        <f t="shared" si="15"/>
        <v>0</v>
      </c>
      <c r="K34" s="88">
        <f t="shared" si="2"/>
        <v>0</v>
      </c>
      <c r="L34" s="89" t="s">
        <v>33</v>
      </c>
      <c r="M34" s="126" t="s">
        <v>100</v>
      </c>
      <c r="N34" s="82"/>
      <c r="O34" s="82"/>
      <c r="P34" s="83"/>
      <c r="Q34" s="95">
        <v>1.0</v>
      </c>
      <c r="R34" s="91"/>
      <c r="S34" s="86">
        <f t="shared" si="3"/>
        <v>1</v>
      </c>
      <c r="T34" s="92">
        <f t="shared" si="4"/>
        <v>0</v>
      </c>
      <c r="U34" s="93">
        <f t="shared" si="5"/>
        <v>0</v>
      </c>
      <c r="V34" s="89" t="s">
        <v>33</v>
      </c>
      <c r="W34" s="103" t="s">
        <v>101</v>
      </c>
      <c r="X34" s="82"/>
      <c r="Y34" s="82"/>
      <c r="Z34" s="83"/>
      <c r="AA34" s="95">
        <v>20.0</v>
      </c>
      <c r="AB34" s="91"/>
      <c r="AC34" s="96">
        <f t="shared" si="6"/>
        <v>20</v>
      </c>
      <c r="AD34" s="87">
        <f t="shared" si="7"/>
        <v>10</v>
      </c>
      <c r="AE34" s="88">
        <f t="shared" si="8"/>
        <v>4</v>
      </c>
      <c r="AF34" s="89" t="s">
        <v>33</v>
      </c>
      <c r="AG34" s="103" t="s">
        <v>102</v>
      </c>
      <c r="AH34" s="82"/>
      <c r="AI34" s="82"/>
      <c r="AJ34" s="83"/>
      <c r="AK34" s="95">
        <v>15.0</v>
      </c>
      <c r="AL34" s="91"/>
      <c r="AM34" s="86">
        <f t="shared" si="9"/>
        <v>15</v>
      </c>
      <c r="AN34" s="92">
        <f t="shared" si="10"/>
        <v>7</v>
      </c>
      <c r="AO34" s="122">
        <f t="shared" si="11"/>
        <v>3</v>
      </c>
      <c r="AP34" s="28"/>
      <c r="AQ34" s="10"/>
      <c r="AR34" s="11"/>
      <c r="AS34" s="11"/>
      <c r="AT34" s="12"/>
      <c r="AU34" s="10"/>
      <c r="AV34" s="12"/>
      <c r="AW34" s="10"/>
      <c r="AX34" s="11"/>
      <c r="AY34" s="11"/>
      <c r="AZ34" s="12"/>
      <c r="BA34" s="10"/>
      <c r="BB34" s="12"/>
      <c r="BC34" s="3"/>
    </row>
    <row r="35" ht="16.5" customHeight="1">
      <c r="A35" s="22"/>
      <c r="B35" s="100" t="s">
        <v>33</v>
      </c>
      <c r="C35" s="132" t="s">
        <v>103</v>
      </c>
      <c r="D35" s="82"/>
      <c r="E35" s="82"/>
      <c r="F35" s="83"/>
      <c r="G35" s="84">
        <v>1.0</v>
      </c>
      <c r="H35" s="91"/>
      <c r="I35" s="86">
        <f t="shared" si="1"/>
        <v>1</v>
      </c>
      <c r="J35" s="87">
        <f t="shared" si="15"/>
        <v>0</v>
      </c>
      <c r="K35" s="88">
        <f t="shared" si="2"/>
        <v>0</v>
      </c>
      <c r="L35" s="89" t="s">
        <v>33</v>
      </c>
      <c r="M35" s="126" t="s">
        <v>104</v>
      </c>
      <c r="N35" s="82"/>
      <c r="O35" s="82"/>
      <c r="P35" s="83"/>
      <c r="Q35" s="95">
        <v>1.0</v>
      </c>
      <c r="R35" s="91"/>
      <c r="S35" s="86">
        <f t="shared" si="3"/>
        <v>1</v>
      </c>
      <c r="T35" s="92">
        <f t="shared" si="4"/>
        <v>0</v>
      </c>
      <c r="U35" s="93">
        <f t="shared" si="5"/>
        <v>0</v>
      </c>
      <c r="V35" s="89" t="s">
        <v>33</v>
      </c>
      <c r="W35" s="103" t="s">
        <v>105</v>
      </c>
      <c r="X35" s="82"/>
      <c r="Y35" s="82"/>
      <c r="Z35" s="83"/>
      <c r="AA35" s="95">
        <v>5.0</v>
      </c>
      <c r="AB35" s="91"/>
      <c r="AC35" s="96">
        <f t="shared" si="6"/>
        <v>5</v>
      </c>
      <c r="AD35" s="87">
        <f t="shared" si="7"/>
        <v>2</v>
      </c>
      <c r="AE35" s="88">
        <f t="shared" si="8"/>
        <v>1</v>
      </c>
      <c r="AF35" s="89" t="s">
        <v>33</v>
      </c>
      <c r="AG35" s="103" t="s">
        <v>106</v>
      </c>
      <c r="AH35" s="82"/>
      <c r="AI35" s="82"/>
      <c r="AJ35" s="83"/>
      <c r="AK35" s="95">
        <v>10.0</v>
      </c>
      <c r="AL35" s="91"/>
      <c r="AM35" s="96">
        <f t="shared" si="9"/>
        <v>10</v>
      </c>
      <c r="AN35" s="87">
        <f t="shared" si="10"/>
        <v>5</v>
      </c>
      <c r="AO35" s="97">
        <f t="shared" si="11"/>
        <v>2</v>
      </c>
      <c r="AP35" s="28"/>
      <c r="AQ35" s="133" t="s">
        <v>107</v>
      </c>
      <c r="AR35" s="5"/>
      <c r="AS35" s="5"/>
      <c r="AT35" s="7"/>
      <c r="AU35" s="134" t="s">
        <v>33</v>
      </c>
      <c r="AV35" s="7"/>
      <c r="AW35" s="135" t="s">
        <v>108</v>
      </c>
      <c r="AX35" s="5"/>
      <c r="AY35" s="5"/>
      <c r="AZ35" s="7"/>
      <c r="BA35" s="136" t="s">
        <v>33</v>
      </c>
      <c r="BB35" s="7"/>
      <c r="BC35" s="3"/>
    </row>
    <row r="36" ht="16.5" customHeight="1">
      <c r="A36" s="22"/>
      <c r="B36" s="137" t="s">
        <v>33</v>
      </c>
      <c r="C36" s="138" t="s">
        <v>109</v>
      </c>
      <c r="D36" s="139"/>
      <c r="E36" s="139"/>
      <c r="F36" s="140"/>
      <c r="G36" s="141">
        <v>1.0</v>
      </c>
      <c r="H36" s="142"/>
      <c r="I36" s="143">
        <f t="shared" si="1"/>
        <v>1</v>
      </c>
      <c r="J36" s="144">
        <f t="shared" si="15"/>
        <v>0</v>
      </c>
      <c r="K36" s="145">
        <f t="shared" si="2"/>
        <v>0</v>
      </c>
      <c r="L36" s="146" t="s">
        <v>33</v>
      </c>
      <c r="M36" s="147" t="s">
        <v>110</v>
      </c>
      <c r="N36" s="139"/>
      <c r="O36" s="139"/>
      <c r="P36" s="140"/>
      <c r="Q36" s="148">
        <v>1.0</v>
      </c>
      <c r="R36" s="142"/>
      <c r="S36" s="143">
        <f t="shared" si="3"/>
        <v>1</v>
      </c>
      <c r="T36" s="149">
        <f t="shared" si="4"/>
        <v>0</v>
      </c>
      <c r="U36" s="150">
        <f t="shared" si="5"/>
        <v>0</v>
      </c>
      <c r="V36" s="146" t="s">
        <v>33</v>
      </c>
      <c r="W36" s="151" t="s">
        <v>111</v>
      </c>
      <c r="X36" s="139"/>
      <c r="Y36" s="139"/>
      <c r="Z36" s="140"/>
      <c r="AA36" s="141">
        <v>10.0</v>
      </c>
      <c r="AB36" s="142"/>
      <c r="AC36" s="143">
        <f t="shared" si="6"/>
        <v>10</v>
      </c>
      <c r="AD36" s="149">
        <f t="shared" si="7"/>
        <v>5</v>
      </c>
      <c r="AE36" s="150">
        <f t="shared" si="8"/>
        <v>2</v>
      </c>
      <c r="AF36" s="146" t="s">
        <v>33</v>
      </c>
      <c r="AG36" s="151" t="s">
        <v>112</v>
      </c>
      <c r="AH36" s="139"/>
      <c r="AI36" s="139"/>
      <c r="AJ36" s="140"/>
      <c r="AK36" s="148">
        <v>10.0</v>
      </c>
      <c r="AL36" s="142"/>
      <c r="AM36" s="152">
        <f t="shared" si="9"/>
        <v>10</v>
      </c>
      <c r="AN36" s="144">
        <f t="shared" si="10"/>
        <v>5</v>
      </c>
      <c r="AO36" s="153">
        <f t="shared" si="11"/>
        <v>2</v>
      </c>
      <c r="AP36" s="28"/>
      <c r="AQ36" s="10"/>
      <c r="AR36" s="11"/>
      <c r="AS36" s="11"/>
      <c r="AT36" s="12"/>
      <c r="AU36" s="10"/>
      <c r="AV36" s="12"/>
      <c r="AW36" s="10"/>
      <c r="AX36" s="11"/>
      <c r="AY36" s="11"/>
      <c r="AZ36" s="12"/>
      <c r="BA36" s="10"/>
      <c r="BB36" s="12"/>
      <c r="BC36" s="3"/>
    </row>
    <row r="37" ht="15.0" customHeight="1">
      <c r="A37" s="2"/>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3"/>
      <c r="AD37" s="53"/>
      <c r="AE37" s="53"/>
      <c r="AF37" s="53"/>
      <c r="AG37" s="53"/>
      <c r="AH37" s="53"/>
      <c r="AI37" s="53"/>
      <c r="AJ37" s="53"/>
      <c r="AK37" s="53"/>
      <c r="AL37" s="53"/>
      <c r="AM37" s="53"/>
      <c r="AN37" s="53"/>
      <c r="AO37" s="53"/>
      <c r="AP37" s="3"/>
      <c r="AQ37" s="8"/>
      <c r="AR37" s="8"/>
      <c r="AS37" s="8"/>
      <c r="AT37" s="8"/>
      <c r="AU37" s="8"/>
      <c r="AV37" s="8"/>
      <c r="AW37" s="8"/>
      <c r="AX37" s="8"/>
      <c r="AY37" s="8"/>
      <c r="AZ37" s="8"/>
      <c r="BA37" s="8"/>
      <c r="BB37" s="8"/>
      <c r="BC37" s="3"/>
    </row>
    <row r="38" ht="13.5" customHeight="1">
      <c r="A38" s="22"/>
      <c r="B38" s="23" t="s">
        <v>113</v>
      </c>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5"/>
      <c r="AP38" s="28"/>
      <c r="AQ38" s="154" t="s">
        <v>15</v>
      </c>
      <c r="AR38" s="5"/>
      <c r="AS38" s="5"/>
      <c r="AT38" s="5"/>
      <c r="AU38" s="5"/>
      <c r="AV38" s="5"/>
      <c r="AW38" s="5"/>
      <c r="AX38" s="5"/>
      <c r="AY38" s="5"/>
      <c r="AZ38" s="5"/>
      <c r="BA38" s="5"/>
      <c r="BB38" s="7"/>
      <c r="BC38" s="3"/>
    </row>
    <row r="39" ht="13.5" customHeight="1">
      <c r="A39" s="22"/>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2"/>
      <c r="AP39" s="28"/>
      <c r="AQ39" s="10"/>
      <c r="AR39" s="11"/>
      <c r="AS39" s="11"/>
      <c r="AT39" s="11"/>
      <c r="AU39" s="11"/>
      <c r="AV39" s="11"/>
      <c r="AW39" s="11"/>
      <c r="AX39" s="11"/>
      <c r="AY39" s="11"/>
      <c r="AZ39" s="11"/>
      <c r="BA39" s="11"/>
      <c r="BB39" s="12"/>
      <c r="BC39" s="3"/>
    </row>
    <row r="40" ht="13.5" customHeight="1">
      <c r="A40" s="22"/>
      <c r="B40" s="155" t="s">
        <v>113</v>
      </c>
      <c r="C40" s="34"/>
      <c r="D40" s="34"/>
      <c r="E40" s="34"/>
      <c r="F40" s="34"/>
      <c r="G40" s="34"/>
      <c r="H40" s="34"/>
      <c r="I40" s="35"/>
      <c r="J40" s="155" t="s">
        <v>114</v>
      </c>
      <c r="K40" s="34"/>
      <c r="L40" s="35"/>
      <c r="M40" s="155" t="s">
        <v>115</v>
      </c>
      <c r="N40" s="34"/>
      <c r="O40" s="35"/>
      <c r="P40" s="155" t="s">
        <v>116</v>
      </c>
      <c r="Q40" s="34"/>
      <c r="R40" s="35"/>
      <c r="S40" s="155" t="s">
        <v>117</v>
      </c>
      <c r="T40" s="34"/>
      <c r="U40" s="34"/>
      <c r="V40" s="34"/>
      <c r="W40" s="34"/>
      <c r="X40" s="35"/>
      <c r="Y40" s="155" t="s">
        <v>118</v>
      </c>
      <c r="Z40" s="34"/>
      <c r="AA40" s="34"/>
      <c r="AB40" s="35"/>
      <c r="AC40" s="155" t="s">
        <v>119</v>
      </c>
      <c r="AD40" s="34"/>
      <c r="AE40" s="34"/>
      <c r="AF40" s="34"/>
      <c r="AG40" s="35"/>
      <c r="AH40" s="155" t="s">
        <v>120</v>
      </c>
      <c r="AI40" s="34"/>
      <c r="AJ40" s="34"/>
      <c r="AK40" s="35"/>
      <c r="AL40" s="155" t="s">
        <v>121</v>
      </c>
      <c r="AM40" s="34"/>
      <c r="AN40" s="34"/>
      <c r="AO40" s="35"/>
      <c r="AP40" s="28"/>
      <c r="AQ40" s="156"/>
      <c r="AR40" s="157"/>
      <c r="AS40" s="157"/>
      <c r="AT40" s="157"/>
      <c r="AU40" s="157"/>
      <c r="AV40" s="157"/>
      <c r="AW40" s="157"/>
      <c r="AX40" s="157"/>
      <c r="AY40" s="157"/>
      <c r="AZ40" s="157"/>
      <c r="BA40" s="157"/>
      <c r="BB40" s="158"/>
      <c r="BC40" s="3"/>
    </row>
    <row r="41" ht="13.5" customHeight="1">
      <c r="A41" s="2"/>
      <c r="B41" s="159" t="s">
        <v>122</v>
      </c>
      <c r="I41" s="160"/>
      <c r="J41" s="161">
        <v>25.0</v>
      </c>
      <c r="M41" s="161">
        <f t="shared" ref="M41:M47" si="16">Int(DIVIDE(J41,2))</f>
        <v>12</v>
      </c>
      <c r="O41" s="160"/>
      <c r="P41" s="161">
        <f t="shared" ref="P41:P47" si="17">Int(DIVIDE(J41,5))</f>
        <v>5</v>
      </c>
      <c r="R41" s="160"/>
      <c r="S41" s="162" t="s">
        <v>123</v>
      </c>
      <c r="X41" s="160"/>
      <c r="Y41" s="161" t="s">
        <v>124</v>
      </c>
      <c r="AB41" s="160"/>
      <c r="AC41" s="161">
        <v>1.0</v>
      </c>
      <c r="AG41" s="160"/>
      <c r="AH41" s="161" t="s">
        <v>124</v>
      </c>
      <c r="AK41" s="160"/>
      <c r="AL41" s="161" t="s">
        <v>124</v>
      </c>
      <c r="AO41" s="15"/>
      <c r="AP41" s="3"/>
      <c r="AQ41" s="163" t="str">
        <f>IF(S19=0,"무일푼, 노숙.",(IF(AND(1&lt;=S19,10&gt;S19),"가난, 최소한의 재산만 소유.",IF(AND(10&lt;=S19,50&gt;S19),"보통, 적당히 안락한 생활.",(IF(AND(50&lt;=S19,90&gt;S19),"부유, 약간의 사치 가능.",(IF(AND(90&lt;=S19,99&gt;S19),"자산가, 막대한 부와 사치.",(IF(S19=99,"갑부, 돈은 문제가 되지 않는 수준."))))))))))</f>
        <v>무일푼, 노숙.</v>
      </c>
      <c r="AR41" s="164"/>
      <c r="AS41" s="164"/>
      <c r="AT41" s="164"/>
      <c r="AU41" s="164"/>
      <c r="AV41" s="164"/>
      <c r="AW41" s="164"/>
      <c r="AX41" s="164"/>
      <c r="AY41" s="164"/>
      <c r="AZ41" s="164"/>
      <c r="BA41" s="164"/>
      <c r="BB41" s="165"/>
      <c r="BC41" s="3"/>
    </row>
    <row r="42" ht="13.5" customHeight="1">
      <c r="A42" s="22"/>
      <c r="B42" s="166"/>
      <c r="C42" s="167"/>
      <c r="D42" s="167"/>
      <c r="E42" s="167"/>
      <c r="F42" s="167"/>
      <c r="G42" s="167"/>
      <c r="H42" s="167"/>
      <c r="I42" s="168"/>
      <c r="J42" s="169"/>
      <c r="K42" s="167"/>
      <c r="L42" s="168"/>
      <c r="M42" s="170">
        <f t="shared" si="16"/>
        <v>0</v>
      </c>
      <c r="N42" s="167"/>
      <c r="O42" s="168"/>
      <c r="P42" s="170">
        <f t="shared" si="17"/>
        <v>0</v>
      </c>
      <c r="Q42" s="167"/>
      <c r="R42" s="168"/>
      <c r="S42" s="171"/>
      <c r="T42" s="167"/>
      <c r="U42" s="167"/>
      <c r="V42" s="167"/>
      <c r="W42" s="167"/>
      <c r="X42" s="168"/>
      <c r="Y42" s="169"/>
      <c r="Z42" s="167"/>
      <c r="AA42" s="167"/>
      <c r="AB42" s="168"/>
      <c r="AC42" s="169"/>
      <c r="AD42" s="167"/>
      <c r="AE42" s="167"/>
      <c r="AF42" s="167"/>
      <c r="AG42" s="168"/>
      <c r="AH42" s="169"/>
      <c r="AI42" s="167"/>
      <c r="AJ42" s="167"/>
      <c r="AK42" s="168"/>
      <c r="AL42" s="169"/>
      <c r="AM42" s="167"/>
      <c r="AN42" s="167"/>
      <c r="AO42" s="172"/>
      <c r="AP42" s="28"/>
      <c r="AQ42" s="163" t="str">
        <f>IF(V10=0,"서있거나 컵을 들 힘조차 없음.",(IF(AND(1&lt;=V10,30&gt;V10),"힘없고 허약한 사람.",IF(AND(30&lt;=V10,70&gt;V10),"평균적 근력의 소유자.",(IF(AND(70&lt;=V10,85&gt;V10),"근력이 좋은 사람.",(IF(AND(85&lt;=V10,99&gt;V10),"보기 드물게 강한 사람.",(IF(V10=99,"인간의 한계에 다다른 강한 근력."))))))))))</f>
        <v>서있거나 컵을 들 힘조차 없음.</v>
      </c>
      <c r="AR42" s="164"/>
      <c r="AS42" s="164"/>
      <c r="AT42" s="164"/>
      <c r="AU42" s="164"/>
      <c r="AV42" s="164"/>
      <c r="AW42" s="164"/>
      <c r="AX42" s="164"/>
      <c r="AY42" s="164"/>
      <c r="AZ42" s="164"/>
      <c r="BA42" s="164"/>
      <c r="BB42" s="165"/>
      <c r="BC42" s="3"/>
    </row>
    <row r="43" ht="13.5" customHeight="1">
      <c r="A43" s="22"/>
      <c r="B43" s="173"/>
      <c r="C43" s="167"/>
      <c r="D43" s="167"/>
      <c r="E43" s="167"/>
      <c r="F43" s="167"/>
      <c r="G43" s="167"/>
      <c r="H43" s="167"/>
      <c r="I43" s="168"/>
      <c r="J43" s="169"/>
      <c r="K43" s="167"/>
      <c r="L43" s="168"/>
      <c r="M43" s="170">
        <f t="shared" si="16"/>
        <v>0</v>
      </c>
      <c r="N43" s="167"/>
      <c r="O43" s="168"/>
      <c r="P43" s="170">
        <f t="shared" si="17"/>
        <v>0</v>
      </c>
      <c r="Q43" s="167"/>
      <c r="R43" s="168"/>
      <c r="S43" s="169"/>
      <c r="T43" s="167"/>
      <c r="U43" s="167"/>
      <c r="V43" s="167"/>
      <c r="W43" s="167"/>
      <c r="X43" s="168"/>
      <c r="Y43" s="169"/>
      <c r="Z43" s="167"/>
      <c r="AA43" s="167"/>
      <c r="AB43" s="168"/>
      <c r="AC43" s="169"/>
      <c r="AD43" s="167"/>
      <c r="AE43" s="167"/>
      <c r="AF43" s="167"/>
      <c r="AG43" s="168"/>
      <c r="AH43" s="169"/>
      <c r="AI43" s="167"/>
      <c r="AJ43" s="167"/>
      <c r="AK43" s="168"/>
      <c r="AL43" s="169"/>
      <c r="AM43" s="167"/>
      <c r="AN43" s="167"/>
      <c r="AO43" s="172"/>
      <c r="AP43" s="28"/>
      <c r="AQ43" s="163" t="str">
        <f>IF(V12=0,"산 송장.",(IF(AND(1&lt;=V12,10&gt;V12),"병자. 혼자 움직일 수 없음.",(IF(AND(10&lt;=V12,30&gt;V12),"건강 나쁨. 면역력이 아주 약하다.",IF(AND(30&lt;=V12,70&gt;V12),"평균적으로 건강한 사람.",(IF(AND(70&lt;=V12,99&gt;V12),"잔병치레 없는 수준의 건강함.",(IF(V12=99,"철의 인간, 엄청나게 건강."))))))))))</f>
        <v>산 송장.</v>
      </c>
      <c r="AR43" s="164"/>
      <c r="AS43" s="164"/>
      <c r="AT43" s="164"/>
      <c r="AU43" s="164"/>
      <c r="AV43" s="164"/>
      <c r="AW43" s="164"/>
      <c r="AX43" s="164"/>
      <c r="AY43" s="164"/>
      <c r="AZ43" s="164"/>
      <c r="BA43" s="164"/>
      <c r="BB43" s="165"/>
      <c r="BC43" s="3"/>
    </row>
    <row r="44" ht="13.5" customHeight="1">
      <c r="A44" s="22"/>
      <c r="B44" s="173"/>
      <c r="C44" s="167"/>
      <c r="D44" s="167"/>
      <c r="E44" s="167"/>
      <c r="F44" s="167"/>
      <c r="G44" s="167"/>
      <c r="H44" s="167"/>
      <c r="I44" s="168"/>
      <c r="J44" s="169"/>
      <c r="K44" s="167"/>
      <c r="L44" s="168"/>
      <c r="M44" s="174">
        <f t="shared" si="16"/>
        <v>0</v>
      </c>
      <c r="N44" s="167"/>
      <c r="O44" s="168"/>
      <c r="P44" s="174">
        <f t="shared" si="17"/>
        <v>0</v>
      </c>
      <c r="Q44" s="167"/>
      <c r="R44" s="168"/>
      <c r="S44" s="169"/>
      <c r="T44" s="167"/>
      <c r="U44" s="167"/>
      <c r="V44" s="167"/>
      <c r="W44" s="167"/>
      <c r="X44" s="168"/>
      <c r="Y44" s="169"/>
      <c r="Z44" s="167"/>
      <c r="AA44" s="167"/>
      <c r="AB44" s="168"/>
      <c r="AC44" s="169"/>
      <c r="AD44" s="167"/>
      <c r="AE44" s="167"/>
      <c r="AF44" s="167"/>
      <c r="AG44" s="168"/>
      <c r="AH44" s="169"/>
      <c r="AI44" s="167"/>
      <c r="AJ44" s="167"/>
      <c r="AK44" s="168"/>
      <c r="AL44" s="169"/>
      <c r="AM44" s="167"/>
      <c r="AN44" s="167"/>
      <c r="AO44" s="172"/>
      <c r="AP44" s="28"/>
      <c r="AQ44" s="163" t="str">
        <f>IF(AL12=0,"갓난아기 수준의 교육.",(IF(AND(1&lt;=AL12,30&gt;AL12),"제대로 된 교육을 받지 못했다.",IF(AND(30&lt;=AL12,70&gt;AL12),"평균적인 수준의 교육을 받음.",(IF(AND(70&lt;=AL12,85&gt;AL12),"대졸 수준 이상의 교육을 받음.",(IF(AND(85&lt;=AL12,99&gt;AL12),"교육받은 분야의 전문가.",(IF(AL12=99,"세계적으로 저명한 엘리트."))))))))))</f>
        <v>갓난아기 수준의 교육.</v>
      </c>
      <c r="AR44" s="164"/>
      <c r="AS44" s="164"/>
      <c r="AT44" s="164"/>
      <c r="AU44" s="164"/>
      <c r="AV44" s="164"/>
      <c r="AW44" s="164"/>
      <c r="AX44" s="164"/>
      <c r="AY44" s="164"/>
      <c r="AZ44" s="164"/>
      <c r="BA44" s="164"/>
      <c r="BB44" s="165"/>
      <c r="BC44" s="3"/>
    </row>
    <row r="45" ht="13.5" customHeight="1">
      <c r="A45" s="22"/>
      <c r="B45" s="173"/>
      <c r="C45" s="167"/>
      <c r="D45" s="167"/>
      <c r="E45" s="167"/>
      <c r="F45" s="167"/>
      <c r="G45" s="167"/>
      <c r="H45" s="167"/>
      <c r="I45" s="168"/>
      <c r="J45" s="169"/>
      <c r="K45" s="167"/>
      <c r="L45" s="168"/>
      <c r="M45" s="174">
        <f t="shared" si="16"/>
        <v>0</v>
      </c>
      <c r="N45" s="167"/>
      <c r="O45" s="168"/>
      <c r="P45" s="174">
        <f t="shared" si="17"/>
        <v>0</v>
      </c>
      <c r="Q45" s="167"/>
      <c r="R45" s="168"/>
      <c r="S45" s="169"/>
      <c r="T45" s="167"/>
      <c r="U45" s="167"/>
      <c r="V45" s="167"/>
      <c r="W45" s="167"/>
      <c r="X45" s="168"/>
      <c r="Y45" s="169"/>
      <c r="Z45" s="167"/>
      <c r="AA45" s="167"/>
      <c r="AB45" s="168"/>
      <c r="AC45" s="169"/>
      <c r="AD45" s="167"/>
      <c r="AE45" s="167"/>
      <c r="AF45" s="167"/>
      <c r="AG45" s="168"/>
      <c r="AH45" s="169"/>
      <c r="AI45" s="167"/>
      <c r="AJ45" s="167"/>
      <c r="AK45" s="168"/>
      <c r="AL45" s="169"/>
      <c r="AM45" s="167"/>
      <c r="AN45" s="167"/>
      <c r="AO45" s="172"/>
      <c r="AP45" s="28"/>
      <c r="AQ45" s="163" t="str">
        <f>IF(AD10=0,"도움이 없이는 움직일 수 없다.",(IF(AND(1&lt;=AD10,30&gt;AD10),"느리고 덤벙대며 둔하다.",IF(AND(30&lt;=AD10,70&gt;AD10),"일반 사람의 민첩성.",(IF(AND(70&lt;=AD10,85&gt;AD10),"민첩하고 반응속도가 빠른 사람.",(IF(AND(85&lt;=AD10,99&gt;AD10),"국가대표 체조 선수 수준의 민첩성.",(IF(AD10=99,"세계 최고 민첩성의 소유자."))))))))))</f>
        <v>도움이 없이는 움직일 수 없다.</v>
      </c>
      <c r="AR45" s="164"/>
      <c r="AS45" s="164"/>
      <c r="AT45" s="164"/>
      <c r="AU45" s="164"/>
      <c r="AV45" s="164"/>
      <c r="AW45" s="164"/>
      <c r="AX45" s="164"/>
      <c r="AY45" s="164"/>
      <c r="AZ45" s="164"/>
      <c r="BA45" s="164"/>
      <c r="BB45" s="165"/>
      <c r="BC45" s="3"/>
    </row>
    <row r="46" ht="13.5" customHeight="1">
      <c r="A46" s="22"/>
      <c r="B46" s="173"/>
      <c r="C46" s="167"/>
      <c r="D46" s="167"/>
      <c r="E46" s="167"/>
      <c r="F46" s="167"/>
      <c r="G46" s="167"/>
      <c r="H46" s="167"/>
      <c r="I46" s="168"/>
      <c r="J46" s="169"/>
      <c r="K46" s="167"/>
      <c r="L46" s="168"/>
      <c r="M46" s="174">
        <f t="shared" si="16"/>
        <v>0</v>
      </c>
      <c r="N46" s="167"/>
      <c r="O46" s="168"/>
      <c r="P46" s="174">
        <f t="shared" si="17"/>
        <v>0</v>
      </c>
      <c r="Q46" s="167"/>
      <c r="R46" s="168"/>
      <c r="S46" s="169"/>
      <c r="T46" s="167"/>
      <c r="U46" s="167"/>
      <c r="V46" s="167"/>
      <c r="W46" s="167"/>
      <c r="X46" s="168"/>
      <c r="Y46" s="169"/>
      <c r="Z46" s="167"/>
      <c r="AA46" s="167"/>
      <c r="AB46" s="168"/>
      <c r="AC46" s="169"/>
      <c r="AD46" s="167"/>
      <c r="AE46" s="167"/>
      <c r="AF46" s="167"/>
      <c r="AG46" s="168"/>
      <c r="AH46" s="169"/>
      <c r="AI46" s="167"/>
      <c r="AJ46" s="167"/>
      <c r="AK46" s="168"/>
      <c r="AL46" s="169"/>
      <c r="AM46" s="167"/>
      <c r="AN46" s="167"/>
      <c r="AO46" s="172"/>
      <c r="AP46" s="28"/>
      <c r="AQ46" s="163" t="str">
        <f>IF(AD14=0,"주변의 아무 것도 이해하지 못함.",(IF(AND(1&lt;=AD14,30&gt;AD14),"배우는 것이 느림, 기초적 학습만 가능.",IF(AND(30&lt;=AD14,70&gt;AD14),"보통 사람의 아이큐.",(IF(AND(70&lt;=AD14,85&gt;AD14),"재치가 있고 머리회전이 빠르다.",(IF(AND(85&lt;=AD14,99&gt;AD14),"머리가 좋아 다양한 지식을 가지고 있다.",(IF(AD14=99,"아인슈타인 수준의 두뇌."))))))))))</f>
        <v>주변의 아무 것도 이해하지 못함.</v>
      </c>
      <c r="AR46" s="164"/>
      <c r="AS46" s="164"/>
      <c r="AT46" s="164"/>
      <c r="AU46" s="164"/>
      <c r="AV46" s="164"/>
      <c r="AW46" s="164"/>
      <c r="AX46" s="164"/>
      <c r="AY46" s="164"/>
      <c r="AZ46" s="164"/>
      <c r="BA46" s="164"/>
      <c r="BB46" s="165"/>
      <c r="BC46" s="3"/>
    </row>
    <row r="47" ht="13.5" customHeight="1">
      <c r="A47" s="22"/>
      <c r="B47" s="175"/>
      <c r="C47" s="176"/>
      <c r="D47" s="176"/>
      <c r="E47" s="176"/>
      <c r="F47" s="176"/>
      <c r="G47" s="176"/>
      <c r="H47" s="176"/>
      <c r="I47" s="177"/>
      <c r="J47" s="178"/>
      <c r="K47" s="176"/>
      <c r="L47" s="177"/>
      <c r="M47" s="179">
        <f t="shared" si="16"/>
        <v>0</v>
      </c>
      <c r="N47" s="176"/>
      <c r="O47" s="177"/>
      <c r="P47" s="179">
        <f t="shared" si="17"/>
        <v>0</v>
      </c>
      <c r="Q47" s="176"/>
      <c r="R47" s="177"/>
      <c r="S47" s="178"/>
      <c r="T47" s="176"/>
      <c r="U47" s="176"/>
      <c r="V47" s="176"/>
      <c r="W47" s="176"/>
      <c r="X47" s="177"/>
      <c r="Y47" s="178"/>
      <c r="Z47" s="176"/>
      <c r="AA47" s="176"/>
      <c r="AB47" s="177"/>
      <c r="AC47" s="178"/>
      <c r="AD47" s="176"/>
      <c r="AE47" s="176"/>
      <c r="AF47" s="176"/>
      <c r="AG47" s="177"/>
      <c r="AH47" s="178"/>
      <c r="AI47" s="176"/>
      <c r="AJ47" s="176"/>
      <c r="AK47" s="177"/>
      <c r="AL47" s="178"/>
      <c r="AM47" s="176"/>
      <c r="AN47" s="176"/>
      <c r="AO47" s="180"/>
      <c r="AP47" s="28"/>
      <c r="AQ47" s="163" t="str">
        <f>IF(AL10=0,"어떠한 의지도 의욕도 없는 사람.",(IF(AND(1&lt;=AL10,30&gt;AL10),"의지가 약하고 남들에게 곧잘 휘둘림.",IF(AND(30&lt;=AL10,70&gt;AL10),"보통 사람의 의지를 가졌다.",(IF(AND(70&lt;=AL10,85&gt;AL10),"의지가 강한 사람.",(IF(AND(85&lt;=AL10,99&gt;AL10),"아주 높은 정신력, 영적 감이 있을 수도.",(IF(AL10=99,"철의 의지. 이세계와 깊게 연관됨."))))))))))</f>
        <v>어떠한 의지도 의욕도 없는 사람.</v>
      </c>
      <c r="AR47" s="164"/>
      <c r="AS47" s="164"/>
      <c r="AT47" s="164"/>
      <c r="AU47" s="164"/>
      <c r="AV47" s="164"/>
      <c r="AW47" s="164"/>
      <c r="AX47" s="164"/>
      <c r="AY47" s="164"/>
      <c r="AZ47" s="164"/>
      <c r="BA47" s="164"/>
      <c r="BB47" s="165"/>
      <c r="BC47" s="3"/>
    </row>
    <row r="48" ht="13.5" customHeight="1">
      <c r="A48" s="22"/>
      <c r="B48" s="181" t="s">
        <v>125</v>
      </c>
      <c r="C48" s="24"/>
      <c r="D48" s="24"/>
      <c r="E48" s="24"/>
      <c r="F48" s="24"/>
      <c r="G48" s="24"/>
      <c r="H48" s="24"/>
      <c r="I48" s="24"/>
      <c r="J48" s="24"/>
      <c r="K48" s="24"/>
      <c r="L48" s="24"/>
      <c r="M48" s="24"/>
      <c r="N48" s="24"/>
      <c r="O48" s="24"/>
      <c r="P48" s="24"/>
      <c r="Q48" s="24"/>
      <c r="R48" s="24"/>
      <c r="S48" s="24"/>
      <c r="T48" s="24"/>
      <c r="U48" s="182"/>
      <c r="V48" s="183" t="s">
        <v>126</v>
      </c>
      <c r="W48" s="24"/>
      <c r="X48" s="24"/>
      <c r="Y48" s="24"/>
      <c r="Z48" s="24"/>
      <c r="AA48" s="24"/>
      <c r="AB48" s="24"/>
      <c r="AC48" s="24"/>
      <c r="AD48" s="24"/>
      <c r="AE48" s="24"/>
      <c r="AF48" s="24"/>
      <c r="AG48" s="24"/>
      <c r="AH48" s="24"/>
      <c r="AI48" s="24"/>
      <c r="AJ48" s="24"/>
      <c r="AK48" s="24"/>
      <c r="AL48" s="24"/>
      <c r="AM48" s="24"/>
      <c r="AN48" s="24"/>
      <c r="AO48" s="182"/>
      <c r="AP48" s="28"/>
      <c r="AQ48" s="184"/>
      <c r="AR48" s="185"/>
      <c r="AS48" s="185"/>
      <c r="AT48" s="185"/>
      <c r="AU48" s="185"/>
      <c r="AV48" s="185"/>
      <c r="AW48" s="185"/>
      <c r="AX48" s="185"/>
      <c r="AY48" s="185"/>
      <c r="AZ48" s="185"/>
      <c r="BA48" s="185"/>
      <c r="BB48" s="186"/>
      <c r="BC48" s="3"/>
    </row>
    <row r="49" ht="13.5" customHeight="1">
      <c r="A49" s="22"/>
      <c r="B49" s="30"/>
      <c r="C49" s="31"/>
      <c r="D49" s="31"/>
      <c r="E49" s="31"/>
      <c r="F49" s="31"/>
      <c r="G49" s="31"/>
      <c r="H49" s="31"/>
      <c r="I49" s="31"/>
      <c r="J49" s="31"/>
      <c r="K49" s="31"/>
      <c r="L49" s="31"/>
      <c r="M49" s="31"/>
      <c r="N49" s="31"/>
      <c r="O49" s="31"/>
      <c r="P49" s="31"/>
      <c r="Q49" s="31"/>
      <c r="R49" s="31"/>
      <c r="S49" s="31"/>
      <c r="T49" s="31"/>
      <c r="U49" s="187"/>
      <c r="V49" s="188"/>
      <c r="W49" s="31"/>
      <c r="X49" s="31"/>
      <c r="Y49" s="31"/>
      <c r="Z49" s="31"/>
      <c r="AA49" s="31"/>
      <c r="AB49" s="31"/>
      <c r="AC49" s="31"/>
      <c r="AD49" s="31"/>
      <c r="AE49" s="31"/>
      <c r="AF49" s="31"/>
      <c r="AG49" s="31"/>
      <c r="AH49" s="31"/>
      <c r="AI49" s="31"/>
      <c r="AJ49" s="31"/>
      <c r="AK49" s="31"/>
      <c r="AL49" s="31"/>
      <c r="AM49" s="31"/>
      <c r="AN49" s="31"/>
      <c r="AO49" s="189"/>
      <c r="AP49" s="28"/>
      <c r="AQ49" s="190" t="s">
        <v>127</v>
      </c>
      <c r="AR49" s="185"/>
      <c r="AS49" s="185"/>
      <c r="AT49" s="185"/>
      <c r="AU49" s="185"/>
      <c r="AV49" s="185"/>
      <c r="AW49" s="185"/>
      <c r="AX49" s="185"/>
      <c r="AY49" s="185"/>
      <c r="AZ49" s="185"/>
      <c r="BA49" s="185"/>
      <c r="BB49" s="191"/>
      <c r="BC49" s="3"/>
    </row>
    <row r="50" ht="17.25" customHeight="1">
      <c r="A50" s="22"/>
      <c r="B50" s="192"/>
      <c r="C50" s="24"/>
      <c r="D50" s="24"/>
      <c r="E50" s="24"/>
      <c r="F50" s="193"/>
      <c r="G50" s="194"/>
      <c r="H50" s="24"/>
      <c r="I50" s="24"/>
      <c r="J50" s="24"/>
      <c r="K50" s="193"/>
      <c r="L50" s="194"/>
      <c r="M50" s="24"/>
      <c r="N50" s="24"/>
      <c r="O50" s="24"/>
      <c r="P50" s="193"/>
      <c r="Q50" s="195"/>
      <c r="U50" s="15"/>
      <c r="V50" s="196"/>
      <c r="W50" s="24"/>
      <c r="X50" s="24"/>
      <c r="Y50" s="24"/>
      <c r="Z50" s="193"/>
      <c r="AA50" s="192"/>
      <c r="AB50" s="24"/>
      <c r="AC50" s="24"/>
      <c r="AD50" s="24"/>
      <c r="AE50" s="193"/>
      <c r="AF50" s="194"/>
      <c r="AG50" s="24"/>
      <c r="AH50" s="24"/>
      <c r="AI50" s="24"/>
      <c r="AJ50" s="193"/>
      <c r="AK50" s="194"/>
      <c r="AL50" s="24"/>
      <c r="AM50" s="24"/>
      <c r="AN50" s="24"/>
      <c r="AO50" s="25"/>
      <c r="AP50" s="28"/>
      <c r="AQ50" s="197" t="str">
        <f>if(or(BB49&gt;10,BB49&lt;0),"잘못된 숫자를 넣으셨습니다.",
if(BB49=1,"인심이 좋습니다.",
if(BB49=2,"동물의 친구입니다.",
if(BB49=3,"몽상가입니다.",
if(BB49=4,"쾌락주의자입니다.",
if(BB49=5,"과감한 승부사입니다.",
if(BB49=6,"유능한 요리사입니다.",
if(BB49=7,"바람둥이입니다.",
if(BB49=8,"충직합니다.",
if(BB49=9,"평판이 좋습니다.",
if(BB49=10,"야심가입니다.", "당신의 성격은 무엇인가요?")))))))))))</f>
        <v>당신의 성격은 무엇인가요?</v>
      </c>
      <c r="AR50" s="185"/>
      <c r="AS50" s="185"/>
      <c r="AT50" s="185"/>
      <c r="AU50" s="185"/>
      <c r="AV50" s="185"/>
      <c r="AW50" s="185"/>
      <c r="AX50" s="185"/>
      <c r="AY50" s="185"/>
      <c r="AZ50" s="185"/>
      <c r="BA50" s="185"/>
      <c r="BB50" s="185"/>
      <c r="BC50" s="3"/>
    </row>
    <row r="51" ht="13.5" customHeight="1">
      <c r="A51" s="22"/>
      <c r="B51" s="198"/>
      <c r="C51" s="199"/>
      <c r="D51" s="199"/>
      <c r="E51" s="199"/>
      <c r="F51" s="200"/>
      <c r="G51" s="201"/>
      <c r="H51" s="199"/>
      <c r="I51" s="199"/>
      <c r="J51" s="199"/>
      <c r="K51" s="200"/>
      <c r="L51" s="201"/>
      <c r="M51" s="199"/>
      <c r="N51" s="199"/>
      <c r="O51" s="199"/>
      <c r="P51" s="200"/>
      <c r="U51" s="15"/>
      <c r="V51" s="199"/>
      <c r="W51" s="199"/>
      <c r="X51" s="199"/>
      <c r="Y51" s="199"/>
      <c r="Z51" s="200"/>
      <c r="AA51" s="198"/>
      <c r="AB51" s="199"/>
      <c r="AC51" s="199"/>
      <c r="AD51" s="199"/>
      <c r="AE51" s="200"/>
      <c r="AF51" s="201"/>
      <c r="AG51" s="199"/>
      <c r="AH51" s="199"/>
      <c r="AI51" s="199"/>
      <c r="AJ51" s="200"/>
      <c r="AK51" s="201"/>
      <c r="AL51" s="199"/>
      <c r="AM51" s="199"/>
      <c r="AN51" s="199"/>
      <c r="AO51" s="202"/>
      <c r="AP51" s="28"/>
      <c r="AQ51" s="203" t="s">
        <v>128</v>
      </c>
      <c r="AR51" s="105"/>
      <c r="AS51" s="105"/>
      <c r="AT51" s="105"/>
      <c r="AU51" s="105"/>
      <c r="AV51" s="105"/>
      <c r="AW51" s="105"/>
      <c r="AX51" s="105"/>
      <c r="AY51" s="105"/>
      <c r="AZ51" s="105"/>
      <c r="BA51" s="105"/>
      <c r="BB51" s="191"/>
      <c r="BC51" s="3"/>
    </row>
    <row r="52" ht="13.5" customHeight="1">
      <c r="A52" s="22"/>
      <c r="B52" s="204"/>
      <c r="C52" s="205"/>
      <c r="D52" s="205"/>
      <c r="E52" s="205"/>
      <c r="F52" s="206"/>
      <c r="G52" s="207"/>
      <c r="H52" s="205"/>
      <c r="I52" s="205"/>
      <c r="J52" s="205"/>
      <c r="K52" s="206"/>
      <c r="L52" s="207"/>
      <c r="M52" s="205"/>
      <c r="N52" s="205"/>
      <c r="O52" s="205"/>
      <c r="P52" s="206"/>
      <c r="Q52" s="208"/>
      <c r="U52" s="209"/>
      <c r="V52" s="210" t="s">
        <v>129</v>
      </c>
      <c r="W52" s="105"/>
      <c r="X52" s="105"/>
      <c r="Y52" s="105"/>
      <c r="Z52" s="105"/>
      <c r="AA52" s="105"/>
      <c r="AB52" s="105"/>
      <c r="AC52" s="105"/>
      <c r="AD52" s="105"/>
      <c r="AE52" s="105"/>
      <c r="AF52" s="105"/>
      <c r="AG52" s="105"/>
      <c r="AH52" s="105"/>
      <c r="AI52" s="105"/>
      <c r="AJ52" s="105"/>
      <c r="AK52" s="105"/>
      <c r="AL52" s="105"/>
      <c r="AM52" s="105"/>
      <c r="AN52" s="107"/>
      <c r="AO52" s="211"/>
      <c r="AP52" s="28"/>
      <c r="AQ52" s="212" t="str">
        <f>if(or(BB51&gt;10,BB51&lt;0),"잘못된 숫자를 넣으셨습니다.",
if(BB51=1,"숭배하고 기도하는 초월적인 존재가 있습니다.",
if(BB51=2,"인류는 종교 없이도 잘 살 수 있습니다.",
if(BB51=3,"과학이 모든 것의 해답입니다.",
if(BB51=4,"운명을 극적으로 믿습니다.",
if(BB51=5,"사회단체 또는 비밀 단체에 소속되어 있습니다.",
if(BB51=6,"사회에 뿌리 뽑아야 할 악이 있습니다.",
if(BB51=7,"오컬트를 믿습니다.",
if(BB51=8,"세상만사에 관심이 많습니다.",
if(BB51=9,"돈이 권력이고 세속적인 욕심이 강합니다.",
if(BB51=10,"운동가 또는 활동가로 활약하고 있습니다.",
"당신의 사상이나 신념은 무엇인가요?")))))))))))</f>
        <v>당신의 사상이나 신념은 무엇인가요?</v>
      </c>
      <c r="AR52" s="185"/>
      <c r="AS52" s="185"/>
      <c r="AT52" s="185"/>
      <c r="AU52" s="185"/>
      <c r="AV52" s="185"/>
      <c r="AW52" s="185"/>
      <c r="AX52" s="185"/>
      <c r="AY52" s="185"/>
      <c r="AZ52" s="185"/>
      <c r="BA52" s="185"/>
      <c r="BB52" s="185"/>
      <c r="BC52" s="3"/>
    </row>
    <row r="53" ht="13.5" customHeight="1">
      <c r="A53" s="22"/>
      <c r="B53" s="30"/>
      <c r="C53" s="31"/>
      <c r="D53" s="31"/>
      <c r="E53" s="31"/>
      <c r="F53" s="213"/>
      <c r="G53" s="214"/>
      <c r="H53" s="31"/>
      <c r="I53" s="31"/>
      <c r="J53" s="31"/>
      <c r="K53" s="213"/>
      <c r="L53" s="214"/>
      <c r="M53" s="31"/>
      <c r="N53" s="31"/>
      <c r="O53" s="31"/>
      <c r="P53" s="213"/>
      <c r="Q53" s="214"/>
      <c r="R53" s="31"/>
      <c r="S53" s="31"/>
      <c r="T53" s="31"/>
      <c r="U53" s="32"/>
      <c r="V53" s="215" t="str">
        <f>if(or(AO52&gt;10,AO52&lt;0),"잘못된 숫자를 넣으셨습니다.",
if(AO52=1,"갚을 은혜가 있습니다.",
if(AO52=2,"배운 것이 있습니다.",
if(AO52=3,"삶에 의미를 주었습니다.",
if(AO52=4,"잘못한 것이 있어서 속죄하려고 합니다.",
if(AO52=5,"공유한 경험이 있습니다.",
if(AO52=6,"인정을 받고 싶습니다.",
if(AO52=7,"동경하고 숭배합니다.",
if(AO52=8,"회한(두고두고 후회함)이 있습니다.",
if(AO52=9,"자신이 그 사람보다 나은 인간임을 증명하고 싶습니다.",
if(AO52=10,"해를 끼친 사람에게 복수하고 싶습니다.",
"왜 그 사람을 중요하게 여기시나요?")))))))))))</f>
        <v>왜 그 사람을 중요하게 여기시나요?</v>
      </c>
      <c r="W53" s="105"/>
      <c r="X53" s="105"/>
      <c r="Y53" s="105"/>
      <c r="Z53" s="105"/>
      <c r="AA53" s="105"/>
      <c r="AB53" s="105"/>
      <c r="AC53" s="105"/>
      <c r="AD53" s="105"/>
      <c r="AE53" s="105"/>
      <c r="AF53" s="105"/>
      <c r="AG53" s="105"/>
      <c r="AH53" s="105"/>
      <c r="AI53" s="105"/>
      <c r="AJ53" s="105"/>
      <c r="AK53" s="105"/>
      <c r="AL53" s="105"/>
      <c r="AM53" s="105"/>
      <c r="AN53" s="105"/>
      <c r="AO53" s="107"/>
      <c r="AP53" s="28"/>
      <c r="AQ53" s="216" t="s">
        <v>130</v>
      </c>
      <c r="AR53" s="105"/>
      <c r="AS53" s="105"/>
      <c r="AT53" s="105"/>
      <c r="AU53" s="105"/>
      <c r="AV53" s="105"/>
      <c r="AW53" s="105"/>
      <c r="AX53" s="107"/>
      <c r="AY53" s="217"/>
      <c r="AZ53" s="105"/>
      <c r="BA53" s="105"/>
      <c r="BB53" s="107"/>
      <c r="BC53" s="3"/>
    </row>
    <row r="54" ht="13.5" customHeight="1">
      <c r="A54" s="2"/>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3"/>
      <c r="AD54" s="53"/>
      <c r="AE54" s="53"/>
      <c r="AF54" s="53"/>
      <c r="AG54" s="53"/>
      <c r="AH54" s="53"/>
      <c r="AI54" s="53"/>
      <c r="AJ54" s="53"/>
      <c r="AK54" s="53"/>
      <c r="AL54" s="53"/>
      <c r="AM54" s="53"/>
      <c r="AN54" s="53"/>
      <c r="AO54" s="53"/>
      <c r="AP54" s="218"/>
      <c r="AQ54" s="218"/>
      <c r="AR54" s="218"/>
      <c r="AS54" s="218"/>
      <c r="AT54" s="218"/>
      <c r="AU54" s="218"/>
      <c r="AV54" s="218"/>
      <c r="AW54" s="218"/>
      <c r="AX54" s="218"/>
      <c r="AY54" s="218"/>
      <c r="AZ54" s="218"/>
      <c r="BA54" s="218"/>
      <c r="BB54" s="218"/>
      <c r="BC54" s="3"/>
    </row>
    <row r="55" ht="15.75" customHeight="1">
      <c r="A55" s="219"/>
      <c r="B55" s="220" t="s">
        <v>131</v>
      </c>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5"/>
      <c r="BC55" s="221"/>
    </row>
    <row r="56" ht="15.75" customHeight="1">
      <c r="A56" s="219"/>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2"/>
      <c r="BC56" s="221"/>
    </row>
    <row r="57" ht="15.75" customHeight="1">
      <c r="A57" s="219"/>
      <c r="B57" s="222" t="s">
        <v>132</v>
      </c>
      <c r="C57" s="24"/>
      <c r="D57" s="24"/>
      <c r="E57" s="24"/>
      <c r="F57" s="24"/>
      <c r="G57" s="24"/>
      <c r="H57" s="24"/>
      <c r="I57" s="24"/>
      <c r="J57" s="24"/>
      <c r="K57" s="24"/>
      <c r="L57" s="24"/>
      <c r="M57" s="24"/>
      <c r="N57" s="24"/>
      <c r="O57" s="24"/>
      <c r="P57" s="24"/>
      <c r="Q57" s="24"/>
      <c r="R57" s="25"/>
      <c r="S57" s="223" t="s">
        <v>127</v>
      </c>
      <c r="T57" s="24"/>
      <c r="U57" s="24"/>
      <c r="V57" s="24"/>
      <c r="W57" s="24"/>
      <c r="X57" s="24"/>
      <c r="Y57" s="24"/>
      <c r="Z57" s="24"/>
      <c r="AA57" s="24"/>
      <c r="AB57" s="24"/>
      <c r="AC57" s="24"/>
      <c r="AD57" s="24"/>
      <c r="AE57" s="24"/>
      <c r="AF57" s="24"/>
      <c r="AG57" s="24"/>
      <c r="AH57" s="24"/>
      <c r="AI57" s="25"/>
      <c r="AJ57" s="222" t="s">
        <v>133</v>
      </c>
      <c r="AK57" s="24"/>
      <c r="AL57" s="24"/>
      <c r="AM57" s="24"/>
      <c r="AN57" s="24"/>
      <c r="AO57" s="24"/>
      <c r="AP57" s="24"/>
      <c r="AQ57" s="24"/>
      <c r="AR57" s="24"/>
      <c r="AS57" s="24"/>
      <c r="AT57" s="24"/>
      <c r="AU57" s="24"/>
      <c r="AV57" s="24"/>
      <c r="AW57" s="24"/>
      <c r="AX57" s="24"/>
      <c r="AY57" s="24"/>
      <c r="AZ57" s="24"/>
      <c r="BA57" s="24"/>
      <c r="BB57" s="25"/>
      <c r="BC57" s="221"/>
    </row>
    <row r="58" ht="15.75" customHeight="1">
      <c r="A58" s="219"/>
      <c r="B58" s="224"/>
      <c r="C58" s="5"/>
      <c r="D58" s="5"/>
      <c r="E58" s="5"/>
      <c r="F58" s="5"/>
      <c r="G58" s="5"/>
      <c r="H58" s="5"/>
      <c r="I58" s="5"/>
      <c r="J58" s="5"/>
      <c r="K58" s="5"/>
      <c r="L58" s="5"/>
      <c r="M58" s="5"/>
      <c r="N58" s="5"/>
      <c r="O58" s="5"/>
      <c r="P58" s="5"/>
      <c r="Q58" s="5"/>
      <c r="R58" s="7"/>
      <c r="S58" s="224"/>
      <c r="T58" s="5"/>
      <c r="U58" s="5"/>
      <c r="V58" s="5"/>
      <c r="W58" s="5"/>
      <c r="X58" s="5"/>
      <c r="Y58" s="5"/>
      <c r="Z58" s="5"/>
      <c r="AA58" s="5"/>
      <c r="AB58" s="5"/>
      <c r="AC58" s="5"/>
      <c r="AD58" s="5"/>
      <c r="AE58" s="5"/>
      <c r="AF58" s="5"/>
      <c r="AG58" s="5"/>
      <c r="AH58" s="5"/>
      <c r="AI58" s="7"/>
      <c r="AJ58" s="224"/>
      <c r="AK58" s="5"/>
      <c r="AL58" s="5"/>
      <c r="AM58" s="5"/>
      <c r="AN58" s="5"/>
      <c r="AO58" s="5"/>
      <c r="AP58" s="5"/>
      <c r="AQ58" s="5"/>
      <c r="AR58" s="5"/>
      <c r="AS58" s="5"/>
      <c r="AT58" s="5"/>
      <c r="AU58" s="5"/>
      <c r="AV58" s="5"/>
      <c r="AW58" s="5"/>
      <c r="AX58" s="5"/>
      <c r="AY58" s="5"/>
      <c r="AZ58" s="5"/>
      <c r="BA58" s="5"/>
      <c r="BB58" s="225"/>
      <c r="BC58" s="226"/>
    </row>
    <row r="59" ht="41.25" customHeight="1">
      <c r="A59" s="219"/>
      <c r="B59" s="9"/>
      <c r="R59" s="15"/>
      <c r="S59" s="9"/>
      <c r="AI59" s="15"/>
      <c r="AJ59" s="9"/>
      <c r="BB59" s="209"/>
      <c r="BC59" s="226"/>
    </row>
    <row r="60" ht="15.75" customHeight="1">
      <c r="A60" s="219"/>
      <c r="B60" s="9"/>
      <c r="R60" s="15"/>
      <c r="S60" s="9"/>
      <c r="AI60" s="15"/>
      <c r="AJ60" s="9"/>
      <c r="BB60" s="209"/>
      <c r="BC60" s="226"/>
    </row>
    <row r="61" ht="15.75" customHeight="1">
      <c r="A61" s="219"/>
      <c r="B61" s="9"/>
      <c r="R61" s="15"/>
      <c r="S61" s="9"/>
      <c r="AI61" s="15"/>
      <c r="AJ61" s="9"/>
      <c r="BB61" s="209"/>
      <c r="BC61" s="226"/>
    </row>
    <row r="62" ht="15.75" customHeight="1">
      <c r="A62" s="219"/>
      <c r="B62" s="10"/>
      <c r="C62" s="11"/>
      <c r="D62" s="11"/>
      <c r="E62" s="11"/>
      <c r="F62" s="11"/>
      <c r="G62" s="11"/>
      <c r="H62" s="11"/>
      <c r="I62" s="11"/>
      <c r="J62" s="11"/>
      <c r="K62" s="11"/>
      <c r="L62" s="11"/>
      <c r="M62" s="11"/>
      <c r="N62" s="11"/>
      <c r="O62" s="11"/>
      <c r="P62" s="11"/>
      <c r="Q62" s="11"/>
      <c r="R62" s="12"/>
      <c r="S62" s="10"/>
      <c r="T62" s="11"/>
      <c r="U62" s="11"/>
      <c r="V62" s="11"/>
      <c r="W62" s="11"/>
      <c r="X62" s="11"/>
      <c r="Y62" s="11"/>
      <c r="Z62" s="11"/>
      <c r="AA62" s="11"/>
      <c r="AB62" s="11"/>
      <c r="AC62" s="11"/>
      <c r="AD62" s="11"/>
      <c r="AE62" s="11"/>
      <c r="AF62" s="11"/>
      <c r="AG62" s="11"/>
      <c r="AH62" s="11"/>
      <c r="AI62" s="12"/>
      <c r="AJ62" s="9"/>
      <c r="BB62" s="209"/>
      <c r="BC62" s="226"/>
    </row>
    <row r="63" ht="15.75" customHeight="1">
      <c r="A63" s="219"/>
      <c r="B63" s="227" t="s">
        <v>134</v>
      </c>
      <c r="C63" s="5"/>
      <c r="D63" s="5"/>
      <c r="E63" s="5"/>
      <c r="F63" s="5"/>
      <c r="G63" s="5"/>
      <c r="H63" s="5"/>
      <c r="I63" s="5"/>
      <c r="J63" s="5"/>
      <c r="K63" s="5"/>
      <c r="L63" s="5"/>
      <c r="M63" s="5"/>
      <c r="N63" s="5"/>
      <c r="O63" s="5"/>
      <c r="P63" s="5"/>
      <c r="Q63" s="7"/>
      <c r="R63" s="228"/>
      <c r="S63" s="229" t="s">
        <v>135</v>
      </c>
      <c r="T63" s="5"/>
      <c r="U63" s="5"/>
      <c r="V63" s="7"/>
      <c r="W63" s="229" t="s">
        <v>136</v>
      </c>
      <c r="X63" s="5"/>
      <c r="Y63" s="5"/>
      <c r="Z63" s="7"/>
      <c r="AA63" s="229" t="s">
        <v>137</v>
      </c>
      <c r="AB63" s="5"/>
      <c r="AC63" s="5"/>
      <c r="AD63" s="7"/>
      <c r="AE63" s="229" t="s">
        <v>138</v>
      </c>
      <c r="AF63" s="5"/>
      <c r="AG63" s="5"/>
      <c r="AH63" s="5"/>
      <c r="AI63" s="7"/>
      <c r="AJ63" s="9"/>
      <c r="BB63" s="209"/>
      <c r="BC63" s="226"/>
    </row>
    <row r="64" ht="15.75" customHeight="1">
      <c r="A64" s="219"/>
      <c r="B64" s="10"/>
      <c r="C64" s="11"/>
      <c r="D64" s="11"/>
      <c r="E64" s="11"/>
      <c r="F64" s="11"/>
      <c r="G64" s="11"/>
      <c r="H64" s="11"/>
      <c r="I64" s="11"/>
      <c r="J64" s="11"/>
      <c r="K64" s="11"/>
      <c r="L64" s="11"/>
      <c r="M64" s="11"/>
      <c r="N64" s="11"/>
      <c r="O64" s="11"/>
      <c r="P64" s="11"/>
      <c r="Q64" s="12"/>
      <c r="R64" s="230"/>
      <c r="S64" s="10"/>
      <c r="T64" s="11"/>
      <c r="U64" s="11"/>
      <c r="V64" s="12"/>
      <c r="W64" s="10"/>
      <c r="X64" s="11"/>
      <c r="Y64" s="11"/>
      <c r="Z64" s="12"/>
      <c r="AA64" s="10"/>
      <c r="AB64" s="11"/>
      <c r="AC64" s="11"/>
      <c r="AD64" s="12"/>
      <c r="AE64" s="10"/>
      <c r="AF64" s="11"/>
      <c r="AG64" s="11"/>
      <c r="AH64" s="11"/>
      <c r="AI64" s="12"/>
      <c r="AJ64" s="9"/>
      <c r="BB64" s="209"/>
      <c r="BC64" s="226"/>
    </row>
    <row r="65" ht="15.75" customHeight="1">
      <c r="A65" s="219"/>
      <c r="B65" s="231" t="str">
        <f>if(or(R64&gt;10,R64&lt;0),"잘못된 숫자를 넣으셨습니다.",
if(R64=1,"배움의 장소",
if(R64=2,"고향",
if(R64=3,"첫사랑을 만난 곳",
if(R64=4,"조용한 명상의 장소",
if(R64=5,"사교의 장소",
if(R64=6,"사상 또는 신앙과 관련된 장소",
if(R64=7,"중요한 사람의 무덤",
if(R64=8,"가족의 집",
if(R64=9,"가장 행복했던 시간을 보낸 곳",
if(R64=10,"직장",
"당신에게 의미있었던 장소는 어딘가요?")))))))))))</f>
        <v>당신에게 의미있었던 장소는 어딘가요?</v>
      </c>
      <c r="C65" s="105"/>
      <c r="D65" s="105"/>
      <c r="E65" s="105"/>
      <c r="F65" s="105"/>
      <c r="G65" s="105"/>
      <c r="H65" s="105"/>
      <c r="I65" s="105"/>
      <c r="J65" s="105"/>
      <c r="K65" s="105"/>
      <c r="L65" s="105"/>
      <c r="M65" s="105"/>
      <c r="N65" s="105"/>
      <c r="O65" s="105"/>
      <c r="P65" s="105"/>
      <c r="Q65" s="105"/>
      <c r="R65" s="107"/>
      <c r="S65" s="231" t="str">
        <f>R19</f>
        <v/>
      </c>
      <c r="T65" s="105"/>
      <c r="U65" s="105"/>
      <c r="V65" s="107"/>
      <c r="W65" s="232">
        <f>if((R19)&lt;=0,(10*1.3),if((R19)&lt;=9,(40*1.3),if((R19)&lt;=49,(200*1.3),if((R19)&lt;=89,(1000*1.3),if((R19)&lt;=98,(5000*1.3),100000)))))</f>
        <v>13</v>
      </c>
      <c r="X65" s="105"/>
      <c r="Y65" s="105"/>
      <c r="Z65" s="107"/>
      <c r="AA65" s="232">
        <f>if((R19)&lt;=0,(10*1.3),if((R19)&lt;=9,(R19*20*1.3),if((R19)&lt;=49,(R19*40*1.3),if((R19)&lt;=89,(R19*100*1.3),if((R19)&lt;=98,(R19*400*1.3),(1000000*1.3))))))</f>
        <v>13</v>
      </c>
      <c r="AB65" s="105"/>
      <c r="AC65" s="105"/>
      <c r="AD65" s="107"/>
      <c r="AE65" s="233" t="str">
        <f>if((R19)&lt;=0,"None",if((R19)&lt;=9,(R19*200*1.3),if((R19)&lt;=49,(R19*1000*1.3),if((R19)&lt;=89,(R19*10000*1.3),if((R19)&lt;=98,(R19*40000*1.3),"$100000000+")))))</f>
        <v>None</v>
      </c>
      <c r="AF65" s="105"/>
      <c r="AG65" s="105"/>
      <c r="AH65" s="105"/>
      <c r="AI65" s="107"/>
      <c r="AJ65" s="188"/>
      <c r="AK65" s="31"/>
      <c r="AL65" s="31"/>
      <c r="AM65" s="31"/>
      <c r="AN65" s="31"/>
      <c r="AO65" s="31"/>
      <c r="AP65" s="31"/>
      <c r="AQ65" s="31"/>
      <c r="AR65" s="31"/>
      <c r="AS65" s="31"/>
      <c r="AT65" s="31"/>
      <c r="AU65" s="31"/>
      <c r="AV65" s="31"/>
      <c r="AW65" s="31"/>
      <c r="AX65" s="31"/>
      <c r="AY65" s="31"/>
      <c r="AZ65" s="31"/>
      <c r="BA65" s="31"/>
      <c r="BB65" s="32"/>
      <c r="BC65" s="226"/>
    </row>
    <row r="66" ht="15.75" customHeight="1">
      <c r="A66" s="234"/>
      <c r="B66" s="235"/>
      <c r="C66" s="235"/>
      <c r="D66" s="235"/>
      <c r="E66" s="235"/>
      <c r="F66" s="235"/>
      <c r="G66" s="235"/>
      <c r="H66" s="235"/>
      <c r="I66" s="235"/>
      <c r="J66" s="235"/>
      <c r="K66" s="235"/>
      <c r="L66" s="235"/>
      <c r="M66" s="235"/>
      <c r="N66" s="235"/>
      <c r="O66" s="235"/>
      <c r="P66" s="235"/>
      <c r="Q66" s="235"/>
      <c r="R66" s="235"/>
      <c r="S66" s="235"/>
      <c r="T66" s="235"/>
      <c r="U66" s="235"/>
      <c r="V66" s="235"/>
      <c r="W66" s="235"/>
      <c r="X66" s="235"/>
      <c r="Y66" s="235"/>
      <c r="Z66" s="235"/>
      <c r="AA66" s="235"/>
      <c r="AB66" s="235"/>
      <c r="AC66" s="235"/>
      <c r="AD66" s="235"/>
      <c r="AE66" s="235"/>
      <c r="AF66" s="235"/>
      <c r="AG66" s="235"/>
      <c r="AH66" s="235"/>
      <c r="AI66" s="235"/>
      <c r="AJ66" s="236"/>
      <c r="AK66" s="237"/>
      <c r="AL66" s="238"/>
      <c r="AM66" s="237"/>
      <c r="AN66" s="237"/>
      <c r="AO66" s="237"/>
      <c r="AP66" s="237"/>
      <c r="AQ66" s="237"/>
      <c r="AR66" s="237"/>
      <c r="AS66" s="237"/>
      <c r="AT66" s="237"/>
      <c r="AU66" s="237"/>
      <c r="AV66" s="237"/>
      <c r="AW66" s="237"/>
      <c r="AX66" s="237"/>
      <c r="AY66" s="237"/>
      <c r="AZ66" s="237"/>
      <c r="BA66" s="237"/>
      <c r="BB66" s="237"/>
      <c r="BC66" s="239"/>
    </row>
    <row r="67" ht="15.75" customHeight="1">
      <c r="A67" s="240"/>
      <c r="B67" s="241" t="s">
        <v>139</v>
      </c>
      <c r="C67" s="24"/>
      <c r="D67" s="24"/>
      <c r="E67" s="24"/>
      <c r="F67" s="24"/>
      <c r="G67" s="24"/>
      <c r="H67" s="24"/>
      <c r="I67" s="24"/>
      <c r="J67" s="24"/>
      <c r="K67" s="24"/>
      <c r="L67" s="24"/>
      <c r="M67" s="25"/>
      <c r="N67" s="242" t="s">
        <v>140</v>
      </c>
      <c r="O67" s="24"/>
      <c r="P67" s="24"/>
      <c r="Q67" s="24"/>
      <c r="R67" s="24"/>
      <c r="S67" s="24"/>
      <c r="T67" s="24"/>
      <c r="U67" s="24"/>
      <c r="V67" s="24"/>
      <c r="W67" s="24"/>
      <c r="X67" s="24"/>
      <c r="Y67" s="25"/>
      <c r="Z67" s="242" t="s">
        <v>141</v>
      </c>
      <c r="AA67" s="24"/>
      <c r="AB67" s="24"/>
      <c r="AC67" s="24"/>
      <c r="AD67" s="24"/>
      <c r="AE67" s="24"/>
      <c r="AF67" s="24"/>
      <c r="AG67" s="24"/>
      <c r="AH67" s="24"/>
      <c r="AI67" s="24"/>
      <c r="AJ67" s="24"/>
      <c r="AK67" s="25"/>
      <c r="AL67" s="242" t="s">
        <v>142</v>
      </c>
      <c r="AM67" s="24"/>
      <c r="AN67" s="24"/>
      <c r="AO67" s="24"/>
      <c r="AP67" s="24"/>
      <c r="AQ67" s="24"/>
      <c r="AR67" s="24"/>
      <c r="AS67" s="24"/>
      <c r="AT67" s="24"/>
      <c r="AU67" s="24"/>
      <c r="AV67" s="24"/>
      <c r="AW67" s="25"/>
      <c r="AX67" s="243"/>
      <c r="AY67" s="244" t="s">
        <v>143</v>
      </c>
      <c r="AZ67" s="24"/>
      <c r="BA67" s="24"/>
      <c r="BB67" s="25"/>
      <c r="BC67" s="245"/>
    </row>
    <row r="68" ht="15.75" customHeight="1">
      <c r="A68" s="246"/>
      <c r="B68" s="247"/>
      <c r="C68" s="11"/>
      <c r="D68" s="11"/>
      <c r="E68" s="11"/>
      <c r="F68" s="11"/>
      <c r="G68" s="11"/>
      <c r="H68" s="11"/>
      <c r="I68" s="11"/>
      <c r="J68" s="11"/>
      <c r="K68" s="11"/>
      <c r="L68" s="11"/>
      <c r="M68" s="248"/>
      <c r="N68" s="10"/>
      <c r="O68" s="11"/>
      <c r="P68" s="11"/>
      <c r="Q68" s="11"/>
      <c r="R68" s="11"/>
      <c r="S68" s="11"/>
      <c r="T68" s="11"/>
      <c r="U68" s="11"/>
      <c r="V68" s="11"/>
      <c r="W68" s="11"/>
      <c r="X68" s="11"/>
      <c r="Y68" s="248"/>
      <c r="Z68" s="10"/>
      <c r="AA68" s="11"/>
      <c r="AB68" s="11"/>
      <c r="AC68" s="11"/>
      <c r="AD68" s="11"/>
      <c r="AE68" s="11"/>
      <c r="AF68" s="11"/>
      <c r="AG68" s="11"/>
      <c r="AH68" s="11"/>
      <c r="AI68" s="11"/>
      <c r="AJ68" s="11"/>
      <c r="AK68" s="248"/>
      <c r="AL68" s="10"/>
      <c r="AM68" s="11"/>
      <c r="AN68" s="11"/>
      <c r="AO68" s="11"/>
      <c r="AP68" s="11"/>
      <c r="AQ68" s="11"/>
      <c r="AR68" s="11"/>
      <c r="AS68" s="11"/>
      <c r="AT68" s="11"/>
      <c r="AU68" s="11"/>
      <c r="AV68" s="11"/>
      <c r="AW68" s="248"/>
      <c r="AX68" s="249"/>
      <c r="AY68" s="250"/>
      <c r="BB68" s="209"/>
      <c r="BC68" s="251"/>
    </row>
    <row r="69" ht="15.75" customHeight="1">
      <c r="A69" s="252"/>
      <c r="B69" s="253"/>
      <c r="C69" s="5"/>
      <c r="D69" s="5"/>
      <c r="E69" s="5"/>
      <c r="F69" s="5"/>
      <c r="G69" s="5"/>
      <c r="H69" s="5"/>
      <c r="I69" s="5"/>
      <c r="J69" s="5"/>
      <c r="K69" s="5"/>
      <c r="L69" s="5"/>
      <c r="M69" s="225"/>
      <c r="N69" s="254"/>
      <c r="O69" s="5"/>
      <c r="P69" s="5"/>
      <c r="Q69" s="5"/>
      <c r="R69" s="5"/>
      <c r="S69" s="5"/>
      <c r="T69" s="5"/>
      <c r="U69" s="5"/>
      <c r="V69" s="5"/>
      <c r="W69" s="5"/>
      <c r="X69" s="5"/>
      <c r="Y69" s="225"/>
      <c r="Z69" s="255"/>
      <c r="AA69" s="5"/>
      <c r="AB69" s="5"/>
      <c r="AC69" s="5"/>
      <c r="AD69" s="5"/>
      <c r="AE69" s="5"/>
      <c r="AF69" s="5"/>
      <c r="AG69" s="5"/>
      <c r="AH69" s="5"/>
      <c r="AI69" s="5"/>
      <c r="AJ69" s="5"/>
      <c r="AK69" s="225"/>
      <c r="AL69" s="254"/>
      <c r="AM69" s="5"/>
      <c r="AN69" s="5"/>
      <c r="AO69" s="5"/>
      <c r="AP69" s="5"/>
      <c r="AQ69" s="5"/>
      <c r="AR69" s="5"/>
      <c r="AS69" s="5"/>
      <c r="AT69" s="5"/>
      <c r="AU69" s="5"/>
      <c r="AV69" s="5"/>
      <c r="AW69" s="225"/>
      <c r="AX69" s="256"/>
      <c r="AY69" s="257"/>
      <c r="AZ69" s="5"/>
      <c r="BA69" s="5"/>
      <c r="BB69" s="225"/>
      <c r="BC69" s="258"/>
    </row>
    <row r="70" ht="15.75" customHeight="1">
      <c r="A70" s="259"/>
      <c r="B70" s="250"/>
      <c r="M70" s="209"/>
      <c r="N70" s="260"/>
      <c r="Y70" s="209"/>
      <c r="Z70" s="260"/>
      <c r="AK70" s="209"/>
      <c r="AL70" s="260"/>
      <c r="AW70" s="209"/>
      <c r="AX70" s="256"/>
      <c r="AY70" s="250"/>
      <c r="BB70" s="209"/>
      <c r="BC70" s="258"/>
    </row>
    <row r="71" ht="15.75" customHeight="1">
      <c r="A71" s="259"/>
      <c r="B71" s="250"/>
      <c r="M71" s="209"/>
      <c r="N71" s="260"/>
      <c r="Y71" s="209"/>
      <c r="Z71" s="260"/>
      <c r="AK71" s="209"/>
      <c r="AL71" s="260"/>
      <c r="AW71" s="209"/>
      <c r="AX71" s="256"/>
      <c r="AY71" s="250"/>
      <c r="BB71" s="209"/>
      <c r="BC71" s="258"/>
    </row>
    <row r="72" ht="15.75" customHeight="1">
      <c r="A72" s="259"/>
      <c r="B72" s="30"/>
      <c r="C72" s="31"/>
      <c r="D72" s="31"/>
      <c r="E72" s="31"/>
      <c r="F72" s="31"/>
      <c r="G72" s="31"/>
      <c r="H72" s="31"/>
      <c r="I72" s="31"/>
      <c r="J72" s="31"/>
      <c r="K72" s="31"/>
      <c r="L72" s="31"/>
      <c r="M72" s="32"/>
      <c r="N72" s="261"/>
      <c r="O72" s="31"/>
      <c r="P72" s="31"/>
      <c r="Q72" s="31"/>
      <c r="R72" s="31"/>
      <c r="S72" s="31"/>
      <c r="T72" s="31"/>
      <c r="U72" s="31"/>
      <c r="V72" s="31"/>
      <c r="W72" s="31"/>
      <c r="X72" s="31"/>
      <c r="Y72" s="32"/>
      <c r="Z72" s="261"/>
      <c r="AA72" s="31"/>
      <c r="AB72" s="31"/>
      <c r="AC72" s="31"/>
      <c r="AD72" s="31"/>
      <c r="AE72" s="31"/>
      <c r="AF72" s="31"/>
      <c r="AG72" s="31"/>
      <c r="AH72" s="31"/>
      <c r="AI72" s="31"/>
      <c r="AJ72" s="31"/>
      <c r="AK72" s="32"/>
      <c r="AL72" s="261"/>
      <c r="AM72" s="31"/>
      <c r="AN72" s="31"/>
      <c r="AO72" s="31"/>
      <c r="AP72" s="31"/>
      <c r="AQ72" s="31"/>
      <c r="AR72" s="31"/>
      <c r="AS72" s="31"/>
      <c r="AT72" s="31"/>
      <c r="AU72" s="31"/>
      <c r="AV72" s="31"/>
      <c r="AW72" s="32"/>
      <c r="AX72" s="262"/>
      <c r="AY72" s="30"/>
      <c r="AZ72" s="31"/>
      <c r="BA72" s="31"/>
      <c r="BB72" s="32"/>
      <c r="BC72" s="258"/>
    </row>
    <row r="73" ht="15.75" customHeight="1">
      <c r="A73" s="263"/>
      <c r="B73" s="264"/>
      <c r="C73" s="265"/>
      <c r="D73" s="265"/>
      <c r="E73" s="265"/>
      <c r="F73" s="265"/>
      <c r="G73" s="265"/>
      <c r="H73" s="265"/>
      <c r="I73" s="265"/>
      <c r="J73" s="265"/>
      <c r="K73" s="265"/>
      <c r="L73" s="265"/>
      <c r="M73" s="265"/>
      <c r="N73" s="265"/>
      <c r="O73" s="265"/>
      <c r="P73" s="265"/>
      <c r="Q73" s="265"/>
      <c r="R73" s="265"/>
      <c r="S73" s="265"/>
      <c r="T73" s="265"/>
      <c r="U73" s="265"/>
      <c r="V73" s="265"/>
      <c r="W73" s="265"/>
      <c r="X73" s="265"/>
      <c r="Y73" s="265"/>
      <c r="Z73" s="265"/>
      <c r="AA73" s="265"/>
      <c r="AB73" s="265"/>
      <c r="AC73" s="265"/>
      <c r="AD73" s="265"/>
      <c r="AE73" s="265"/>
      <c r="AF73" s="265"/>
      <c r="AG73" s="265"/>
      <c r="AH73" s="265"/>
      <c r="AI73" s="265"/>
      <c r="AJ73" s="265"/>
      <c r="AK73" s="265"/>
      <c r="AL73" s="266"/>
      <c r="AM73" s="265"/>
      <c r="AN73" s="265"/>
      <c r="AO73" s="265"/>
      <c r="AP73" s="265"/>
      <c r="AQ73" s="265"/>
      <c r="AR73" s="265"/>
      <c r="AS73" s="265"/>
      <c r="AT73" s="265"/>
      <c r="AU73" s="265"/>
      <c r="AV73" s="265"/>
      <c r="AW73" s="265"/>
      <c r="AX73" s="265"/>
      <c r="AY73" s="265"/>
      <c r="AZ73" s="265"/>
      <c r="BA73" s="265"/>
      <c r="BB73" s="265"/>
      <c r="BC73" s="267"/>
    </row>
    <row r="74" ht="15.75" customHeight="1">
      <c r="A74" s="268"/>
      <c r="B74" s="269" t="s">
        <v>144</v>
      </c>
      <c r="C74" s="24"/>
      <c r="D74" s="24"/>
      <c r="E74" s="270"/>
      <c r="F74" s="271" t="s">
        <v>145</v>
      </c>
      <c r="G74" s="24"/>
      <c r="H74" s="24"/>
      <c r="I74" s="270"/>
      <c r="J74" s="272" t="s">
        <v>146</v>
      </c>
      <c r="K74" s="24"/>
      <c r="L74" s="24"/>
      <c r="M74" s="270"/>
      <c r="N74" s="272" t="s">
        <v>147</v>
      </c>
      <c r="O74" s="24"/>
      <c r="P74" s="24"/>
      <c r="Q74" s="270"/>
      <c r="R74" s="271" t="s">
        <v>148</v>
      </c>
      <c r="S74" s="24"/>
      <c r="T74" s="24"/>
      <c r="U74" s="24"/>
      <c r="V74" s="271" t="s">
        <v>149</v>
      </c>
      <c r="W74" s="24"/>
      <c r="X74" s="24"/>
      <c r="Y74" s="24"/>
      <c r="Z74" s="273" t="s">
        <v>150</v>
      </c>
      <c r="AA74" s="24"/>
      <c r="AB74" s="24"/>
      <c r="AC74" s="24"/>
      <c r="AD74" s="274" t="s">
        <v>151</v>
      </c>
      <c r="AE74" s="24"/>
      <c r="AF74" s="24"/>
      <c r="AG74" s="270"/>
      <c r="AH74" s="271"/>
      <c r="AI74" s="24"/>
      <c r="AJ74" s="24"/>
      <c r="AK74" s="270"/>
      <c r="AL74" s="271"/>
      <c r="AM74" s="24"/>
      <c r="AN74" s="24"/>
      <c r="AO74" s="270"/>
      <c r="AP74" s="273"/>
      <c r="AQ74" s="24"/>
      <c r="AR74" s="24"/>
      <c r="AS74" s="270"/>
      <c r="AT74" s="271"/>
      <c r="AU74" s="24"/>
      <c r="AV74" s="24"/>
      <c r="AW74" s="270"/>
      <c r="AX74" s="271"/>
      <c r="AY74" s="24"/>
      <c r="AZ74" s="24"/>
      <c r="BA74" s="24"/>
      <c r="BB74" s="25"/>
      <c r="BC74" s="268"/>
    </row>
    <row r="75" ht="15.75" customHeight="1">
      <c r="A75" s="268"/>
      <c r="B75" s="30"/>
      <c r="C75" s="31"/>
      <c r="D75" s="31"/>
      <c r="E75" s="275"/>
      <c r="F75" s="188"/>
      <c r="G75" s="31"/>
      <c r="H75" s="31"/>
      <c r="I75" s="275"/>
      <c r="J75" s="188"/>
      <c r="K75" s="31"/>
      <c r="L75" s="31"/>
      <c r="M75" s="275"/>
      <c r="N75" s="188"/>
      <c r="O75" s="31"/>
      <c r="P75" s="31"/>
      <c r="Q75" s="275"/>
      <c r="R75" s="188"/>
      <c r="S75" s="31"/>
      <c r="T75" s="31"/>
      <c r="U75" s="31"/>
      <c r="V75" s="188"/>
      <c r="W75" s="31"/>
      <c r="X75" s="31"/>
      <c r="Y75" s="31"/>
      <c r="Z75" s="188"/>
      <c r="AA75" s="31"/>
      <c r="AB75" s="31"/>
      <c r="AC75" s="31"/>
      <c r="AD75" s="188"/>
      <c r="AE75" s="31"/>
      <c r="AF75" s="31"/>
      <c r="AG75" s="275"/>
      <c r="AH75" s="188"/>
      <c r="AI75" s="31"/>
      <c r="AJ75" s="31"/>
      <c r="AK75" s="275"/>
      <c r="AL75" s="188"/>
      <c r="AM75" s="31"/>
      <c r="AN75" s="31"/>
      <c r="AO75" s="275"/>
      <c r="AP75" s="188"/>
      <c r="AQ75" s="31"/>
      <c r="AR75" s="31"/>
      <c r="AS75" s="275"/>
      <c r="AT75" s="188"/>
      <c r="AU75" s="31"/>
      <c r="AV75" s="31"/>
      <c r="AW75" s="275"/>
      <c r="AX75" s="188"/>
      <c r="AY75" s="31"/>
      <c r="AZ75" s="31"/>
      <c r="BA75" s="31"/>
      <c r="BB75" s="32"/>
      <c r="BC75" s="268"/>
    </row>
    <row r="76" ht="15.75" customHeight="1">
      <c r="A76" s="268"/>
      <c r="B76" s="276" t="s">
        <v>152</v>
      </c>
      <c r="E76" s="15"/>
      <c r="F76" s="277" t="s">
        <v>153</v>
      </c>
      <c r="I76" s="15"/>
      <c r="J76" s="278" t="s">
        <v>154</v>
      </c>
      <c r="M76" s="15"/>
      <c r="N76" s="278" t="s">
        <v>155</v>
      </c>
      <c r="Q76" s="15"/>
      <c r="R76" s="279" t="s">
        <v>156</v>
      </c>
      <c r="V76" s="279" t="s">
        <v>157</v>
      </c>
      <c r="Z76" s="278" t="s">
        <v>158</v>
      </c>
      <c r="AD76" s="280" t="s">
        <v>159</v>
      </c>
      <c r="AG76" s="15"/>
      <c r="AH76" s="279"/>
      <c r="AK76" s="15"/>
      <c r="AL76" s="279"/>
      <c r="AO76" s="15"/>
      <c r="AP76" s="278"/>
      <c r="AS76" s="15"/>
      <c r="AT76" s="279"/>
      <c r="AW76" s="15"/>
      <c r="AX76" s="279"/>
      <c r="BB76" s="209"/>
      <c r="BC76" s="268"/>
    </row>
    <row r="77" ht="15.75" customHeight="1">
      <c r="A77" s="268"/>
      <c r="B77" s="250"/>
      <c r="E77" s="15"/>
      <c r="F77" s="9"/>
      <c r="I77" s="15"/>
      <c r="J77" s="9"/>
      <c r="M77" s="15"/>
      <c r="N77" s="9"/>
      <c r="Q77" s="15"/>
      <c r="R77" s="9"/>
      <c r="V77" s="9"/>
      <c r="Z77" s="9"/>
      <c r="AD77" s="9"/>
      <c r="AG77" s="15"/>
      <c r="AH77" s="9"/>
      <c r="AK77" s="15"/>
      <c r="AL77" s="9"/>
      <c r="AO77" s="15"/>
      <c r="AP77" s="9"/>
      <c r="AS77" s="15"/>
      <c r="AT77" s="9"/>
      <c r="AW77" s="15"/>
      <c r="AX77" s="9"/>
      <c r="BB77" s="209"/>
      <c r="BC77" s="268"/>
    </row>
    <row r="78" ht="15.75" customHeight="1">
      <c r="A78" s="268"/>
      <c r="B78" s="250"/>
      <c r="E78" s="15"/>
      <c r="F78" s="9"/>
      <c r="I78" s="15"/>
      <c r="J78" s="9"/>
      <c r="M78" s="15"/>
      <c r="N78" s="9"/>
      <c r="Q78" s="15"/>
      <c r="R78" s="9"/>
      <c r="V78" s="9"/>
      <c r="Z78" s="9"/>
      <c r="AD78" s="9"/>
      <c r="AG78" s="15"/>
      <c r="AH78" s="9"/>
      <c r="AK78" s="15"/>
      <c r="AL78" s="9"/>
      <c r="AO78" s="15"/>
      <c r="AP78" s="9"/>
      <c r="AS78" s="15"/>
      <c r="AT78" s="9"/>
      <c r="AW78" s="15"/>
      <c r="AX78" s="9"/>
      <c r="BB78" s="209"/>
      <c r="BC78" s="268"/>
    </row>
    <row r="79" ht="15.75" customHeight="1">
      <c r="A79" s="281"/>
      <c r="B79" s="30"/>
      <c r="C79" s="31"/>
      <c r="D79" s="31"/>
      <c r="E79" s="275"/>
      <c r="F79" s="188"/>
      <c r="G79" s="31"/>
      <c r="H79" s="31"/>
      <c r="I79" s="275"/>
      <c r="J79" s="188"/>
      <c r="K79" s="31"/>
      <c r="L79" s="31"/>
      <c r="M79" s="275"/>
      <c r="N79" s="188"/>
      <c r="O79" s="31"/>
      <c r="P79" s="31"/>
      <c r="Q79" s="275"/>
      <c r="R79" s="9"/>
      <c r="V79" s="9"/>
      <c r="Z79" s="9"/>
      <c r="AD79" s="188"/>
      <c r="AE79" s="31"/>
      <c r="AF79" s="31"/>
      <c r="AG79" s="275"/>
      <c r="AH79" s="188"/>
      <c r="AI79" s="31"/>
      <c r="AJ79" s="31"/>
      <c r="AK79" s="275"/>
      <c r="AL79" s="188"/>
      <c r="AM79" s="31"/>
      <c r="AN79" s="31"/>
      <c r="AO79" s="275"/>
      <c r="AP79" s="188"/>
      <c r="AQ79" s="31"/>
      <c r="AR79" s="31"/>
      <c r="AS79" s="275"/>
      <c r="AT79" s="188"/>
      <c r="AU79" s="31"/>
      <c r="AV79" s="31"/>
      <c r="AW79" s="275"/>
      <c r="AX79" s="188"/>
      <c r="AY79" s="31"/>
      <c r="AZ79" s="31"/>
      <c r="BA79" s="31"/>
      <c r="BB79" s="32"/>
      <c r="BC79" s="268"/>
    </row>
    <row r="80" ht="15.75" customHeight="1">
      <c r="A80" s="282"/>
      <c r="B80" s="265"/>
      <c r="C80" s="265"/>
      <c r="D80" s="265"/>
      <c r="E80" s="265"/>
      <c r="F80" s="265"/>
      <c r="G80" s="265"/>
      <c r="H80" s="265"/>
      <c r="I80" s="265"/>
      <c r="J80" s="265"/>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65"/>
      <c r="AK80" s="265"/>
      <c r="AL80" s="265"/>
      <c r="AM80" s="265"/>
      <c r="AN80" s="265"/>
      <c r="AO80" s="265"/>
      <c r="AP80" s="265"/>
      <c r="AQ80" s="265"/>
      <c r="AR80" s="265"/>
      <c r="AS80" s="265"/>
      <c r="AT80" s="265"/>
      <c r="AU80" s="265"/>
      <c r="AV80" s="265"/>
      <c r="AW80" s="265"/>
      <c r="AX80" s="284" t="s">
        <v>160</v>
      </c>
      <c r="BB80" s="209"/>
      <c r="BC80" s="285"/>
    </row>
    <row r="81" ht="44.25" customHeight="1">
      <c r="A81" s="286" t="s">
        <v>161</v>
      </c>
    </row>
    <row r="82" ht="15.75" customHeight="1" outlineLevel="1">
      <c r="A82" s="287" t="str">
        <f t="shared" ref="A82:A99" si="18">concatenate("cc&lt;=",I19," ",C19)</f>
        <v>cc&lt;=25 관찰력</v>
      </c>
    </row>
    <row r="83" ht="15.75" customHeight="1" outlineLevel="1">
      <c r="A83" s="287" t="str">
        <f t="shared" si="18"/>
        <v>cc&lt;=20 듣기</v>
      </c>
    </row>
    <row r="84" ht="15.75" customHeight="1" outlineLevel="1">
      <c r="A84" s="287" t="str">
        <f t="shared" si="18"/>
        <v>cc&lt;=20 자료조사</v>
      </c>
    </row>
    <row r="85" ht="15.75" customHeight="1" outlineLevel="1">
      <c r="A85" s="287" t="str">
        <f t="shared" si="18"/>
        <v>cc&lt;=5 컴퓨터 사용</v>
      </c>
    </row>
    <row r="86" ht="15.75" customHeight="1" outlineLevel="1">
      <c r="A86" s="287" t="str">
        <f t="shared" si="18"/>
        <v>cc&lt;=1 전자기기</v>
      </c>
    </row>
    <row r="87" ht="15.75" customHeight="1" outlineLevel="1">
      <c r="A87" s="287" t="str">
        <f t="shared" si="18"/>
        <v>cc&lt;=10 전기수리</v>
      </c>
    </row>
    <row r="88" ht="15.75" customHeight="1" outlineLevel="1">
      <c r="A88" s="287" t="str">
        <f t="shared" si="18"/>
        <v>cc&lt;=10 기계수리</v>
      </c>
    </row>
    <row r="89" ht="15.75" customHeight="1" outlineLevel="1">
      <c r="A89" s="287" t="str">
        <f t="shared" si="18"/>
        <v>cc&lt;=20 자동차 운전</v>
      </c>
    </row>
    <row r="90" ht="15.75" customHeight="1" outlineLevel="1">
      <c r="A90" s="287" t="str">
        <f t="shared" si="18"/>
        <v>cc&lt;=1 중장비 조작</v>
      </c>
    </row>
    <row r="91" ht="15.75" customHeight="1" outlineLevel="1">
      <c r="A91" s="287" t="str">
        <f t="shared" si="18"/>
        <v>cc&lt;=1 파일럿()</v>
      </c>
    </row>
    <row r="92" ht="15.75" customHeight="1" outlineLevel="1">
      <c r="A92" s="287" t="str">
        <f t="shared" si="18"/>
        <v>cc&lt;=0 </v>
      </c>
    </row>
    <row r="93" ht="15.75" customHeight="1" outlineLevel="1">
      <c r="A93" s="287" t="str">
        <f t="shared" si="18"/>
        <v>cc&lt;=10 항법</v>
      </c>
    </row>
    <row r="94" ht="15.75" customHeight="1" outlineLevel="1">
      <c r="A94" s="287" t="str">
        <f t="shared" si="18"/>
        <v>cc&lt;=10 추적</v>
      </c>
    </row>
    <row r="95" ht="15.75" customHeight="1" outlineLevel="1">
      <c r="A95" s="287" t="str">
        <f t="shared" si="18"/>
        <v>cc&lt;=5 승마</v>
      </c>
    </row>
    <row r="96" ht="15.75" customHeight="1" outlineLevel="1">
      <c r="A96" s="287" t="str">
        <f t="shared" si="18"/>
        <v>cc&lt;=0 </v>
      </c>
    </row>
    <row r="97" ht="15.75" customHeight="1" outlineLevel="1">
      <c r="A97" s="287" t="str">
        <f t="shared" si="18"/>
        <v>cc&lt;=0 </v>
      </c>
    </row>
    <row r="98" ht="15.75" customHeight="1" outlineLevel="1">
      <c r="A98" s="287" t="str">
        <f t="shared" si="18"/>
        <v>cc&lt;=1 폭파</v>
      </c>
    </row>
    <row r="99" ht="15.75" customHeight="1" outlineLevel="1">
      <c r="A99" s="287" t="str">
        <f t="shared" si="18"/>
        <v>cc&lt;=1 포격</v>
      </c>
    </row>
    <row r="100" ht="15.75" customHeight="1" outlineLevel="1">
      <c r="A100" s="287" t="str">
        <f t="shared" ref="A100:A117" si="19">concatenate("cc&lt;=",S19," ",M19)</f>
        <v>cc&lt;=0 재력</v>
      </c>
    </row>
    <row r="101" ht="15.75" customHeight="1" outlineLevel="1">
      <c r="A101" s="287" t="str">
        <f t="shared" si="19"/>
        <v>cc&lt;=5 회계</v>
      </c>
    </row>
    <row r="102" ht="15.75" customHeight="1" outlineLevel="1">
      <c r="A102" s="287" t="str">
        <f t="shared" si="19"/>
        <v>cc&lt;=10 자연</v>
      </c>
    </row>
    <row r="103" ht="15.75" customHeight="1" outlineLevel="1">
      <c r="A103" s="287" t="str">
        <f t="shared" si="19"/>
        <v>cc&lt;=1 과학()</v>
      </c>
    </row>
    <row r="104" ht="15.75" customHeight="1" outlineLevel="1">
      <c r="A104" s="287" t="str">
        <f t="shared" si="19"/>
        <v>cc&lt;=0 </v>
      </c>
    </row>
    <row r="105" ht="15.75" customHeight="1" outlineLevel="1">
      <c r="A105" s="287" t="str">
        <f t="shared" si="19"/>
        <v>cc&lt;=0 </v>
      </c>
    </row>
    <row r="106" ht="15.75" customHeight="1" outlineLevel="1">
      <c r="A106" s="287" t="str">
        <f t="shared" si="19"/>
        <v>cc&lt;=5 법률</v>
      </c>
    </row>
    <row r="107" ht="15.75" customHeight="1" outlineLevel="1">
      <c r="A107" s="287" t="str">
        <f t="shared" si="19"/>
        <v>cc&lt;=1 인류학</v>
      </c>
    </row>
    <row r="108" ht="15.75" customHeight="1" outlineLevel="1">
      <c r="A108" s="287" t="str">
        <f t="shared" si="19"/>
        <v>cc&lt;=5 역사</v>
      </c>
    </row>
    <row r="109" ht="15.75" customHeight="1" outlineLevel="1">
      <c r="A109" s="287" t="str">
        <f t="shared" si="19"/>
        <v>cc&lt;=1 고고학</v>
      </c>
    </row>
    <row r="110" ht="15.75" customHeight="1" outlineLevel="1">
      <c r="A110" s="287" t="str">
        <f t="shared" si="19"/>
        <v>cc&lt;=5 감정</v>
      </c>
    </row>
    <row r="111" ht="15.75" customHeight="1" outlineLevel="1">
      <c r="A111" s="287" t="str">
        <f t="shared" si="19"/>
        <v>cc&lt;=5 예술/공예</v>
      </c>
    </row>
    <row r="112" ht="15.75" customHeight="1" outlineLevel="1">
      <c r="A112" s="287" t="str">
        <f t="shared" si="19"/>
        <v>cc&lt;=0 </v>
      </c>
    </row>
    <row r="113" ht="15.75" customHeight="1" outlineLevel="1">
      <c r="A113" s="287" t="str">
        <f t="shared" si="19"/>
        <v>cc&lt;=1 독순술</v>
      </c>
    </row>
    <row r="114" ht="15.75" customHeight="1" outlineLevel="1">
      <c r="A114" s="287" t="str">
        <f t="shared" si="19"/>
        <v>cc&lt;=5 동물 다루기</v>
      </c>
    </row>
    <row r="115" ht="15.75" customHeight="1" outlineLevel="1">
      <c r="A115" s="287" t="str">
        <f t="shared" si="19"/>
        <v>cc&lt;=1 잠수</v>
      </c>
    </row>
    <row r="116" ht="15.75" customHeight="1" outlineLevel="1">
      <c r="A116" s="287" t="str">
        <f t="shared" si="19"/>
        <v>cc&lt;=1 최면술</v>
      </c>
    </row>
    <row r="117" ht="15.75" customHeight="1" outlineLevel="1">
      <c r="A117" s="287" t="str">
        <f t="shared" si="19"/>
        <v>cc&lt;=1 비밀 지식</v>
      </c>
    </row>
    <row r="118" ht="15.75" customHeight="1" outlineLevel="1">
      <c r="A118" s="287" t="str">
        <f t="shared" ref="A118:A135" si="20">concatenate("cc&lt;=",AC19," ",W19)</f>
        <v>cc&lt;=0 크툴루 신화</v>
      </c>
    </row>
    <row r="119" ht="15.75" customHeight="1" outlineLevel="1">
      <c r="A119" s="287" t="str">
        <f t="shared" si="20"/>
        <v>cc&lt;=5 오컬트</v>
      </c>
    </row>
    <row r="120" ht="15.75" customHeight="1" outlineLevel="1">
      <c r="A120" s="287" t="str">
        <f t="shared" si="20"/>
        <v>cc&lt;=1 정신분석</v>
      </c>
    </row>
    <row r="121" ht="15.75" customHeight="1" outlineLevel="1">
      <c r="A121" s="287" t="str">
        <f t="shared" si="20"/>
        <v>cc&lt;=10 심리학</v>
      </c>
    </row>
    <row r="122" ht="15.75" customHeight="1" outlineLevel="1">
      <c r="A122" s="287" t="str">
        <f t="shared" si="20"/>
        <v>cc&lt;=15 위협</v>
      </c>
    </row>
    <row r="123" ht="15.75" customHeight="1" outlineLevel="1">
      <c r="A123" s="287" t="str">
        <f t="shared" si="20"/>
        <v>cc&lt;=15 매혹</v>
      </c>
    </row>
    <row r="124" ht="15.75" customHeight="1" outlineLevel="1">
      <c r="A124" s="287" t="str">
        <f t="shared" si="20"/>
        <v>cc&lt;=5 말재주</v>
      </c>
    </row>
    <row r="125" ht="15.75" customHeight="1" outlineLevel="1">
      <c r="A125" s="287" t="str">
        <f t="shared" si="20"/>
        <v>cc&lt;=10 설득</v>
      </c>
    </row>
    <row r="126" ht="15.75" customHeight="1" outlineLevel="1">
      <c r="A126" s="287" t="str">
        <f t="shared" si="20"/>
        <v>cc&lt;=0 모국어</v>
      </c>
    </row>
    <row r="127" ht="15.75" customHeight="1" outlineLevel="1">
      <c r="A127" s="287" t="str">
        <f t="shared" si="20"/>
        <v>cc&lt;=1 외국어()</v>
      </c>
    </row>
    <row r="128" ht="15.75" customHeight="1" outlineLevel="1">
      <c r="A128" s="287" t="str">
        <f t="shared" si="20"/>
        <v>cc&lt;=0 </v>
      </c>
    </row>
    <row r="129" ht="15.75" customHeight="1" outlineLevel="1">
      <c r="A129" s="287" t="str">
        <f t="shared" si="20"/>
        <v>cc&lt;=20 투척</v>
      </c>
    </row>
    <row r="130" ht="15.75" customHeight="1" outlineLevel="1">
      <c r="A130" s="287" t="str">
        <f t="shared" si="20"/>
        <v>cc&lt;=25 근접전(격투)</v>
      </c>
    </row>
    <row r="131" ht="15.75" customHeight="1" outlineLevel="1">
      <c r="A131" s="287" t="str">
        <f t="shared" si="20"/>
        <v>cc&lt;=20 근접전(도검)</v>
      </c>
    </row>
    <row r="132" ht="15.75" customHeight="1" outlineLevel="1">
      <c r="A132" s="287" t="str">
        <f t="shared" si="20"/>
        <v>cc&lt;=15 근접전(도끼)</v>
      </c>
    </row>
    <row r="133" ht="15.75" customHeight="1" outlineLevel="1">
      <c r="A133" s="287" t="str">
        <f t="shared" si="20"/>
        <v>cc&lt;=20 근접전(창)</v>
      </c>
    </row>
    <row r="134" ht="15.75" customHeight="1" outlineLevel="1">
      <c r="A134" s="287" t="str">
        <f t="shared" si="20"/>
        <v>cc&lt;=5 근접전(채찍)</v>
      </c>
    </row>
    <row r="135" ht="15.75" customHeight="1" outlineLevel="1">
      <c r="A135" s="287" t="str">
        <f t="shared" si="20"/>
        <v>cc&lt;=10 근접전(기타)</v>
      </c>
    </row>
    <row r="136" ht="15.75" customHeight="1" outlineLevel="1">
      <c r="A136" s="287" t="str">
        <f t="shared" ref="A136:A153" si="21">concatenate("cc&lt;=",AM19," ",AG19)</f>
        <v>cc&lt;=1 의료</v>
      </c>
    </row>
    <row r="137" ht="15.75" customHeight="1" outlineLevel="1">
      <c r="A137" s="287" t="str">
        <f t="shared" si="21"/>
        <v>cc&lt;=30 응급처치</v>
      </c>
    </row>
    <row r="138" ht="15.75" customHeight="1" outlineLevel="1">
      <c r="A138" s="287" t="str">
        <f t="shared" si="21"/>
        <v>cc&lt;=10 생존술()</v>
      </c>
    </row>
    <row r="139" ht="15.75" customHeight="1" outlineLevel="1">
      <c r="A139" s="287" t="str">
        <f t="shared" si="21"/>
        <v>cc&lt;=20 수영</v>
      </c>
    </row>
    <row r="140" ht="15.75" customHeight="1" outlineLevel="1">
      <c r="A140" s="287" t="str">
        <f t="shared" si="21"/>
        <v>cc&lt;=20 오르기</v>
      </c>
    </row>
    <row r="141" ht="15.75" customHeight="1" outlineLevel="1">
      <c r="A141" s="287" t="str">
        <f t="shared" si="21"/>
        <v>cc&lt;=20 도약</v>
      </c>
    </row>
    <row r="142" ht="15.75" customHeight="1" outlineLevel="1">
      <c r="A142" s="287" t="str">
        <f t="shared" si="21"/>
        <v>cc&lt;=0 회피</v>
      </c>
    </row>
    <row r="143" ht="15.75" customHeight="1" outlineLevel="1">
      <c r="A143" s="287" t="str">
        <f t="shared" si="21"/>
        <v>cc&lt;=5 변장</v>
      </c>
    </row>
    <row r="144" ht="15.75" customHeight="1" outlineLevel="1">
      <c r="A144" s="287" t="str">
        <f t="shared" si="21"/>
        <v>cc&lt;=20 은밀행동</v>
      </c>
    </row>
    <row r="145" ht="15.75" customHeight="1" outlineLevel="1">
      <c r="A145" s="287" t="str">
        <f t="shared" si="21"/>
        <v>cc&lt;=10 손놀림</v>
      </c>
    </row>
    <row r="146" ht="15.75" customHeight="1" outlineLevel="1">
      <c r="A146" s="287" t="str">
        <f t="shared" si="21"/>
        <v>cc&lt;=1 열쇠공</v>
      </c>
    </row>
    <row r="147" ht="15.75" customHeight="1" outlineLevel="1">
      <c r="A147" s="287" t="str">
        <f t="shared" si="21"/>
        <v>cc&lt;=20 사격(권총)</v>
      </c>
    </row>
    <row r="148" ht="15.75" customHeight="1" outlineLevel="1">
      <c r="A148" s="287" t="str">
        <f t="shared" si="21"/>
        <v>cc&lt;=25 사격(소총)</v>
      </c>
    </row>
    <row r="149" ht="15.75" customHeight="1" outlineLevel="1">
      <c r="A149" s="287" t="str">
        <f t="shared" si="21"/>
        <v>cc&lt;=15 사격(기관단총)</v>
      </c>
    </row>
    <row r="150" ht="15.75" customHeight="1" outlineLevel="1">
      <c r="A150" s="287" t="str">
        <f t="shared" si="21"/>
        <v>cc&lt;=10 사격(기관총)</v>
      </c>
    </row>
    <row r="151" ht="15.75" customHeight="1" outlineLevel="1">
      <c r="A151" s="287" t="str">
        <f t="shared" si="21"/>
        <v>cc&lt;=15 사격(활)</v>
      </c>
    </row>
    <row r="152" ht="15.75" customHeight="1" outlineLevel="1">
      <c r="A152" s="287" t="str">
        <f t="shared" si="21"/>
        <v>cc&lt;=10 사격(중화기)</v>
      </c>
    </row>
    <row r="153" ht="15.75" customHeight="1" outlineLevel="1">
      <c r="A153" s="287" t="str">
        <f t="shared" si="21"/>
        <v>cc&lt;=10 화염방사기</v>
      </c>
    </row>
    <row r="154" ht="15.75" customHeight="1" outlineLevel="1">
      <c r="A154" s="287" t="str">
        <f>concatenate("cc&lt;=",V10," ","근력")</f>
        <v>cc&lt;= 근력</v>
      </c>
    </row>
    <row r="155" ht="15.75" customHeight="1" outlineLevel="1">
      <c r="A155" s="287" t="str">
        <f>concatenate("cc&lt;=",V12," ","건강")</f>
        <v>cc&lt;= 건강</v>
      </c>
    </row>
    <row r="156" ht="15.75" customHeight="1" outlineLevel="1">
      <c r="A156" s="287" t="str">
        <f>concatenate("cc&lt;=",V14," ","크기")</f>
        <v>cc&lt;= 크기</v>
      </c>
    </row>
    <row r="157" ht="15.75" customHeight="1" outlineLevel="1">
      <c r="A157" s="287" t="str">
        <f>concatenate("cc&lt;=",AD10," ","민첩")</f>
        <v>cc&lt;= 민첩</v>
      </c>
    </row>
    <row r="158" ht="15.75" customHeight="1" outlineLevel="1">
      <c r="A158" s="287" t="str">
        <f>concatenate("cc&lt;=",AD12," ","외모")</f>
        <v>cc&lt;= 외모</v>
      </c>
    </row>
    <row r="159" ht="15.75" customHeight="1" outlineLevel="1">
      <c r="A159" s="287" t="str">
        <f>concatenate("cc&lt;=",AD14," ","지능(아이디어)")</f>
        <v>cc&lt;= 지능(아이디어)</v>
      </c>
    </row>
    <row r="160" ht="15.75" customHeight="1" outlineLevel="1">
      <c r="A160" s="287" t="str">
        <f>concatenate("cc&lt;=",AL10," ","정신력")</f>
        <v>cc&lt;= 정신력</v>
      </c>
    </row>
    <row r="161" ht="15.75" customHeight="1" outlineLevel="1">
      <c r="A161" s="287" t="str">
        <f>concatenate("cc&lt;=",AL12," ","교육(지식)")</f>
        <v>cc&lt;= 교육(지식)</v>
      </c>
    </row>
    <row r="162" ht="15.75" customHeight="1" outlineLevel="1">
      <c r="A162" s="288" t="s">
        <v>162</v>
      </c>
    </row>
    <row r="163" ht="15.75" customHeight="1" outlineLevel="1">
      <c r="A163" s="288" t="s">
        <v>163</v>
      </c>
    </row>
    <row r="164" ht="15.75" customHeight="1" outlineLevel="1">
      <c r="A164" s="288" t="str">
        <f t="shared" ref="A164:A170" si="22">if(OR(B41="",S41=""),"",concatenate(S41," ","피해","(",B41,")"))</f>
        <v>1d3+{DB} 피해(맨손)</v>
      </c>
    </row>
    <row r="165" ht="15.75" customHeight="1" outlineLevel="1">
      <c r="A165" s="288" t="str">
        <f t="shared" si="22"/>
        <v/>
      </c>
    </row>
    <row r="166" ht="15.75" customHeight="1" outlineLevel="1">
      <c r="A166" s="288" t="str">
        <f t="shared" si="22"/>
        <v/>
      </c>
    </row>
    <row r="167" ht="15.75" customHeight="1" outlineLevel="1">
      <c r="A167" s="288" t="str">
        <f t="shared" si="22"/>
        <v/>
      </c>
    </row>
    <row r="168" ht="15.75" customHeight="1" outlineLevel="1">
      <c r="A168" s="288" t="str">
        <f t="shared" si="22"/>
        <v/>
      </c>
    </row>
    <row r="169" ht="15.75" customHeight="1" outlineLevel="1">
      <c r="A169" s="288" t="str">
        <f t="shared" si="22"/>
        <v/>
      </c>
    </row>
    <row r="170" ht="15.75" customHeight="1" outlineLevel="1">
      <c r="A170" s="288" t="str">
        <f t="shared" si="22"/>
        <v/>
      </c>
    </row>
    <row r="171" ht="15.75" customHeight="1">
      <c r="A171" s="288"/>
      <c r="B171" s="288"/>
      <c r="C171" s="288"/>
      <c r="D171" s="288"/>
      <c r="E171" s="288"/>
      <c r="F171" s="288"/>
      <c r="G171" s="288"/>
      <c r="H171" s="288"/>
      <c r="I171" s="288"/>
      <c r="J171" s="288"/>
      <c r="K171" s="288"/>
      <c r="L171" s="288"/>
      <c r="M171" s="288"/>
      <c r="N171" s="288"/>
      <c r="O171" s="287"/>
      <c r="P171" s="287"/>
      <c r="Q171" s="287"/>
      <c r="R171" s="287"/>
      <c r="S171" s="287"/>
      <c r="T171" s="287"/>
      <c r="U171" s="287"/>
      <c r="V171" s="287"/>
      <c r="W171" s="287"/>
      <c r="X171" s="287"/>
      <c r="Y171" s="287"/>
      <c r="Z171" s="287"/>
      <c r="AA171" s="287"/>
      <c r="AB171" s="287"/>
      <c r="AC171" s="287"/>
      <c r="AD171" s="287"/>
      <c r="AE171" s="287"/>
      <c r="AF171" s="287"/>
      <c r="AG171" s="287"/>
      <c r="AH171" s="287"/>
      <c r="AI171" s="287"/>
      <c r="AJ171" s="287"/>
      <c r="AK171" s="287"/>
      <c r="AL171" s="287"/>
      <c r="AM171" s="287"/>
      <c r="AN171" s="287"/>
      <c r="AO171" s="287"/>
      <c r="AP171" s="287"/>
      <c r="AQ171" s="287"/>
      <c r="AR171" s="287"/>
      <c r="AS171" s="287"/>
      <c r="AT171" s="287"/>
      <c r="AU171" s="287"/>
      <c r="AV171" s="287"/>
      <c r="AW171" s="287"/>
      <c r="AX171" s="287"/>
      <c r="AY171" s="287"/>
      <c r="AZ171" s="287"/>
      <c r="BA171" s="287"/>
      <c r="BB171" s="287"/>
      <c r="BC171" s="287"/>
    </row>
    <row r="172" ht="15.75" customHeight="1">
      <c r="A172" s="287"/>
      <c r="B172" s="287"/>
      <c r="C172" s="287"/>
      <c r="D172" s="287"/>
      <c r="E172" s="287"/>
      <c r="F172" s="287"/>
      <c r="G172" s="287"/>
      <c r="H172" s="287"/>
      <c r="I172" s="287"/>
      <c r="J172" s="287"/>
      <c r="K172" s="287"/>
      <c r="L172" s="287"/>
      <c r="M172" s="287"/>
      <c r="N172" s="287"/>
      <c r="O172" s="287"/>
      <c r="P172" s="287"/>
      <c r="Q172" s="287"/>
      <c r="R172" s="287"/>
      <c r="S172" s="287"/>
      <c r="T172" s="287"/>
      <c r="U172" s="287"/>
      <c r="V172" s="287"/>
      <c r="W172" s="287"/>
      <c r="X172" s="287"/>
      <c r="Y172" s="287"/>
      <c r="Z172" s="287"/>
      <c r="AA172" s="287"/>
      <c r="AB172" s="287"/>
      <c r="AC172" s="287"/>
      <c r="AD172" s="287"/>
      <c r="AE172" s="287"/>
      <c r="AF172" s="287"/>
      <c r="AG172" s="287"/>
      <c r="AH172" s="287"/>
      <c r="AI172" s="287"/>
      <c r="AJ172" s="287"/>
      <c r="AK172" s="287"/>
      <c r="AL172" s="287"/>
      <c r="AM172" s="287"/>
      <c r="AN172" s="287"/>
      <c r="AO172" s="287"/>
      <c r="AP172" s="287"/>
      <c r="AQ172" s="287"/>
      <c r="AR172" s="287"/>
      <c r="AS172" s="287"/>
      <c r="AT172" s="287"/>
      <c r="AU172" s="287"/>
      <c r="AV172" s="287"/>
      <c r="AW172" s="287"/>
      <c r="AX172" s="287"/>
      <c r="AY172" s="287"/>
      <c r="AZ172" s="287"/>
      <c r="BA172" s="287"/>
      <c r="BB172" s="287"/>
      <c r="BC172" s="287"/>
    </row>
    <row r="173" ht="15.75" customHeight="1">
      <c r="A173" s="287"/>
      <c r="B173" s="287"/>
      <c r="C173" s="287"/>
      <c r="D173" s="287"/>
      <c r="E173" s="287"/>
      <c r="F173" s="287"/>
      <c r="G173" s="287"/>
      <c r="H173" s="287"/>
      <c r="I173" s="287"/>
      <c r="J173" s="287"/>
      <c r="K173" s="287"/>
      <c r="L173" s="287"/>
      <c r="M173" s="287"/>
      <c r="N173" s="287"/>
      <c r="O173" s="287"/>
      <c r="P173" s="287"/>
      <c r="Q173" s="287"/>
      <c r="R173" s="287"/>
      <c r="S173" s="287"/>
      <c r="T173" s="287"/>
      <c r="U173" s="287"/>
      <c r="V173" s="287"/>
      <c r="W173" s="287"/>
      <c r="X173" s="287"/>
      <c r="Y173" s="287"/>
      <c r="Z173" s="287"/>
      <c r="AA173" s="287"/>
      <c r="AB173" s="287"/>
      <c r="AC173" s="287"/>
      <c r="AD173" s="287"/>
      <c r="AE173" s="287"/>
      <c r="AF173" s="287"/>
      <c r="AG173" s="287"/>
      <c r="AH173" s="287"/>
      <c r="AI173" s="287"/>
      <c r="AJ173" s="287"/>
      <c r="AK173" s="287"/>
      <c r="AL173" s="287"/>
      <c r="AM173" s="287"/>
      <c r="AN173" s="287"/>
      <c r="AO173" s="287"/>
      <c r="AP173" s="287"/>
      <c r="AQ173" s="287"/>
      <c r="AR173" s="287"/>
      <c r="AS173" s="287"/>
      <c r="AT173" s="287"/>
      <c r="AU173" s="287"/>
      <c r="AV173" s="287"/>
      <c r="AW173" s="287"/>
      <c r="AX173" s="287"/>
      <c r="AY173" s="287"/>
      <c r="AZ173" s="287"/>
      <c r="BA173" s="287"/>
      <c r="BB173" s="287"/>
      <c r="BC173" s="287"/>
    </row>
    <row r="174" ht="15.75" customHeight="1">
      <c r="A174" s="287"/>
      <c r="B174" s="287"/>
      <c r="C174" s="287"/>
      <c r="D174" s="287"/>
      <c r="E174" s="287"/>
      <c r="F174" s="287"/>
      <c r="G174" s="287"/>
      <c r="H174" s="287"/>
      <c r="I174" s="287"/>
      <c r="J174" s="287"/>
      <c r="K174" s="287"/>
      <c r="L174" s="287"/>
      <c r="M174" s="287"/>
      <c r="N174" s="287"/>
      <c r="O174" s="287"/>
      <c r="P174" s="287"/>
      <c r="Q174" s="287"/>
      <c r="R174" s="287"/>
      <c r="S174" s="287"/>
      <c r="T174" s="287"/>
      <c r="U174" s="287"/>
      <c r="V174" s="287"/>
      <c r="W174" s="287"/>
      <c r="X174" s="287"/>
      <c r="Y174" s="287"/>
      <c r="Z174" s="287"/>
      <c r="AA174" s="287"/>
      <c r="AB174" s="287"/>
      <c r="AC174" s="287"/>
      <c r="AD174" s="287"/>
      <c r="AE174" s="287"/>
      <c r="AF174" s="287"/>
      <c r="AG174" s="287"/>
      <c r="AH174" s="287"/>
      <c r="AI174" s="287"/>
      <c r="AJ174" s="287"/>
      <c r="AK174" s="287"/>
      <c r="AL174" s="287"/>
      <c r="AM174" s="287"/>
      <c r="AN174" s="287"/>
      <c r="AO174" s="287"/>
      <c r="AP174" s="287"/>
      <c r="AQ174" s="287"/>
      <c r="AR174" s="287"/>
      <c r="AS174" s="287"/>
      <c r="AT174" s="287"/>
      <c r="AU174" s="287"/>
      <c r="AV174" s="287"/>
      <c r="AW174" s="287"/>
      <c r="AX174" s="287"/>
      <c r="AY174" s="287"/>
      <c r="AZ174" s="287"/>
      <c r="BA174" s="287"/>
      <c r="BB174" s="287"/>
      <c r="BC174" s="287"/>
    </row>
    <row r="175" ht="15.75" customHeight="1">
      <c r="A175" s="287"/>
      <c r="B175" s="287"/>
      <c r="C175" s="287"/>
      <c r="D175" s="287"/>
      <c r="E175" s="287"/>
      <c r="F175" s="287"/>
      <c r="G175" s="287"/>
      <c r="H175" s="287"/>
      <c r="I175" s="287"/>
      <c r="J175" s="287"/>
      <c r="K175" s="287"/>
      <c r="L175" s="287"/>
      <c r="M175" s="287"/>
      <c r="N175" s="287"/>
      <c r="O175" s="287"/>
      <c r="P175" s="287"/>
      <c r="Q175" s="287"/>
      <c r="R175" s="287"/>
      <c r="S175" s="287"/>
      <c r="T175" s="287"/>
      <c r="U175" s="287"/>
      <c r="V175" s="287"/>
      <c r="W175" s="287"/>
      <c r="X175" s="287"/>
      <c r="Y175" s="287"/>
      <c r="Z175" s="287"/>
      <c r="AA175" s="287"/>
      <c r="AB175" s="287"/>
      <c r="AC175" s="287"/>
      <c r="AD175" s="287"/>
      <c r="AE175" s="287"/>
      <c r="AF175" s="287"/>
      <c r="AG175" s="287"/>
      <c r="AH175" s="287"/>
      <c r="AI175" s="287"/>
      <c r="AJ175" s="287"/>
      <c r="AK175" s="287"/>
      <c r="AL175" s="287"/>
      <c r="AM175" s="287"/>
      <c r="AN175" s="287"/>
      <c r="AO175" s="287"/>
      <c r="AP175" s="287"/>
      <c r="AQ175" s="287"/>
      <c r="AR175" s="287"/>
      <c r="AS175" s="287"/>
      <c r="AT175" s="287"/>
      <c r="AU175" s="287"/>
      <c r="AV175" s="287"/>
      <c r="AW175" s="287"/>
      <c r="AX175" s="287"/>
      <c r="AY175" s="287"/>
      <c r="AZ175" s="287"/>
      <c r="BA175" s="287"/>
      <c r="BB175" s="287"/>
      <c r="BC175" s="287"/>
    </row>
    <row r="176" ht="15.75" customHeight="1">
      <c r="A176" s="287"/>
      <c r="B176" s="287"/>
      <c r="C176" s="287"/>
      <c r="D176" s="287"/>
      <c r="E176" s="287"/>
      <c r="F176" s="287"/>
      <c r="G176" s="287"/>
      <c r="H176" s="287"/>
      <c r="I176" s="287"/>
      <c r="J176" s="287"/>
      <c r="K176" s="287"/>
      <c r="L176" s="287"/>
      <c r="M176" s="287"/>
      <c r="N176" s="287"/>
      <c r="O176" s="287"/>
      <c r="P176" s="287"/>
      <c r="Q176" s="287"/>
      <c r="R176" s="287"/>
      <c r="S176" s="287"/>
      <c r="T176" s="287"/>
      <c r="U176" s="287"/>
      <c r="V176" s="287"/>
      <c r="W176" s="287"/>
      <c r="X176" s="287"/>
      <c r="Y176" s="287"/>
      <c r="Z176" s="287"/>
      <c r="AA176" s="287"/>
      <c r="AB176" s="287"/>
      <c r="AC176" s="287"/>
      <c r="AD176" s="287"/>
      <c r="AE176" s="287"/>
      <c r="AF176" s="287"/>
      <c r="AG176" s="287"/>
      <c r="AH176" s="287"/>
      <c r="AI176" s="287"/>
      <c r="AJ176" s="287"/>
      <c r="AK176" s="287"/>
      <c r="AL176" s="287"/>
      <c r="AM176" s="287"/>
      <c r="AN176" s="287"/>
      <c r="AO176" s="287"/>
      <c r="AP176" s="287"/>
      <c r="AQ176" s="287"/>
      <c r="AR176" s="287"/>
      <c r="AS176" s="287"/>
      <c r="AT176" s="287"/>
      <c r="AU176" s="287"/>
      <c r="AV176" s="287"/>
      <c r="AW176" s="287"/>
      <c r="AX176" s="287"/>
      <c r="AY176" s="287"/>
      <c r="AZ176" s="287"/>
      <c r="BA176" s="287"/>
      <c r="BB176" s="287"/>
      <c r="BC176" s="287"/>
    </row>
    <row r="177" ht="15.75" customHeight="1">
      <c r="A177" s="287"/>
      <c r="B177" s="287"/>
      <c r="C177" s="287"/>
      <c r="D177" s="287"/>
      <c r="E177" s="287"/>
      <c r="F177" s="287"/>
      <c r="G177" s="287"/>
      <c r="H177" s="287"/>
      <c r="I177" s="287"/>
      <c r="J177" s="287"/>
      <c r="K177" s="287"/>
      <c r="L177" s="287"/>
      <c r="M177" s="287"/>
      <c r="N177" s="287"/>
      <c r="O177" s="287"/>
      <c r="P177" s="287"/>
      <c r="Q177" s="287"/>
      <c r="R177" s="287"/>
      <c r="S177" s="287"/>
      <c r="T177" s="287"/>
      <c r="U177" s="287"/>
      <c r="V177" s="287"/>
      <c r="W177" s="287"/>
      <c r="X177" s="287"/>
      <c r="Y177" s="287"/>
      <c r="Z177" s="287"/>
      <c r="AA177" s="287"/>
      <c r="AB177" s="287"/>
      <c r="AC177" s="287"/>
      <c r="AD177" s="287"/>
      <c r="AE177" s="287"/>
      <c r="AF177" s="287"/>
      <c r="AG177" s="287"/>
      <c r="AH177" s="287"/>
      <c r="AI177" s="287"/>
      <c r="AJ177" s="287"/>
      <c r="AK177" s="287"/>
      <c r="AL177" s="287"/>
      <c r="AM177" s="287"/>
      <c r="AN177" s="287"/>
      <c r="AO177" s="287"/>
      <c r="AP177" s="287"/>
      <c r="AQ177" s="287"/>
      <c r="AR177" s="287"/>
      <c r="AS177" s="287"/>
      <c r="AT177" s="287"/>
      <c r="AU177" s="287"/>
      <c r="AV177" s="287"/>
      <c r="AW177" s="287"/>
      <c r="AX177" s="287"/>
      <c r="AY177" s="287"/>
      <c r="AZ177" s="287"/>
      <c r="BA177" s="287"/>
      <c r="BB177" s="287"/>
      <c r="BC177" s="287"/>
    </row>
    <row r="178" ht="15.75" customHeight="1">
      <c r="A178" s="287"/>
      <c r="B178" s="287"/>
      <c r="C178" s="287"/>
      <c r="D178" s="287"/>
      <c r="E178" s="287"/>
      <c r="F178" s="287"/>
      <c r="G178" s="287"/>
      <c r="H178" s="287"/>
      <c r="I178" s="287"/>
      <c r="J178" s="287"/>
      <c r="K178" s="287"/>
      <c r="L178" s="287"/>
      <c r="M178" s="287"/>
      <c r="N178" s="287"/>
      <c r="O178" s="287"/>
      <c r="P178" s="287"/>
      <c r="Q178" s="287"/>
      <c r="R178" s="287"/>
      <c r="S178" s="287"/>
      <c r="T178" s="287"/>
      <c r="U178" s="287"/>
      <c r="V178" s="287"/>
      <c r="W178" s="287"/>
      <c r="X178" s="287"/>
      <c r="Y178" s="287"/>
      <c r="Z178" s="287"/>
      <c r="AA178" s="287"/>
      <c r="AB178" s="287"/>
      <c r="AC178" s="287"/>
      <c r="AD178" s="287"/>
      <c r="AE178" s="287"/>
      <c r="AF178" s="287"/>
      <c r="AG178" s="287"/>
      <c r="AH178" s="287"/>
      <c r="AI178" s="287"/>
      <c r="AJ178" s="287"/>
      <c r="AK178" s="287"/>
      <c r="AL178" s="287"/>
      <c r="AM178" s="287"/>
      <c r="AN178" s="287"/>
      <c r="AO178" s="287"/>
      <c r="AP178" s="287"/>
      <c r="AQ178" s="287"/>
      <c r="AR178" s="287"/>
      <c r="AS178" s="287"/>
      <c r="AT178" s="287"/>
      <c r="AU178" s="287"/>
      <c r="AV178" s="287"/>
      <c r="AW178" s="287"/>
      <c r="AX178" s="287"/>
      <c r="AY178" s="287"/>
      <c r="AZ178" s="287"/>
      <c r="BA178" s="287"/>
      <c r="BB178" s="287"/>
      <c r="BC178" s="287"/>
    </row>
    <row r="179" ht="15.75" customHeight="1">
      <c r="A179" s="287"/>
      <c r="B179" s="287"/>
      <c r="C179" s="287"/>
      <c r="D179" s="287"/>
      <c r="E179" s="287"/>
      <c r="F179" s="287"/>
      <c r="G179" s="287"/>
      <c r="H179" s="287"/>
      <c r="I179" s="287"/>
      <c r="J179" s="287"/>
      <c r="K179" s="287"/>
      <c r="L179" s="287"/>
      <c r="M179" s="287"/>
      <c r="N179" s="287"/>
      <c r="O179" s="287"/>
      <c r="P179" s="287"/>
      <c r="Q179" s="287"/>
      <c r="R179" s="287"/>
      <c r="S179" s="287"/>
      <c r="T179" s="287"/>
      <c r="U179" s="287"/>
      <c r="V179" s="287"/>
      <c r="W179" s="287"/>
      <c r="X179" s="287"/>
      <c r="Y179" s="287"/>
      <c r="Z179" s="287"/>
      <c r="AA179" s="287"/>
      <c r="AB179" s="287"/>
      <c r="AC179" s="287"/>
      <c r="AD179" s="287"/>
      <c r="AE179" s="287"/>
      <c r="AF179" s="287"/>
      <c r="AG179" s="287"/>
      <c r="AH179" s="287"/>
      <c r="AI179" s="287"/>
      <c r="AJ179" s="287"/>
      <c r="AK179" s="287"/>
      <c r="AL179" s="287"/>
      <c r="AM179" s="287"/>
      <c r="AN179" s="287"/>
      <c r="AO179" s="287"/>
      <c r="AP179" s="287"/>
      <c r="AQ179" s="287"/>
      <c r="AR179" s="287"/>
      <c r="AS179" s="287"/>
      <c r="AT179" s="287"/>
      <c r="AU179" s="287"/>
      <c r="AV179" s="287"/>
      <c r="AW179" s="287"/>
      <c r="AX179" s="287"/>
      <c r="AY179" s="287"/>
      <c r="AZ179" s="287"/>
      <c r="BA179" s="287"/>
      <c r="BB179" s="287"/>
      <c r="BC179" s="287"/>
    </row>
    <row r="180" ht="15.75" customHeight="1">
      <c r="A180" s="287"/>
      <c r="B180" s="287"/>
      <c r="C180" s="287"/>
      <c r="D180" s="287"/>
      <c r="E180" s="287"/>
      <c r="F180" s="287"/>
      <c r="G180" s="287"/>
      <c r="H180" s="287"/>
      <c r="I180" s="287"/>
      <c r="J180" s="287"/>
      <c r="K180" s="287"/>
      <c r="L180" s="287"/>
      <c r="M180" s="287"/>
      <c r="N180" s="287"/>
      <c r="O180" s="287"/>
      <c r="P180" s="287"/>
      <c r="Q180" s="287"/>
      <c r="R180" s="287"/>
      <c r="S180" s="287"/>
      <c r="T180" s="287"/>
      <c r="U180" s="287"/>
      <c r="V180" s="287"/>
      <c r="W180" s="287"/>
      <c r="X180" s="287"/>
      <c r="Y180" s="287"/>
      <c r="Z180" s="287"/>
      <c r="AA180" s="287"/>
      <c r="AB180" s="287"/>
      <c r="AC180" s="287"/>
      <c r="AD180" s="287"/>
      <c r="AE180" s="287"/>
      <c r="AF180" s="287"/>
      <c r="AG180" s="287"/>
      <c r="AH180" s="287"/>
      <c r="AI180" s="287"/>
      <c r="AJ180" s="287"/>
      <c r="AK180" s="287"/>
      <c r="AL180" s="287"/>
      <c r="AM180" s="287"/>
      <c r="AN180" s="287"/>
      <c r="AO180" s="287"/>
      <c r="AP180" s="287"/>
      <c r="AQ180" s="287"/>
      <c r="AR180" s="287"/>
      <c r="AS180" s="287"/>
      <c r="AT180" s="287"/>
      <c r="AU180" s="287"/>
      <c r="AV180" s="287"/>
      <c r="AW180" s="287"/>
      <c r="AX180" s="287"/>
      <c r="AY180" s="287"/>
      <c r="AZ180" s="287"/>
      <c r="BA180" s="287"/>
      <c r="BB180" s="287"/>
      <c r="BC180" s="287"/>
    </row>
    <row r="181" ht="15.75" customHeight="1">
      <c r="A181" s="287"/>
      <c r="B181" s="287"/>
      <c r="C181" s="287"/>
      <c r="D181" s="287"/>
      <c r="E181" s="287"/>
      <c r="F181" s="287"/>
      <c r="G181" s="287"/>
      <c r="H181" s="287"/>
      <c r="I181" s="287"/>
      <c r="J181" s="287"/>
      <c r="K181" s="287"/>
      <c r="L181" s="287"/>
      <c r="M181" s="287"/>
      <c r="N181" s="287"/>
      <c r="O181" s="287"/>
      <c r="P181" s="287"/>
      <c r="Q181" s="287"/>
      <c r="R181" s="287"/>
      <c r="S181" s="287"/>
      <c r="T181" s="287"/>
      <c r="U181" s="287"/>
      <c r="V181" s="287"/>
      <c r="W181" s="287"/>
      <c r="X181" s="287"/>
      <c r="Y181" s="287"/>
      <c r="Z181" s="287"/>
      <c r="AA181" s="287"/>
      <c r="AB181" s="287"/>
      <c r="AC181" s="287"/>
      <c r="AD181" s="287"/>
      <c r="AE181" s="287"/>
      <c r="AF181" s="287"/>
      <c r="AG181" s="287"/>
      <c r="AH181" s="287"/>
      <c r="AI181" s="287"/>
      <c r="AJ181" s="287"/>
      <c r="AK181" s="287"/>
      <c r="AL181" s="287"/>
      <c r="AM181" s="287"/>
      <c r="AN181" s="287"/>
      <c r="AO181" s="287"/>
      <c r="AP181" s="287"/>
      <c r="AQ181" s="287"/>
      <c r="AR181" s="287"/>
      <c r="AS181" s="287"/>
      <c r="AT181" s="287"/>
      <c r="AU181" s="287"/>
      <c r="AV181" s="287"/>
      <c r="AW181" s="287"/>
      <c r="AX181" s="287"/>
      <c r="AY181" s="287"/>
      <c r="AZ181" s="287"/>
      <c r="BA181" s="287"/>
      <c r="BB181" s="287"/>
      <c r="BC181" s="287"/>
    </row>
    <row r="182" ht="15.75" customHeight="1">
      <c r="A182" s="287"/>
      <c r="B182" s="287"/>
      <c r="C182" s="287"/>
      <c r="D182" s="287"/>
      <c r="E182" s="287"/>
      <c r="F182" s="287"/>
      <c r="G182" s="287"/>
      <c r="H182" s="287"/>
      <c r="I182" s="287"/>
      <c r="J182" s="287"/>
      <c r="K182" s="287"/>
      <c r="L182" s="287"/>
      <c r="M182" s="287"/>
      <c r="N182" s="287"/>
      <c r="O182" s="287"/>
      <c r="P182" s="287"/>
      <c r="Q182" s="287"/>
      <c r="R182" s="287"/>
      <c r="S182" s="287"/>
      <c r="T182" s="287"/>
      <c r="U182" s="287"/>
      <c r="V182" s="287"/>
      <c r="W182" s="287"/>
      <c r="X182" s="287"/>
      <c r="Y182" s="287"/>
      <c r="Z182" s="287"/>
      <c r="AA182" s="287"/>
      <c r="AB182" s="287"/>
      <c r="AC182" s="287"/>
      <c r="AD182" s="287"/>
      <c r="AE182" s="287"/>
      <c r="AF182" s="287"/>
      <c r="AG182" s="287"/>
      <c r="AH182" s="287"/>
      <c r="AI182" s="287"/>
      <c r="AJ182" s="287"/>
      <c r="AK182" s="287"/>
      <c r="AL182" s="287"/>
      <c r="AM182" s="287"/>
      <c r="AN182" s="287"/>
      <c r="AO182" s="287"/>
      <c r="AP182" s="287"/>
      <c r="AQ182" s="287"/>
      <c r="AR182" s="287"/>
      <c r="AS182" s="287"/>
      <c r="AT182" s="287"/>
      <c r="AU182" s="287"/>
      <c r="AV182" s="287"/>
      <c r="AW182" s="287"/>
      <c r="AX182" s="287"/>
      <c r="AY182" s="287"/>
      <c r="AZ182" s="287"/>
      <c r="BA182" s="287"/>
      <c r="BB182" s="287"/>
      <c r="BC182" s="287"/>
    </row>
    <row r="183" ht="15.75" customHeight="1">
      <c r="A183" s="287"/>
      <c r="B183" s="287"/>
      <c r="C183" s="287"/>
      <c r="D183" s="287"/>
      <c r="E183" s="287"/>
      <c r="F183" s="287"/>
      <c r="G183" s="287"/>
      <c r="H183" s="287"/>
      <c r="I183" s="287"/>
      <c r="J183" s="287"/>
      <c r="K183" s="287"/>
      <c r="L183" s="287"/>
      <c r="M183" s="287"/>
      <c r="N183" s="287"/>
      <c r="O183" s="287"/>
      <c r="P183" s="287"/>
      <c r="Q183" s="287"/>
      <c r="R183" s="287"/>
      <c r="S183" s="287"/>
      <c r="T183" s="287"/>
      <c r="U183" s="287"/>
      <c r="V183" s="287"/>
      <c r="W183" s="287"/>
      <c r="X183" s="287"/>
      <c r="Y183" s="287"/>
      <c r="Z183" s="287"/>
      <c r="AA183" s="287"/>
      <c r="AB183" s="287"/>
      <c r="AC183" s="287"/>
      <c r="AD183" s="287"/>
      <c r="AE183" s="287"/>
      <c r="AF183" s="287"/>
      <c r="AG183" s="287"/>
      <c r="AH183" s="287"/>
      <c r="AI183" s="287"/>
      <c r="AJ183" s="287"/>
      <c r="AK183" s="287"/>
      <c r="AL183" s="287"/>
      <c r="AM183" s="287"/>
      <c r="AN183" s="287"/>
      <c r="AO183" s="287"/>
      <c r="AP183" s="287"/>
      <c r="AQ183" s="287"/>
      <c r="AR183" s="287"/>
      <c r="AS183" s="287"/>
      <c r="AT183" s="287"/>
      <c r="AU183" s="287"/>
      <c r="AV183" s="287"/>
      <c r="AW183" s="287"/>
      <c r="AX183" s="287"/>
      <c r="AY183" s="287"/>
      <c r="AZ183" s="287"/>
      <c r="BA183" s="287"/>
      <c r="BB183" s="287"/>
      <c r="BC183" s="287"/>
    </row>
    <row r="184" ht="15.75" customHeight="1">
      <c r="A184" s="287"/>
      <c r="B184" s="287"/>
      <c r="C184" s="287"/>
      <c r="D184" s="287"/>
      <c r="E184" s="287"/>
      <c r="F184" s="287"/>
      <c r="G184" s="287"/>
      <c r="H184" s="287"/>
      <c r="I184" s="287"/>
      <c r="J184" s="287"/>
      <c r="K184" s="287"/>
      <c r="L184" s="287"/>
      <c r="M184" s="287"/>
      <c r="N184" s="287"/>
      <c r="O184" s="287"/>
      <c r="P184" s="287"/>
      <c r="Q184" s="287"/>
      <c r="R184" s="287"/>
      <c r="S184" s="287"/>
      <c r="T184" s="287"/>
      <c r="U184" s="287"/>
      <c r="V184" s="287"/>
      <c r="W184" s="287"/>
      <c r="X184" s="287"/>
      <c r="Y184" s="287"/>
      <c r="Z184" s="287"/>
      <c r="AA184" s="287"/>
      <c r="AB184" s="287"/>
      <c r="AC184" s="287"/>
      <c r="AD184" s="287"/>
      <c r="AE184" s="287"/>
      <c r="AF184" s="287"/>
      <c r="AG184" s="287"/>
      <c r="AH184" s="287"/>
      <c r="AI184" s="287"/>
      <c r="AJ184" s="287"/>
      <c r="AK184" s="287"/>
      <c r="AL184" s="287"/>
      <c r="AM184" s="287"/>
      <c r="AN184" s="287"/>
      <c r="AO184" s="287"/>
      <c r="AP184" s="287"/>
      <c r="AQ184" s="287"/>
      <c r="AR184" s="287"/>
      <c r="AS184" s="287"/>
      <c r="AT184" s="287"/>
      <c r="AU184" s="287"/>
      <c r="AV184" s="287"/>
      <c r="AW184" s="287"/>
      <c r="AX184" s="287"/>
      <c r="AY184" s="287"/>
      <c r="AZ184" s="287"/>
      <c r="BA184" s="287"/>
      <c r="BB184" s="287"/>
      <c r="BC184" s="287"/>
    </row>
    <row r="185" ht="15.75" customHeight="1">
      <c r="A185" s="287"/>
      <c r="B185" s="287"/>
      <c r="C185" s="287"/>
      <c r="D185" s="287"/>
      <c r="E185" s="287"/>
      <c r="F185" s="287"/>
      <c r="G185" s="287"/>
      <c r="H185" s="287"/>
      <c r="I185" s="287"/>
      <c r="J185" s="287"/>
      <c r="K185" s="287"/>
      <c r="L185" s="287"/>
      <c r="M185" s="287"/>
      <c r="N185" s="287"/>
      <c r="O185" s="287"/>
      <c r="P185" s="287"/>
      <c r="Q185" s="287"/>
      <c r="R185" s="287"/>
      <c r="S185" s="287"/>
      <c r="T185" s="287"/>
      <c r="U185" s="287"/>
      <c r="V185" s="287"/>
      <c r="W185" s="287"/>
      <c r="X185" s="287"/>
      <c r="Y185" s="287"/>
      <c r="Z185" s="287"/>
      <c r="AA185" s="287"/>
      <c r="AB185" s="287"/>
      <c r="AC185" s="287"/>
      <c r="AD185" s="287"/>
      <c r="AE185" s="287"/>
      <c r="AF185" s="287"/>
      <c r="AG185" s="287"/>
      <c r="AH185" s="287"/>
      <c r="AI185" s="287"/>
      <c r="AJ185" s="287"/>
      <c r="AK185" s="287"/>
      <c r="AL185" s="287"/>
      <c r="AM185" s="287"/>
      <c r="AN185" s="287"/>
      <c r="AO185" s="287"/>
      <c r="AP185" s="287"/>
      <c r="AQ185" s="287"/>
      <c r="AR185" s="287"/>
      <c r="AS185" s="287"/>
      <c r="AT185" s="287"/>
      <c r="AU185" s="287"/>
      <c r="AV185" s="287"/>
      <c r="AW185" s="287"/>
      <c r="AX185" s="287"/>
      <c r="AY185" s="287"/>
      <c r="AZ185" s="287"/>
      <c r="BA185" s="287"/>
      <c r="BB185" s="287"/>
      <c r="BC185" s="287"/>
    </row>
    <row r="186" ht="15.75" customHeight="1">
      <c r="A186" s="287"/>
      <c r="B186" s="287"/>
      <c r="C186" s="287"/>
      <c r="D186" s="287"/>
      <c r="E186" s="287"/>
      <c r="F186" s="287"/>
      <c r="G186" s="287"/>
      <c r="H186" s="287"/>
      <c r="I186" s="287"/>
      <c r="J186" s="287"/>
      <c r="K186" s="287"/>
      <c r="L186" s="287"/>
      <c r="M186" s="287"/>
      <c r="N186" s="287"/>
      <c r="O186" s="287"/>
      <c r="P186" s="287"/>
      <c r="Q186" s="287"/>
      <c r="R186" s="287"/>
      <c r="S186" s="287"/>
      <c r="T186" s="287"/>
      <c r="U186" s="287"/>
      <c r="V186" s="287"/>
      <c r="W186" s="287"/>
      <c r="X186" s="287"/>
      <c r="Y186" s="287"/>
      <c r="Z186" s="287"/>
      <c r="AA186" s="287"/>
      <c r="AB186" s="287"/>
      <c r="AC186" s="287"/>
      <c r="AD186" s="287"/>
      <c r="AE186" s="287"/>
      <c r="AF186" s="287"/>
      <c r="AG186" s="287"/>
      <c r="AH186" s="287"/>
      <c r="AI186" s="287"/>
      <c r="AJ186" s="287"/>
      <c r="AK186" s="287"/>
      <c r="AL186" s="287"/>
      <c r="AM186" s="287"/>
      <c r="AN186" s="287"/>
      <c r="AO186" s="287"/>
      <c r="AP186" s="287"/>
      <c r="AQ186" s="287"/>
      <c r="AR186" s="287"/>
      <c r="AS186" s="287"/>
      <c r="AT186" s="287"/>
      <c r="AU186" s="287"/>
      <c r="AV186" s="287"/>
      <c r="AW186" s="287"/>
      <c r="AX186" s="287"/>
      <c r="AY186" s="287"/>
      <c r="AZ186" s="287"/>
      <c r="BA186" s="287"/>
      <c r="BB186" s="287"/>
      <c r="BC186" s="287"/>
    </row>
    <row r="187" ht="15.75" customHeight="1">
      <c r="A187" s="287"/>
      <c r="B187" s="287"/>
      <c r="C187" s="287"/>
      <c r="D187" s="287"/>
      <c r="E187" s="287"/>
      <c r="F187" s="287"/>
      <c r="G187" s="287"/>
      <c r="H187" s="287"/>
      <c r="I187" s="287"/>
      <c r="J187" s="287"/>
      <c r="K187" s="287"/>
      <c r="L187" s="287"/>
      <c r="M187" s="287"/>
      <c r="N187" s="287"/>
      <c r="O187" s="287"/>
      <c r="P187" s="287"/>
      <c r="Q187" s="287"/>
      <c r="R187" s="287"/>
      <c r="S187" s="287"/>
      <c r="T187" s="287"/>
      <c r="U187" s="287"/>
      <c r="V187" s="287"/>
      <c r="W187" s="287"/>
      <c r="X187" s="287"/>
      <c r="Y187" s="287"/>
      <c r="Z187" s="287"/>
      <c r="AA187" s="287"/>
      <c r="AB187" s="287"/>
      <c r="AC187" s="287"/>
      <c r="AD187" s="287"/>
      <c r="AE187" s="287"/>
      <c r="AF187" s="287"/>
      <c r="AG187" s="287"/>
      <c r="AH187" s="287"/>
      <c r="AI187" s="287"/>
      <c r="AJ187" s="287"/>
      <c r="AK187" s="287"/>
      <c r="AL187" s="287"/>
      <c r="AM187" s="287"/>
      <c r="AN187" s="287"/>
      <c r="AO187" s="287"/>
      <c r="AP187" s="287"/>
      <c r="AQ187" s="287"/>
      <c r="AR187" s="287"/>
      <c r="AS187" s="287"/>
      <c r="AT187" s="287"/>
      <c r="AU187" s="287"/>
      <c r="AV187" s="287"/>
      <c r="AW187" s="287"/>
      <c r="AX187" s="287"/>
      <c r="AY187" s="287"/>
      <c r="AZ187" s="287"/>
      <c r="BA187" s="287"/>
      <c r="BB187" s="287"/>
      <c r="BC187" s="287"/>
    </row>
    <row r="188" ht="15.75" customHeight="1">
      <c r="A188" s="287"/>
      <c r="B188" s="287"/>
      <c r="C188" s="287"/>
      <c r="D188" s="287"/>
      <c r="E188" s="287"/>
      <c r="F188" s="287"/>
      <c r="G188" s="287"/>
      <c r="H188" s="287"/>
      <c r="I188" s="287"/>
      <c r="J188" s="287"/>
      <c r="K188" s="287"/>
      <c r="L188" s="287"/>
      <c r="M188" s="287"/>
      <c r="N188" s="287"/>
      <c r="O188" s="287"/>
      <c r="P188" s="287"/>
      <c r="Q188" s="287"/>
      <c r="R188" s="287"/>
      <c r="S188" s="287"/>
      <c r="T188" s="287"/>
      <c r="U188" s="287"/>
      <c r="V188" s="287"/>
      <c r="W188" s="287"/>
      <c r="X188" s="287"/>
      <c r="Y188" s="287"/>
      <c r="Z188" s="287"/>
      <c r="AA188" s="287"/>
      <c r="AB188" s="287"/>
      <c r="AC188" s="287"/>
      <c r="AD188" s="287"/>
      <c r="AE188" s="287"/>
      <c r="AF188" s="287"/>
      <c r="AG188" s="287"/>
      <c r="AH188" s="287"/>
      <c r="AI188" s="287"/>
      <c r="AJ188" s="287"/>
      <c r="AK188" s="287"/>
      <c r="AL188" s="287"/>
      <c r="AM188" s="287"/>
      <c r="AN188" s="287"/>
      <c r="AO188" s="287"/>
      <c r="AP188" s="287"/>
      <c r="AQ188" s="287"/>
      <c r="AR188" s="287"/>
      <c r="AS188" s="287"/>
      <c r="AT188" s="287"/>
      <c r="AU188" s="287"/>
      <c r="AV188" s="287"/>
      <c r="AW188" s="287"/>
      <c r="AX188" s="287"/>
      <c r="AY188" s="287"/>
      <c r="AZ188" s="287"/>
      <c r="BA188" s="287"/>
      <c r="BB188" s="287"/>
      <c r="BC188" s="287"/>
    </row>
    <row r="189" ht="15.75" customHeight="1">
      <c r="A189" s="287"/>
      <c r="B189" s="287"/>
      <c r="C189" s="287"/>
      <c r="D189" s="287"/>
      <c r="E189" s="287"/>
      <c r="F189" s="287"/>
      <c r="G189" s="287"/>
      <c r="H189" s="287"/>
      <c r="I189" s="287"/>
      <c r="J189" s="287"/>
      <c r="K189" s="287"/>
      <c r="L189" s="287"/>
      <c r="M189" s="287"/>
      <c r="N189" s="287"/>
      <c r="O189" s="287"/>
      <c r="P189" s="287"/>
      <c r="Q189" s="287"/>
      <c r="R189" s="287"/>
      <c r="S189" s="287"/>
      <c r="T189" s="287"/>
      <c r="U189" s="287"/>
      <c r="V189" s="287"/>
      <c r="W189" s="287"/>
      <c r="X189" s="287"/>
      <c r="Y189" s="287"/>
      <c r="Z189" s="287"/>
      <c r="AA189" s="287"/>
      <c r="AB189" s="287"/>
      <c r="AC189" s="287"/>
      <c r="AD189" s="287"/>
      <c r="AE189" s="287"/>
      <c r="AF189" s="287"/>
      <c r="AG189" s="287"/>
      <c r="AH189" s="287"/>
      <c r="AI189" s="287"/>
      <c r="AJ189" s="287"/>
      <c r="AK189" s="287"/>
      <c r="AL189" s="287"/>
      <c r="AM189" s="287"/>
      <c r="AN189" s="287"/>
      <c r="AO189" s="287"/>
      <c r="AP189" s="287"/>
      <c r="AQ189" s="287"/>
      <c r="AR189" s="287"/>
      <c r="AS189" s="287"/>
      <c r="AT189" s="287"/>
      <c r="AU189" s="287"/>
      <c r="AV189" s="287"/>
      <c r="AW189" s="287"/>
      <c r="AX189" s="287"/>
      <c r="AY189" s="287"/>
      <c r="AZ189" s="287"/>
      <c r="BA189" s="287"/>
      <c r="BB189" s="287"/>
      <c r="BC189" s="287"/>
    </row>
    <row r="190" ht="15.75" customHeight="1">
      <c r="A190" s="287"/>
      <c r="B190" s="287"/>
      <c r="C190" s="287"/>
      <c r="D190" s="287"/>
      <c r="E190" s="287"/>
      <c r="F190" s="287"/>
      <c r="G190" s="287"/>
      <c r="H190" s="287"/>
      <c r="I190" s="287"/>
      <c r="J190" s="287"/>
      <c r="K190" s="287"/>
      <c r="L190" s="287"/>
      <c r="M190" s="287"/>
      <c r="N190" s="287"/>
      <c r="O190" s="287"/>
      <c r="P190" s="287"/>
      <c r="Q190" s="287"/>
      <c r="R190" s="287"/>
      <c r="S190" s="287"/>
      <c r="T190" s="287"/>
      <c r="U190" s="287"/>
      <c r="V190" s="287"/>
      <c r="W190" s="287"/>
      <c r="X190" s="287"/>
      <c r="Y190" s="287"/>
      <c r="Z190" s="287"/>
      <c r="AA190" s="287"/>
      <c r="AB190" s="287"/>
      <c r="AC190" s="287"/>
      <c r="AD190" s="287"/>
      <c r="AE190" s="287"/>
      <c r="AF190" s="287"/>
      <c r="AG190" s="287"/>
      <c r="AH190" s="287"/>
      <c r="AI190" s="287"/>
      <c r="AJ190" s="287"/>
      <c r="AK190" s="287"/>
      <c r="AL190" s="287"/>
      <c r="AM190" s="287"/>
      <c r="AN190" s="287"/>
      <c r="AO190" s="287"/>
      <c r="AP190" s="287"/>
      <c r="AQ190" s="287"/>
      <c r="AR190" s="287"/>
      <c r="AS190" s="287"/>
      <c r="AT190" s="287"/>
      <c r="AU190" s="287"/>
      <c r="AV190" s="287"/>
      <c r="AW190" s="287"/>
      <c r="AX190" s="287"/>
      <c r="AY190" s="287"/>
      <c r="AZ190" s="287"/>
      <c r="BA190" s="287"/>
      <c r="BB190" s="287"/>
      <c r="BC190" s="287"/>
    </row>
    <row r="191" ht="15.75" customHeight="1">
      <c r="A191" s="287"/>
      <c r="B191" s="287"/>
      <c r="C191" s="287"/>
      <c r="D191" s="287"/>
      <c r="E191" s="287"/>
      <c r="F191" s="287"/>
      <c r="G191" s="287"/>
      <c r="H191" s="287"/>
      <c r="I191" s="287"/>
      <c r="J191" s="287"/>
      <c r="K191" s="287"/>
      <c r="L191" s="287"/>
      <c r="M191" s="287"/>
      <c r="N191" s="287"/>
      <c r="O191" s="287"/>
      <c r="P191" s="287"/>
      <c r="Q191" s="287"/>
      <c r="R191" s="287"/>
      <c r="S191" s="287"/>
      <c r="T191" s="287"/>
      <c r="U191" s="287"/>
      <c r="V191" s="287"/>
      <c r="W191" s="287"/>
      <c r="X191" s="287"/>
      <c r="Y191" s="287"/>
      <c r="Z191" s="287"/>
      <c r="AA191" s="287"/>
      <c r="AB191" s="287"/>
      <c r="AC191" s="287"/>
      <c r="AD191" s="287"/>
      <c r="AE191" s="287"/>
      <c r="AF191" s="287"/>
      <c r="AG191" s="287"/>
      <c r="AH191" s="287"/>
      <c r="AI191" s="287"/>
      <c r="AJ191" s="287"/>
      <c r="AK191" s="287"/>
      <c r="AL191" s="287"/>
      <c r="AM191" s="287"/>
      <c r="AN191" s="287"/>
      <c r="AO191" s="287"/>
      <c r="AP191" s="287"/>
      <c r="AQ191" s="287"/>
      <c r="AR191" s="287"/>
      <c r="AS191" s="287"/>
      <c r="AT191" s="287"/>
      <c r="AU191" s="287"/>
      <c r="AV191" s="287"/>
      <c r="AW191" s="287"/>
      <c r="AX191" s="287"/>
      <c r="AY191" s="287"/>
      <c r="AZ191" s="287"/>
      <c r="BA191" s="287"/>
      <c r="BB191" s="287"/>
      <c r="BC191" s="287"/>
    </row>
    <row r="192" ht="15.75" customHeight="1">
      <c r="A192" s="287"/>
      <c r="B192" s="287"/>
      <c r="C192" s="287"/>
      <c r="D192" s="287"/>
      <c r="E192" s="287"/>
      <c r="F192" s="287"/>
      <c r="G192" s="287"/>
      <c r="H192" s="287"/>
      <c r="I192" s="287"/>
      <c r="J192" s="287"/>
      <c r="K192" s="287"/>
      <c r="L192" s="287"/>
      <c r="M192" s="287"/>
      <c r="N192" s="287"/>
      <c r="O192" s="287"/>
      <c r="P192" s="287"/>
      <c r="Q192" s="287"/>
      <c r="R192" s="287"/>
      <c r="S192" s="287"/>
      <c r="T192" s="287"/>
      <c r="U192" s="287"/>
      <c r="V192" s="287"/>
      <c r="W192" s="287"/>
      <c r="X192" s="287"/>
      <c r="Y192" s="287"/>
      <c r="Z192" s="287"/>
      <c r="AA192" s="287"/>
      <c r="AB192" s="287"/>
      <c r="AC192" s="287"/>
      <c r="AD192" s="287"/>
      <c r="AE192" s="287"/>
      <c r="AF192" s="287"/>
      <c r="AG192" s="287"/>
      <c r="AH192" s="287"/>
      <c r="AI192" s="287"/>
      <c r="AJ192" s="287"/>
      <c r="AK192" s="287"/>
      <c r="AL192" s="287"/>
      <c r="AM192" s="287"/>
      <c r="AN192" s="287"/>
      <c r="AO192" s="287"/>
      <c r="AP192" s="287"/>
      <c r="AQ192" s="287"/>
      <c r="AR192" s="287"/>
      <c r="AS192" s="287"/>
      <c r="AT192" s="287"/>
      <c r="AU192" s="287"/>
      <c r="AV192" s="287"/>
      <c r="AW192" s="287"/>
      <c r="AX192" s="287"/>
      <c r="AY192" s="287"/>
      <c r="AZ192" s="287"/>
      <c r="BA192" s="287"/>
      <c r="BB192" s="287"/>
      <c r="BC192" s="287"/>
    </row>
    <row r="193" ht="15.75" customHeight="1">
      <c r="A193" s="287"/>
      <c r="B193" s="287"/>
      <c r="C193" s="287"/>
      <c r="D193" s="287"/>
      <c r="E193" s="287"/>
      <c r="F193" s="287"/>
      <c r="G193" s="287"/>
      <c r="H193" s="287"/>
      <c r="I193" s="287"/>
      <c r="J193" s="287"/>
      <c r="K193" s="287"/>
      <c r="L193" s="287"/>
      <c r="M193" s="287"/>
      <c r="N193" s="287"/>
      <c r="O193" s="287"/>
      <c r="P193" s="287"/>
      <c r="Q193" s="287"/>
      <c r="R193" s="287"/>
      <c r="S193" s="287"/>
      <c r="T193" s="287"/>
      <c r="U193" s="287"/>
      <c r="V193" s="287"/>
      <c r="W193" s="287"/>
      <c r="X193" s="287"/>
      <c r="Y193" s="287"/>
      <c r="Z193" s="287"/>
      <c r="AA193" s="287"/>
      <c r="AB193" s="287"/>
      <c r="AC193" s="287"/>
      <c r="AD193" s="287"/>
      <c r="AE193" s="287"/>
      <c r="AF193" s="287"/>
      <c r="AG193" s="287"/>
      <c r="AH193" s="287"/>
      <c r="AI193" s="287"/>
      <c r="AJ193" s="287"/>
      <c r="AK193" s="287"/>
      <c r="AL193" s="287"/>
      <c r="AM193" s="287"/>
      <c r="AN193" s="287"/>
      <c r="AO193" s="287"/>
      <c r="AP193" s="287"/>
      <c r="AQ193" s="287"/>
      <c r="AR193" s="287"/>
      <c r="AS193" s="287"/>
      <c r="AT193" s="287"/>
      <c r="AU193" s="287"/>
      <c r="AV193" s="287"/>
      <c r="AW193" s="287"/>
      <c r="AX193" s="287"/>
      <c r="AY193" s="287"/>
      <c r="AZ193" s="287"/>
      <c r="BA193" s="287"/>
      <c r="BB193" s="287"/>
      <c r="BC193" s="287"/>
    </row>
    <row r="194" ht="15.75" customHeight="1">
      <c r="A194" s="287"/>
      <c r="B194" s="287"/>
      <c r="C194" s="287"/>
      <c r="D194" s="287"/>
      <c r="E194" s="287"/>
      <c r="F194" s="287"/>
      <c r="G194" s="287"/>
      <c r="H194" s="287"/>
      <c r="I194" s="287"/>
      <c r="J194" s="287"/>
      <c r="K194" s="287"/>
      <c r="L194" s="287"/>
      <c r="M194" s="287"/>
      <c r="N194" s="287"/>
      <c r="O194" s="287"/>
      <c r="P194" s="287"/>
      <c r="Q194" s="287"/>
      <c r="R194" s="287"/>
      <c r="S194" s="287"/>
      <c r="T194" s="287"/>
      <c r="U194" s="287"/>
      <c r="V194" s="287"/>
      <c r="W194" s="287"/>
      <c r="X194" s="287"/>
      <c r="Y194" s="287"/>
      <c r="Z194" s="287"/>
      <c r="AA194" s="287"/>
      <c r="AB194" s="287"/>
      <c r="AC194" s="287"/>
      <c r="AD194" s="287"/>
      <c r="AE194" s="287"/>
      <c r="AF194" s="287"/>
      <c r="AG194" s="287"/>
      <c r="AH194" s="287"/>
      <c r="AI194" s="287"/>
      <c r="AJ194" s="287"/>
      <c r="AK194" s="287"/>
      <c r="AL194" s="287"/>
      <c r="AM194" s="287"/>
      <c r="AN194" s="287"/>
      <c r="AO194" s="287"/>
      <c r="AP194" s="287"/>
      <c r="AQ194" s="287"/>
      <c r="AR194" s="287"/>
      <c r="AS194" s="287"/>
      <c r="AT194" s="287"/>
      <c r="AU194" s="287"/>
      <c r="AV194" s="287"/>
      <c r="AW194" s="287"/>
      <c r="AX194" s="287"/>
      <c r="AY194" s="287"/>
      <c r="AZ194" s="287"/>
      <c r="BA194" s="287"/>
      <c r="BB194" s="287"/>
      <c r="BC194" s="287"/>
    </row>
    <row r="195" ht="15.75" customHeight="1">
      <c r="A195" s="287"/>
      <c r="B195" s="287"/>
      <c r="C195" s="287"/>
      <c r="D195" s="287"/>
      <c r="E195" s="287"/>
      <c r="F195" s="287"/>
      <c r="G195" s="287"/>
      <c r="H195" s="287"/>
      <c r="I195" s="287"/>
      <c r="J195" s="287"/>
      <c r="K195" s="287"/>
      <c r="L195" s="287"/>
      <c r="M195" s="287"/>
      <c r="N195" s="287"/>
      <c r="O195" s="287"/>
      <c r="P195" s="287"/>
      <c r="Q195" s="287"/>
      <c r="R195" s="287"/>
      <c r="S195" s="287"/>
      <c r="T195" s="287"/>
      <c r="U195" s="287"/>
      <c r="V195" s="287"/>
      <c r="W195" s="287"/>
      <c r="X195" s="287"/>
      <c r="Y195" s="287"/>
      <c r="Z195" s="287"/>
      <c r="AA195" s="287"/>
      <c r="AB195" s="287"/>
      <c r="AC195" s="287"/>
      <c r="AD195" s="287"/>
      <c r="AE195" s="287"/>
      <c r="AF195" s="287"/>
      <c r="AG195" s="287"/>
      <c r="AH195" s="287"/>
      <c r="AI195" s="287"/>
      <c r="AJ195" s="287"/>
      <c r="AK195" s="287"/>
      <c r="AL195" s="287"/>
      <c r="AM195" s="287"/>
      <c r="AN195" s="287"/>
      <c r="AO195" s="287"/>
      <c r="AP195" s="287"/>
      <c r="AQ195" s="287"/>
      <c r="AR195" s="287"/>
      <c r="AS195" s="287"/>
      <c r="AT195" s="287"/>
      <c r="AU195" s="287"/>
      <c r="AV195" s="287"/>
      <c r="AW195" s="287"/>
      <c r="AX195" s="287"/>
      <c r="AY195" s="287"/>
      <c r="AZ195" s="287"/>
      <c r="BA195" s="287"/>
      <c r="BB195" s="287"/>
      <c r="BC195" s="287"/>
    </row>
    <row r="196" ht="15.75" customHeight="1">
      <c r="A196" s="287"/>
      <c r="B196" s="287"/>
      <c r="C196" s="287"/>
      <c r="D196" s="287"/>
      <c r="E196" s="287"/>
      <c r="F196" s="287"/>
      <c r="G196" s="287"/>
      <c r="H196" s="287"/>
      <c r="I196" s="287"/>
      <c r="J196" s="287"/>
      <c r="K196" s="287"/>
      <c r="L196" s="287"/>
      <c r="M196" s="287"/>
      <c r="N196" s="287"/>
      <c r="O196" s="287"/>
      <c r="P196" s="287"/>
      <c r="Q196" s="287"/>
      <c r="R196" s="287"/>
      <c r="S196" s="287"/>
      <c r="T196" s="287"/>
      <c r="U196" s="287"/>
      <c r="V196" s="287"/>
      <c r="W196" s="287"/>
      <c r="X196" s="287"/>
      <c r="Y196" s="287"/>
      <c r="Z196" s="287"/>
      <c r="AA196" s="287"/>
      <c r="AB196" s="287"/>
      <c r="AC196" s="287"/>
      <c r="AD196" s="287"/>
      <c r="AE196" s="287"/>
      <c r="AF196" s="287"/>
      <c r="AG196" s="287"/>
      <c r="AH196" s="287"/>
      <c r="AI196" s="287"/>
      <c r="AJ196" s="287"/>
      <c r="AK196" s="287"/>
      <c r="AL196" s="287"/>
      <c r="AM196" s="287"/>
      <c r="AN196" s="287"/>
      <c r="AO196" s="287"/>
      <c r="AP196" s="287"/>
      <c r="AQ196" s="287"/>
      <c r="AR196" s="287"/>
      <c r="AS196" s="287"/>
      <c r="AT196" s="287"/>
      <c r="AU196" s="287"/>
      <c r="AV196" s="287"/>
      <c r="AW196" s="287"/>
      <c r="AX196" s="287"/>
      <c r="AY196" s="287"/>
      <c r="AZ196" s="287"/>
      <c r="BA196" s="287"/>
      <c r="BB196" s="287"/>
      <c r="BC196" s="287"/>
    </row>
    <row r="197" ht="15.75" customHeight="1">
      <c r="A197" s="287"/>
      <c r="B197" s="287"/>
      <c r="C197" s="287"/>
      <c r="D197" s="287"/>
      <c r="E197" s="287"/>
      <c r="F197" s="287"/>
      <c r="G197" s="287"/>
      <c r="H197" s="287"/>
      <c r="I197" s="287"/>
      <c r="J197" s="287"/>
      <c r="K197" s="287"/>
      <c r="L197" s="287"/>
      <c r="M197" s="287"/>
      <c r="N197" s="287"/>
      <c r="O197" s="287"/>
      <c r="P197" s="287"/>
      <c r="Q197" s="287"/>
      <c r="R197" s="287"/>
      <c r="S197" s="287"/>
      <c r="T197" s="287"/>
      <c r="U197" s="287"/>
      <c r="V197" s="287"/>
      <c r="W197" s="287"/>
      <c r="X197" s="287"/>
      <c r="Y197" s="287"/>
      <c r="Z197" s="287"/>
      <c r="AA197" s="287"/>
      <c r="AB197" s="287"/>
      <c r="AC197" s="287"/>
      <c r="AD197" s="287"/>
      <c r="AE197" s="287"/>
      <c r="AF197" s="287"/>
      <c r="AG197" s="287"/>
      <c r="AH197" s="287"/>
      <c r="AI197" s="287"/>
      <c r="AJ197" s="287"/>
      <c r="AK197" s="287"/>
      <c r="AL197" s="287"/>
      <c r="AM197" s="287"/>
      <c r="AN197" s="287"/>
      <c r="AO197" s="287"/>
      <c r="AP197" s="287"/>
      <c r="AQ197" s="287"/>
      <c r="AR197" s="287"/>
      <c r="AS197" s="287"/>
      <c r="AT197" s="287"/>
      <c r="AU197" s="287"/>
      <c r="AV197" s="287"/>
      <c r="AW197" s="287"/>
      <c r="AX197" s="287"/>
      <c r="AY197" s="287"/>
      <c r="AZ197" s="287"/>
      <c r="BA197" s="287"/>
      <c r="BB197" s="287"/>
      <c r="BC197" s="287"/>
    </row>
    <row r="198" ht="15.75" customHeight="1">
      <c r="A198" s="287"/>
      <c r="B198" s="287"/>
      <c r="C198" s="287"/>
      <c r="D198" s="287"/>
      <c r="E198" s="287"/>
      <c r="F198" s="287"/>
      <c r="G198" s="287"/>
      <c r="H198" s="287"/>
      <c r="I198" s="287"/>
      <c r="J198" s="287"/>
      <c r="K198" s="287"/>
      <c r="L198" s="287"/>
      <c r="M198" s="287"/>
      <c r="N198" s="287"/>
      <c r="O198" s="287"/>
      <c r="P198" s="287"/>
      <c r="Q198" s="287"/>
      <c r="R198" s="287"/>
      <c r="S198" s="287"/>
      <c r="T198" s="287"/>
      <c r="U198" s="287"/>
      <c r="V198" s="287"/>
      <c r="W198" s="287"/>
      <c r="X198" s="287"/>
      <c r="Y198" s="287"/>
      <c r="Z198" s="287"/>
      <c r="AA198" s="287"/>
      <c r="AB198" s="287"/>
      <c r="AC198" s="287"/>
      <c r="AD198" s="287"/>
      <c r="AE198" s="287"/>
      <c r="AF198" s="287"/>
      <c r="AG198" s="287"/>
      <c r="AH198" s="287"/>
      <c r="AI198" s="287"/>
      <c r="AJ198" s="287"/>
      <c r="AK198" s="287"/>
      <c r="AL198" s="287"/>
      <c r="AM198" s="287"/>
      <c r="AN198" s="287"/>
      <c r="AO198" s="287"/>
      <c r="AP198" s="287"/>
      <c r="AQ198" s="287"/>
      <c r="AR198" s="287"/>
      <c r="AS198" s="287"/>
      <c r="AT198" s="287"/>
      <c r="AU198" s="287"/>
      <c r="AV198" s="287"/>
      <c r="AW198" s="287"/>
      <c r="AX198" s="287"/>
      <c r="AY198" s="287"/>
      <c r="AZ198" s="287"/>
      <c r="BA198" s="287"/>
      <c r="BB198" s="287"/>
      <c r="BC198" s="287"/>
    </row>
    <row r="199" ht="15.75" customHeight="1">
      <c r="A199" s="287"/>
      <c r="B199" s="287"/>
      <c r="C199" s="287"/>
      <c r="D199" s="287"/>
      <c r="E199" s="287"/>
      <c r="F199" s="287"/>
      <c r="G199" s="287"/>
      <c r="H199" s="287"/>
      <c r="I199" s="287"/>
      <c r="J199" s="287"/>
      <c r="K199" s="287"/>
      <c r="L199" s="287"/>
      <c r="M199" s="287"/>
      <c r="N199" s="287"/>
      <c r="O199" s="287"/>
      <c r="P199" s="287"/>
      <c r="Q199" s="287"/>
      <c r="R199" s="287"/>
      <c r="S199" s="287"/>
      <c r="T199" s="287"/>
      <c r="U199" s="287"/>
      <c r="V199" s="287"/>
      <c r="W199" s="287"/>
      <c r="X199" s="287"/>
      <c r="Y199" s="287"/>
      <c r="Z199" s="287"/>
      <c r="AA199" s="287"/>
      <c r="AB199" s="287"/>
      <c r="AC199" s="287"/>
      <c r="AD199" s="287"/>
      <c r="AE199" s="287"/>
      <c r="AF199" s="287"/>
      <c r="AG199" s="287"/>
      <c r="AH199" s="287"/>
      <c r="AI199" s="287"/>
      <c r="AJ199" s="287"/>
      <c r="AK199" s="287"/>
      <c r="AL199" s="287"/>
      <c r="AM199" s="287"/>
      <c r="AN199" s="287"/>
      <c r="AO199" s="287"/>
      <c r="AP199" s="287"/>
      <c r="AQ199" s="287"/>
      <c r="AR199" s="287"/>
      <c r="AS199" s="287"/>
      <c r="AT199" s="287"/>
      <c r="AU199" s="287"/>
      <c r="AV199" s="287"/>
      <c r="AW199" s="287"/>
      <c r="AX199" s="287"/>
      <c r="AY199" s="287"/>
      <c r="AZ199" s="287"/>
      <c r="BA199" s="287"/>
      <c r="BB199" s="287"/>
      <c r="BC199" s="287"/>
    </row>
    <row r="200" ht="15.75" customHeight="1">
      <c r="A200" s="287"/>
      <c r="B200" s="287"/>
      <c r="C200" s="287"/>
      <c r="D200" s="287"/>
      <c r="E200" s="287"/>
      <c r="F200" s="287"/>
      <c r="G200" s="287"/>
      <c r="H200" s="287"/>
      <c r="I200" s="287"/>
      <c r="J200" s="287"/>
      <c r="K200" s="287"/>
      <c r="L200" s="287"/>
      <c r="M200" s="287"/>
      <c r="N200" s="287"/>
      <c r="O200" s="287"/>
      <c r="P200" s="287"/>
      <c r="Q200" s="287"/>
      <c r="R200" s="287"/>
      <c r="S200" s="287"/>
      <c r="T200" s="287"/>
      <c r="U200" s="287"/>
      <c r="V200" s="287"/>
      <c r="W200" s="287"/>
      <c r="X200" s="287"/>
      <c r="Y200" s="287"/>
      <c r="Z200" s="287"/>
      <c r="AA200" s="287"/>
      <c r="AB200" s="287"/>
      <c r="AC200" s="287"/>
      <c r="AD200" s="287"/>
      <c r="AE200" s="287"/>
      <c r="AF200" s="287"/>
      <c r="AG200" s="287"/>
      <c r="AH200" s="287"/>
      <c r="AI200" s="287"/>
      <c r="AJ200" s="287"/>
      <c r="AK200" s="287"/>
      <c r="AL200" s="287"/>
      <c r="AM200" s="287"/>
      <c r="AN200" s="287"/>
      <c r="AO200" s="287"/>
      <c r="AP200" s="287"/>
      <c r="AQ200" s="287"/>
      <c r="AR200" s="287"/>
      <c r="AS200" s="287"/>
      <c r="AT200" s="287"/>
      <c r="AU200" s="287"/>
      <c r="AV200" s="287"/>
      <c r="AW200" s="287"/>
      <c r="AX200" s="287"/>
      <c r="AY200" s="287"/>
      <c r="AZ200" s="287"/>
      <c r="BA200" s="287"/>
      <c r="BB200" s="287"/>
      <c r="BC200" s="287"/>
    </row>
    <row r="201" ht="15.75" customHeight="1">
      <c r="A201" s="287"/>
      <c r="B201" s="287"/>
      <c r="C201" s="287"/>
      <c r="D201" s="287"/>
      <c r="E201" s="287"/>
      <c r="F201" s="287"/>
      <c r="G201" s="287"/>
      <c r="H201" s="287"/>
      <c r="I201" s="287"/>
      <c r="J201" s="287"/>
      <c r="K201" s="287"/>
      <c r="L201" s="287"/>
      <c r="M201" s="287"/>
      <c r="N201" s="287"/>
      <c r="O201" s="287"/>
      <c r="P201" s="287"/>
      <c r="Q201" s="287"/>
      <c r="R201" s="287"/>
      <c r="S201" s="287"/>
      <c r="T201" s="287"/>
      <c r="U201" s="287"/>
      <c r="V201" s="287"/>
      <c r="W201" s="287"/>
      <c r="X201" s="287"/>
      <c r="Y201" s="287"/>
      <c r="Z201" s="287"/>
      <c r="AA201" s="287"/>
      <c r="AB201" s="287"/>
      <c r="AC201" s="287"/>
      <c r="AD201" s="287"/>
      <c r="AE201" s="287"/>
      <c r="AF201" s="287"/>
      <c r="AG201" s="287"/>
      <c r="AH201" s="287"/>
      <c r="AI201" s="287"/>
      <c r="AJ201" s="287"/>
      <c r="AK201" s="287"/>
      <c r="AL201" s="287"/>
      <c r="AM201" s="287"/>
      <c r="AN201" s="287"/>
      <c r="AO201" s="287"/>
      <c r="AP201" s="287"/>
      <c r="AQ201" s="287"/>
      <c r="AR201" s="287"/>
      <c r="AS201" s="287"/>
      <c r="AT201" s="287"/>
      <c r="AU201" s="287"/>
      <c r="AV201" s="287"/>
      <c r="AW201" s="287"/>
      <c r="AX201" s="287"/>
      <c r="AY201" s="287"/>
      <c r="AZ201" s="287"/>
      <c r="BA201" s="287"/>
      <c r="BB201" s="287"/>
      <c r="BC201" s="287"/>
    </row>
    <row r="202" ht="15.75" customHeight="1">
      <c r="A202" s="287"/>
      <c r="B202" s="287"/>
      <c r="C202" s="287"/>
      <c r="D202" s="287"/>
      <c r="E202" s="287"/>
      <c r="F202" s="287"/>
      <c r="G202" s="287"/>
      <c r="H202" s="287"/>
      <c r="I202" s="287"/>
      <c r="J202" s="287"/>
      <c r="K202" s="287"/>
      <c r="L202" s="287"/>
      <c r="M202" s="287"/>
      <c r="N202" s="287"/>
      <c r="O202" s="287"/>
      <c r="P202" s="287"/>
      <c r="Q202" s="287"/>
      <c r="R202" s="287"/>
      <c r="S202" s="287"/>
      <c r="T202" s="287"/>
      <c r="U202" s="287"/>
      <c r="V202" s="287"/>
      <c r="W202" s="287"/>
      <c r="X202" s="287"/>
      <c r="Y202" s="287"/>
      <c r="Z202" s="287"/>
      <c r="AA202" s="287"/>
      <c r="AB202" s="287"/>
      <c r="AC202" s="287"/>
      <c r="AD202" s="287"/>
      <c r="AE202" s="287"/>
      <c r="AF202" s="287"/>
      <c r="AG202" s="287"/>
      <c r="AH202" s="287"/>
      <c r="AI202" s="287"/>
      <c r="AJ202" s="287"/>
      <c r="AK202" s="287"/>
      <c r="AL202" s="287"/>
      <c r="AM202" s="287"/>
      <c r="AN202" s="287"/>
      <c r="AO202" s="287"/>
      <c r="AP202" s="287"/>
      <c r="AQ202" s="287"/>
      <c r="AR202" s="287"/>
      <c r="AS202" s="287"/>
      <c r="AT202" s="287"/>
      <c r="AU202" s="287"/>
      <c r="AV202" s="287"/>
      <c r="AW202" s="287"/>
      <c r="AX202" s="287"/>
      <c r="AY202" s="287"/>
      <c r="AZ202" s="287"/>
      <c r="BA202" s="287"/>
      <c r="BB202" s="287"/>
      <c r="BC202" s="287"/>
    </row>
    <row r="203" ht="15.75" customHeight="1">
      <c r="A203" s="287"/>
      <c r="B203" s="287"/>
      <c r="C203" s="287"/>
      <c r="D203" s="287"/>
      <c r="E203" s="287"/>
      <c r="F203" s="287"/>
      <c r="G203" s="287"/>
      <c r="H203" s="287"/>
      <c r="I203" s="287"/>
      <c r="J203" s="287"/>
      <c r="K203" s="287"/>
      <c r="L203" s="287"/>
      <c r="M203" s="287"/>
      <c r="N203" s="287"/>
      <c r="O203" s="287"/>
      <c r="P203" s="287"/>
      <c r="Q203" s="287"/>
      <c r="R203" s="287"/>
      <c r="S203" s="287"/>
      <c r="T203" s="287"/>
      <c r="U203" s="287"/>
      <c r="V203" s="287"/>
      <c r="W203" s="287"/>
      <c r="X203" s="287"/>
      <c r="Y203" s="287"/>
      <c r="Z203" s="287"/>
      <c r="AA203" s="287"/>
      <c r="AB203" s="287"/>
      <c r="AC203" s="287"/>
      <c r="AD203" s="287"/>
      <c r="AE203" s="287"/>
      <c r="AF203" s="287"/>
      <c r="AG203" s="287"/>
      <c r="AH203" s="287"/>
      <c r="AI203" s="287"/>
      <c r="AJ203" s="287"/>
      <c r="AK203" s="287"/>
      <c r="AL203" s="287"/>
      <c r="AM203" s="287"/>
      <c r="AN203" s="287"/>
      <c r="AO203" s="287"/>
      <c r="AP203" s="287"/>
      <c r="AQ203" s="287"/>
      <c r="AR203" s="287"/>
      <c r="AS203" s="287"/>
      <c r="AT203" s="287"/>
      <c r="AU203" s="287"/>
      <c r="AV203" s="287"/>
      <c r="AW203" s="287"/>
      <c r="AX203" s="287"/>
      <c r="AY203" s="287"/>
      <c r="AZ203" s="287"/>
      <c r="BA203" s="287"/>
      <c r="BB203" s="287"/>
      <c r="BC203" s="287"/>
    </row>
    <row r="204" ht="15.75" customHeight="1">
      <c r="A204" s="287"/>
      <c r="B204" s="287"/>
      <c r="C204" s="287"/>
      <c r="D204" s="287"/>
      <c r="E204" s="287"/>
      <c r="F204" s="287"/>
      <c r="G204" s="287"/>
      <c r="H204" s="287"/>
      <c r="I204" s="287"/>
      <c r="J204" s="287"/>
      <c r="K204" s="287"/>
      <c r="L204" s="287"/>
      <c r="M204" s="287"/>
      <c r="N204" s="287"/>
      <c r="O204" s="287"/>
      <c r="P204" s="287"/>
      <c r="Q204" s="287"/>
      <c r="R204" s="287"/>
      <c r="S204" s="287"/>
      <c r="T204" s="287"/>
      <c r="U204" s="287"/>
      <c r="V204" s="287"/>
      <c r="W204" s="287"/>
      <c r="X204" s="287"/>
      <c r="Y204" s="287"/>
      <c r="Z204" s="287"/>
      <c r="AA204" s="287"/>
      <c r="AB204" s="287"/>
      <c r="AC204" s="287"/>
      <c r="AD204" s="287"/>
      <c r="AE204" s="287"/>
      <c r="AF204" s="287"/>
      <c r="AG204" s="287"/>
      <c r="AH204" s="287"/>
      <c r="AI204" s="287"/>
      <c r="AJ204" s="287"/>
      <c r="AK204" s="287"/>
      <c r="AL204" s="287"/>
      <c r="AM204" s="287"/>
      <c r="AN204" s="287"/>
      <c r="AO204" s="287"/>
      <c r="AP204" s="287"/>
      <c r="AQ204" s="287"/>
      <c r="AR204" s="287"/>
      <c r="AS204" s="287"/>
      <c r="AT204" s="287"/>
      <c r="AU204" s="287"/>
      <c r="AV204" s="287"/>
      <c r="AW204" s="287"/>
      <c r="AX204" s="287"/>
      <c r="AY204" s="287"/>
      <c r="AZ204" s="287"/>
      <c r="BA204" s="287"/>
      <c r="BB204" s="287"/>
      <c r="BC204" s="287"/>
    </row>
    <row r="205" ht="15.75" customHeight="1">
      <c r="A205" s="287"/>
      <c r="B205" s="287"/>
      <c r="C205" s="287"/>
      <c r="D205" s="287"/>
      <c r="E205" s="287"/>
      <c r="F205" s="287"/>
      <c r="G205" s="287"/>
      <c r="H205" s="287"/>
      <c r="I205" s="287"/>
      <c r="J205" s="287"/>
      <c r="K205" s="287"/>
      <c r="L205" s="287"/>
      <c r="M205" s="287"/>
      <c r="N205" s="287"/>
      <c r="O205" s="287"/>
      <c r="P205" s="287"/>
      <c r="Q205" s="287"/>
      <c r="R205" s="287"/>
      <c r="S205" s="287"/>
      <c r="T205" s="287"/>
      <c r="U205" s="287"/>
      <c r="V205" s="287"/>
      <c r="W205" s="287"/>
      <c r="X205" s="287"/>
      <c r="Y205" s="287"/>
      <c r="Z205" s="287"/>
      <c r="AA205" s="287"/>
      <c r="AB205" s="287"/>
      <c r="AC205" s="287"/>
      <c r="AD205" s="287"/>
      <c r="AE205" s="287"/>
      <c r="AF205" s="287"/>
      <c r="AG205" s="287"/>
      <c r="AH205" s="287"/>
      <c r="AI205" s="287"/>
      <c r="AJ205" s="287"/>
      <c r="AK205" s="287"/>
      <c r="AL205" s="287"/>
      <c r="AM205" s="287"/>
      <c r="AN205" s="287"/>
      <c r="AO205" s="287"/>
      <c r="AP205" s="287"/>
      <c r="AQ205" s="287"/>
      <c r="AR205" s="287"/>
      <c r="AS205" s="287"/>
      <c r="AT205" s="287"/>
      <c r="AU205" s="287"/>
      <c r="AV205" s="287"/>
      <c r="AW205" s="287"/>
      <c r="AX205" s="287"/>
      <c r="AY205" s="287"/>
      <c r="AZ205" s="287"/>
      <c r="BA205" s="287"/>
      <c r="BB205" s="287"/>
      <c r="BC205" s="287"/>
    </row>
    <row r="206" ht="15.75" customHeight="1">
      <c r="A206" s="287"/>
      <c r="B206" s="287"/>
      <c r="C206" s="287"/>
      <c r="D206" s="287"/>
      <c r="E206" s="287"/>
      <c r="F206" s="287"/>
      <c r="G206" s="287"/>
      <c r="H206" s="287"/>
      <c r="I206" s="287"/>
      <c r="J206" s="287"/>
      <c r="K206" s="287"/>
      <c r="L206" s="287"/>
      <c r="M206" s="287"/>
      <c r="N206" s="287"/>
      <c r="O206" s="287"/>
      <c r="P206" s="287"/>
      <c r="Q206" s="287"/>
      <c r="R206" s="287"/>
      <c r="S206" s="287"/>
      <c r="T206" s="287"/>
      <c r="U206" s="287"/>
      <c r="V206" s="287"/>
      <c r="W206" s="287"/>
      <c r="X206" s="287"/>
      <c r="Y206" s="287"/>
      <c r="Z206" s="287"/>
      <c r="AA206" s="287"/>
      <c r="AB206" s="287"/>
      <c r="AC206" s="287"/>
      <c r="AD206" s="287"/>
      <c r="AE206" s="287"/>
      <c r="AF206" s="287"/>
      <c r="AG206" s="287"/>
      <c r="AH206" s="287"/>
      <c r="AI206" s="287"/>
      <c r="AJ206" s="287"/>
      <c r="AK206" s="287"/>
      <c r="AL206" s="287"/>
      <c r="AM206" s="287"/>
      <c r="AN206" s="287"/>
      <c r="AO206" s="287"/>
      <c r="AP206" s="287"/>
      <c r="AQ206" s="287"/>
      <c r="AR206" s="287"/>
      <c r="AS206" s="287"/>
      <c r="AT206" s="287"/>
      <c r="AU206" s="287"/>
      <c r="AV206" s="287"/>
      <c r="AW206" s="287"/>
      <c r="AX206" s="287"/>
      <c r="AY206" s="287"/>
      <c r="AZ206" s="287"/>
      <c r="BA206" s="287"/>
      <c r="BB206" s="287"/>
      <c r="BC206" s="287"/>
    </row>
    <row r="207" ht="15.75" customHeight="1">
      <c r="A207" s="287"/>
      <c r="B207" s="287"/>
      <c r="C207" s="287"/>
      <c r="D207" s="287"/>
      <c r="E207" s="287"/>
      <c r="F207" s="287"/>
      <c r="G207" s="287"/>
      <c r="H207" s="287"/>
      <c r="I207" s="287"/>
      <c r="J207" s="287"/>
      <c r="K207" s="287"/>
      <c r="L207" s="287"/>
      <c r="M207" s="287"/>
      <c r="N207" s="287"/>
      <c r="O207" s="287"/>
      <c r="P207" s="287"/>
      <c r="Q207" s="287"/>
      <c r="R207" s="287"/>
      <c r="S207" s="287"/>
      <c r="T207" s="287"/>
      <c r="U207" s="287"/>
      <c r="V207" s="287"/>
      <c r="W207" s="287"/>
      <c r="X207" s="287"/>
      <c r="Y207" s="287"/>
      <c r="Z207" s="287"/>
      <c r="AA207" s="287"/>
      <c r="AB207" s="287"/>
      <c r="AC207" s="287"/>
      <c r="AD207" s="287"/>
      <c r="AE207" s="287"/>
      <c r="AF207" s="287"/>
      <c r="AG207" s="287"/>
      <c r="AH207" s="287"/>
      <c r="AI207" s="287"/>
      <c r="AJ207" s="287"/>
      <c r="AK207" s="287"/>
      <c r="AL207" s="287"/>
      <c r="AM207" s="287"/>
      <c r="AN207" s="287"/>
      <c r="AO207" s="287"/>
      <c r="AP207" s="287"/>
      <c r="AQ207" s="287"/>
      <c r="AR207" s="287"/>
      <c r="AS207" s="287"/>
      <c r="AT207" s="287"/>
      <c r="AU207" s="287"/>
      <c r="AV207" s="287"/>
      <c r="AW207" s="287"/>
      <c r="AX207" s="287"/>
      <c r="AY207" s="287"/>
      <c r="AZ207" s="287"/>
      <c r="BA207" s="287"/>
      <c r="BB207" s="287"/>
      <c r="BC207" s="287"/>
    </row>
    <row r="208" ht="15.75" customHeight="1">
      <c r="A208" s="287"/>
      <c r="B208" s="287"/>
      <c r="C208" s="287"/>
      <c r="D208" s="287"/>
      <c r="E208" s="287"/>
      <c r="F208" s="287"/>
      <c r="G208" s="287"/>
      <c r="H208" s="287"/>
      <c r="I208" s="287"/>
      <c r="J208" s="287"/>
      <c r="K208" s="287"/>
      <c r="L208" s="287"/>
      <c r="M208" s="287"/>
      <c r="N208" s="287"/>
      <c r="O208" s="287"/>
      <c r="P208" s="287"/>
      <c r="Q208" s="287"/>
      <c r="R208" s="287"/>
      <c r="S208" s="287"/>
      <c r="T208" s="287"/>
      <c r="U208" s="287"/>
      <c r="V208" s="287"/>
      <c r="W208" s="287"/>
      <c r="X208" s="287"/>
      <c r="Y208" s="287"/>
      <c r="Z208" s="287"/>
      <c r="AA208" s="287"/>
      <c r="AB208" s="287"/>
      <c r="AC208" s="287"/>
      <c r="AD208" s="287"/>
      <c r="AE208" s="287"/>
      <c r="AF208" s="287"/>
      <c r="AG208" s="287"/>
      <c r="AH208" s="287"/>
      <c r="AI208" s="287"/>
      <c r="AJ208" s="287"/>
      <c r="AK208" s="287"/>
      <c r="AL208" s="287"/>
      <c r="AM208" s="287"/>
      <c r="AN208" s="287"/>
      <c r="AO208" s="287"/>
      <c r="AP208" s="287"/>
      <c r="AQ208" s="287"/>
      <c r="AR208" s="287"/>
      <c r="AS208" s="287"/>
      <c r="AT208" s="287"/>
      <c r="AU208" s="287"/>
      <c r="AV208" s="287"/>
      <c r="AW208" s="287"/>
      <c r="AX208" s="287"/>
      <c r="AY208" s="287"/>
      <c r="AZ208" s="287"/>
      <c r="BA208" s="287"/>
      <c r="BB208" s="287"/>
      <c r="BC208" s="287"/>
    </row>
    <row r="209" ht="15.75" customHeight="1">
      <c r="A209" s="287"/>
      <c r="B209" s="287"/>
      <c r="C209" s="287"/>
      <c r="D209" s="287"/>
      <c r="E209" s="287"/>
      <c r="F209" s="287"/>
      <c r="G209" s="287"/>
      <c r="H209" s="287"/>
      <c r="I209" s="287"/>
      <c r="J209" s="287"/>
      <c r="K209" s="287"/>
      <c r="L209" s="287"/>
      <c r="M209" s="287"/>
      <c r="N209" s="287"/>
      <c r="O209" s="287"/>
      <c r="P209" s="287"/>
      <c r="Q209" s="287"/>
      <c r="R209" s="287"/>
      <c r="S209" s="287"/>
      <c r="T209" s="287"/>
      <c r="U209" s="287"/>
      <c r="V209" s="287"/>
      <c r="W209" s="287"/>
      <c r="X209" s="287"/>
      <c r="Y209" s="287"/>
      <c r="Z209" s="287"/>
      <c r="AA209" s="287"/>
      <c r="AB209" s="287"/>
      <c r="AC209" s="287"/>
      <c r="AD209" s="287"/>
      <c r="AE209" s="287"/>
      <c r="AF209" s="287"/>
      <c r="AG209" s="287"/>
      <c r="AH209" s="287"/>
      <c r="AI209" s="287"/>
      <c r="AJ209" s="287"/>
      <c r="AK209" s="287"/>
      <c r="AL209" s="287"/>
      <c r="AM209" s="287"/>
      <c r="AN209" s="287"/>
      <c r="AO209" s="287"/>
      <c r="AP209" s="287"/>
      <c r="AQ209" s="287"/>
      <c r="AR209" s="287"/>
      <c r="AS209" s="287"/>
      <c r="AT209" s="287"/>
      <c r="AU209" s="287"/>
      <c r="AV209" s="287"/>
      <c r="AW209" s="287"/>
      <c r="AX209" s="287"/>
      <c r="AY209" s="287"/>
      <c r="AZ209" s="287"/>
      <c r="BA209" s="287"/>
      <c r="BB209" s="287"/>
      <c r="BC209" s="287"/>
    </row>
    <row r="210" ht="15.75" customHeight="1">
      <c r="A210" s="287"/>
      <c r="B210" s="287"/>
      <c r="C210" s="287"/>
      <c r="D210" s="287"/>
      <c r="E210" s="287"/>
      <c r="F210" s="287"/>
      <c r="G210" s="287"/>
      <c r="H210" s="287"/>
      <c r="I210" s="287"/>
      <c r="J210" s="287"/>
      <c r="K210" s="287"/>
      <c r="L210" s="287"/>
      <c r="M210" s="287"/>
      <c r="N210" s="287"/>
      <c r="O210" s="287"/>
      <c r="P210" s="287"/>
      <c r="Q210" s="287"/>
      <c r="R210" s="287"/>
      <c r="S210" s="287"/>
      <c r="T210" s="287"/>
      <c r="U210" s="287"/>
      <c r="V210" s="287"/>
      <c r="W210" s="287"/>
      <c r="X210" s="287"/>
      <c r="Y210" s="287"/>
      <c r="Z210" s="287"/>
      <c r="AA210" s="287"/>
      <c r="AB210" s="287"/>
      <c r="AC210" s="287"/>
      <c r="AD210" s="287"/>
      <c r="AE210" s="287"/>
      <c r="AF210" s="287"/>
      <c r="AG210" s="287"/>
      <c r="AH210" s="287"/>
      <c r="AI210" s="287"/>
      <c r="AJ210" s="287"/>
      <c r="AK210" s="287"/>
      <c r="AL210" s="287"/>
      <c r="AM210" s="287"/>
      <c r="AN210" s="287"/>
      <c r="AO210" s="287"/>
      <c r="AP210" s="287"/>
      <c r="AQ210" s="287"/>
      <c r="AR210" s="287"/>
      <c r="AS210" s="287"/>
      <c r="AT210" s="287"/>
      <c r="AU210" s="287"/>
      <c r="AV210" s="287"/>
      <c r="AW210" s="287"/>
      <c r="AX210" s="287"/>
      <c r="AY210" s="287"/>
      <c r="AZ210" s="287"/>
      <c r="BA210" s="287"/>
      <c r="BB210" s="287"/>
      <c r="BC210" s="287"/>
    </row>
    <row r="211" ht="15.75" customHeight="1">
      <c r="A211" s="287"/>
      <c r="B211" s="287"/>
      <c r="C211" s="287"/>
      <c r="D211" s="287"/>
      <c r="E211" s="287"/>
      <c r="F211" s="287"/>
      <c r="G211" s="287"/>
      <c r="H211" s="287"/>
      <c r="I211" s="287"/>
      <c r="J211" s="287"/>
      <c r="K211" s="287"/>
      <c r="L211" s="287"/>
      <c r="M211" s="287"/>
      <c r="N211" s="287"/>
      <c r="O211" s="287"/>
      <c r="P211" s="287"/>
      <c r="Q211" s="287"/>
      <c r="R211" s="287"/>
      <c r="S211" s="287"/>
      <c r="T211" s="287"/>
      <c r="U211" s="287"/>
      <c r="V211" s="287"/>
      <c r="W211" s="287"/>
      <c r="X211" s="287"/>
      <c r="Y211" s="287"/>
      <c r="Z211" s="287"/>
      <c r="AA211" s="287"/>
      <c r="AB211" s="287"/>
      <c r="AC211" s="287"/>
      <c r="AD211" s="287"/>
      <c r="AE211" s="287"/>
      <c r="AF211" s="287"/>
      <c r="AG211" s="287"/>
      <c r="AH211" s="287"/>
      <c r="AI211" s="287"/>
      <c r="AJ211" s="287"/>
      <c r="AK211" s="287"/>
      <c r="AL211" s="287"/>
      <c r="AM211" s="287"/>
      <c r="AN211" s="287"/>
      <c r="AO211" s="287"/>
      <c r="AP211" s="287"/>
      <c r="AQ211" s="287"/>
      <c r="AR211" s="287"/>
      <c r="AS211" s="287"/>
      <c r="AT211" s="287"/>
      <c r="AU211" s="287"/>
      <c r="AV211" s="287"/>
      <c r="AW211" s="287"/>
      <c r="AX211" s="287"/>
      <c r="AY211" s="287"/>
      <c r="AZ211" s="287"/>
      <c r="BA211" s="287"/>
      <c r="BB211" s="287"/>
      <c r="BC211" s="287"/>
    </row>
    <row r="212" ht="15.75" customHeight="1">
      <c r="A212" s="287"/>
      <c r="B212" s="287"/>
      <c r="C212" s="287"/>
      <c r="D212" s="287"/>
      <c r="E212" s="287"/>
      <c r="F212" s="287"/>
      <c r="G212" s="287"/>
      <c r="H212" s="287"/>
      <c r="I212" s="287"/>
      <c r="J212" s="287"/>
      <c r="K212" s="287"/>
      <c r="L212" s="287"/>
      <c r="M212" s="287"/>
      <c r="N212" s="287"/>
      <c r="O212" s="287"/>
      <c r="P212" s="287"/>
      <c r="Q212" s="287"/>
      <c r="R212" s="287"/>
      <c r="S212" s="287"/>
      <c r="T212" s="287"/>
      <c r="U212" s="287"/>
      <c r="V212" s="287"/>
      <c r="W212" s="287"/>
      <c r="X212" s="287"/>
      <c r="Y212" s="287"/>
      <c r="Z212" s="287"/>
      <c r="AA212" s="287"/>
      <c r="AB212" s="287"/>
      <c r="AC212" s="287"/>
      <c r="AD212" s="287"/>
      <c r="AE212" s="287"/>
      <c r="AF212" s="287"/>
      <c r="AG212" s="287"/>
      <c r="AH212" s="287"/>
      <c r="AI212" s="287"/>
      <c r="AJ212" s="287"/>
      <c r="AK212" s="287"/>
      <c r="AL212" s="287"/>
      <c r="AM212" s="287"/>
      <c r="AN212" s="287"/>
      <c r="AO212" s="287"/>
      <c r="AP212" s="287"/>
      <c r="AQ212" s="287"/>
      <c r="AR212" s="287"/>
      <c r="AS212" s="287"/>
      <c r="AT212" s="287"/>
      <c r="AU212" s="287"/>
      <c r="AV212" s="287"/>
      <c r="AW212" s="287"/>
      <c r="AX212" s="287"/>
      <c r="AY212" s="287"/>
      <c r="AZ212" s="287"/>
      <c r="BA212" s="287"/>
      <c r="BB212" s="287"/>
      <c r="BC212" s="287"/>
    </row>
    <row r="213" ht="15.75" customHeight="1">
      <c r="A213" s="287"/>
      <c r="B213" s="287"/>
      <c r="C213" s="287"/>
      <c r="D213" s="287"/>
      <c r="E213" s="287"/>
      <c r="F213" s="287"/>
      <c r="G213" s="287"/>
      <c r="H213" s="287"/>
      <c r="I213" s="287"/>
      <c r="J213" s="287"/>
      <c r="K213" s="287"/>
      <c r="L213" s="287"/>
      <c r="M213" s="287"/>
      <c r="N213" s="287"/>
      <c r="O213" s="287"/>
      <c r="P213" s="287"/>
      <c r="Q213" s="287"/>
      <c r="R213" s="287"/>
      <c r="S213" s="287"/>
      <c r="T213" s="287"/>
      <c r="U213" s="287"/>
      <c r="V213" s="287"/>
      <c r="W213" s="287"/>
      <c r="X213" s="287"/>
      <c r="Y213" s="287"/>
      <c r="Z213" s="287"/>
      <c r="AA213" s="287"/>
      <c r="AB213" s="287"/>
      <c r="AC213" s="287"/>
      <c r="AD213" s="287"/>
      <c r="AE213" s="287"/>
      <c r="AF213" s="287"/>
      <c r="AG213" s="287"/>
      <c r="AH213" s="287"/>
      <c r="AI213" s="287"/>
      <c r="AJ213" s="287"/>
      <c r="AK213" s="287"/>
      <c r="AL213" s="287"/>
      <c r="AM213" s="287"/>
      <c r="AN213" s="287"/>
      <c r="AO213" s="287"/>
      <c r="AP213" s="287"/>
      <c r="AQ213" s="287"/>
      <c r="AR213" s="287"/>
      <c r="AS213" s="287"/>
      <c r="AT213" s="287"/>
      <c r="AU213" s="287"/>
      <c r="AV213" s="287"/>
      <c r="AW213" s="287"/>
      <c r="AX213" s="287"/>
      <c r="AY213" s="287"/>
      <c r="AZ213" s="287"/>
      <c r="BA213" s="287"/>
      <c r="BB213" s="287"/>
      <c r="BC213" s="287"/>
    </row>
    <row r="214" ht="15.75" customHeight="1">
      <c r="A214" s="287"/>
      <c r="B214" s="287"/>
      <c r="C214" s="287"/>
      <c r="D214" s="287"/>
      <c r="E214" s="287"/>
      <c r="F214" s="287"/>
      <c r="G214" s="287"/>
      <c r="H214" s="287"/>
      <c r="I214" s="287"/>
      <c r="J214" s="287"/>
      <c r="K214" s="287"/>
      <c r="L214" s="287"/>
      <c r="M214" s="287"/>
      <c r="N214" s="287"/>
      <c r="O214" s="287"/>
      <c r="P214" s="287"/>
      <c r="Q214" s="287"/>
      <c r="R214" s="287"/>
      <c r="S214" s="287"/>
      <c r="T214" s="287"/>
      <c r="U214" s="287"/>
      <c r="V214" s="287"/>
      <c r="W214" s="287"/>
      <c r="X214" s="287"/>
      <c r="Y214" s="287"/>
      <c r="Z214" s="287"/>
      <c r="AA214" s="287"/>
      <c r="AB214" s="287"/>
      <c r="AC214" s="287"/>
      <c r="AD214" s="287"/>
      <c r="AE214" s="287"/>
      <c r="AF214" s="287"/>
      <c r="AG214" s="287"/>
      <c r="AH214" s="287"/>
      <c r="AI214" s="287"/>
      <c r="AJ214" s="287"/>
      <c r="AK214" s="287"/>
      <c r="AL214" s="287"/>
      <c r="AM214" s="287"/>
      <c r="AN214" s="287"/>
      <c r="AO214" s="287"/>
      <c r="AP214" s="287"/>
      <c r="AQ214" s="287"/>
      <c r="AR214" s="287"/>
      <c r="AS214" s="287"/>
      <c r="AT214" s="287"/>
      <c r="AU214" s="287"/>
      <c r="AV214" s="287"/>
      <c r="AW214" s="287"/>
      <c r="AX214" s="287"/>
      <c r="AY214" s="287"/>
      <c r="AZ214" s="287"/>
      <c r="BA214" s="287"/>
      <c r="BB214" s="287"/>
      <c r="BC214" s="287"/>
    </row>
    <row r="215" ht="15.75" customHeight="1">
      <c r="A215" s="287"/>
      <c r="B215" s="287"/>
      <c r="C215" s="287"/>
      <c r="D215" s="287"/>
      <c r="E215" s="287"/>
      <c r="F215" s="287"/>
      <c r="G215" s="287"/>
      <c r="H215" s="287"/>
      <c r="I215" s="287"/>
      <c r="J215" s="287"/>
      <c r="K215" s="287"/>
      <c r="L215" s="287"/>
      <c r="M215" s="287"/>
      <c r="N215" s="287"/>
      <c r="O215" s="287"/>
      <c r="P215" s="287"/>
      <c r="Q215" s="287"/>
      <c r="R215" s="287"/>
      <c r="S215" s="287"/>
      <c r="T215" s="287"/>
      <c r="U215" s="287"/>
      <c r="V215" s="287"/>
      <c r="W215" s="287"/>
      <c r="X215" s="287"/>
      <c r="Y215" s="287"/>
      <c r="Z215" s="287"/>
      <c r="AA215" s="287"/>
      <c r="AB215" s="287"/>
      <c r="AC215" s="287"/>
      <c r="AD215" s="287"/>
      <c r="AE215" s="287"/>
      <c r="AF215" s="287"/>
      <c r="AG215" s="287"/>
      <c r="AH215" s="287"/>
      <c r="AI215" s="287"/>
      <c r="AJ215" s="287"/>
      <c r="AK215" s="287"/>
      <c r="AL215" s="287"/>
      <c r="AM215" s="287"/>
      <c r="AN215" s="287"/>
      <c r="AO215" s="287"/>
      <c r="AP215" s="287"/>
      <c r="AQ215" s="287"/>
      <c r="AR215" s="287"/>
      <c r="AS215" s="287"/>
      <c r="AT215" s="287"/>
      <c r="AU215" s="287"/>
      <c r="AV215" s="287"/>
      <c r="AW215" s="287"/>
      <c r="AX215" s="287"/>
      <c r="AY215" s="287"/>
      <c r="AZ215" s="287"/>
      <c r="BA215" s="287"/>
      <c r="BB215" s="287"/>
      <c r="BC215" s="287"/>
    </row>
    <row r="216" ht="15.75" customHeight="1">
      <c r="A216" s="287"/>
      <c r="B216" s="287"/>
      <c r="C216" s="287"/>
      <c r="D216" s="287"/>
      <c r="E216" s="287"/>
      <c r="F216" s="287"/>
      <c r="G216" s="287"/>
      <c r="H216" s="287"/>
      <c r="I216" s="287"/>
      <c r="J216" s="287"/>
      <c r="K216" s="287"/>
      <c r="L216" s="287"/>
      <c r="M216" s="287"/>
      <c r="N216" s="287"/>
      <c r="O216" s="287"/>
      <c r="P216" s="287"/>
      <c r="Q216" s="287"/>
      <c r="R216" s="287"/>
      <c r="S216" s="287"/>
      <c r="T216" s="287"/>
      <c r="U216" s="287"/>
      <c r="V216" s="287"/>
      <c r="W216" s="287"/>
      <c r="X216" s="287"/>
      <c r="Y216" s="287"/>
      <c r="Z216" s="287"/>
      <c r="AA216" s="287"/>
      <c r="AB216" s="287"/>
      <c r="AC216" s="287"/>
      <c r="AD216" s="287"/>
      <c r="AE216" s="287"/>
      <c r="AF216" s="287"/>
      <c r="AG216" s="287"/>
      <c r="AH216" s="287"/>
      <c r="AI216" s="287"/>
      <c r="AJ216" s="287"/>
      <c r="AK216" s="287"/>
      <c r="AL216" s="287"/>
      <c r="AM216" s="287"/>
      <c r="AN216" s="287"/>
      <c r="AO216" s="287"/>
      <c r="AP216" s="287"/>
      <c r="AQ216" s="287"/>
      <c r="AR216" s="287"/>
      <c r="AS216" s="287"/>
      <c r="AT216" s="287"/>
      <c r="AU216" s="287"/>
      <c r="AV216" s="287"/>
      <c r="AW216" s="287"/>
      <c r="AX216" s="287"/>
      <c r="AY216" s="287"/>
      <c r="AZ216" s="287"/>
      <c r="BA216" s="287"/>
      <c r="BB216" s="287"/>
      <c r="BC216" s="287"/>
    </row>
    <row r="217" ht="15.75" customHeight="1">
      <c r="A217" s="287"/>
      <c r="B217" s="287"/>
      <c r="C217" s="287"/>
      <c r="D217" s="287"/>
      <c r="E217" s="287"/>
      <c r="F217" s="287"/>
      <c r="G217" s="287"/>
      <c r="H217" s="287"/>
      <c r="I217" s="287"/>
      <c r="J217" s="287"/>
      <c r="K217" s="287"/>
      <c r="L217" s="287"/>
      <c r="M217" s="287"/>
      <c r="N217" s="287"/>
      <c r="O217" s="287"/>
      <c r="P217" s="287"/>
      <c r="Q217" s="287"/>
      <c r="R217" s="287"/>
      <c r="S217" s="287"/>
      <c r="T217" s="287"/>
      <c r="U217" s="287"/>
      <c r="V217" s="287"/>
      <c r="W217" s="287"/>
      <c r="X217" s="287"/>
      <c r="Y217" s="287"/>
      <c r="Z217" s="287"/>
      <c r="AA217" s="287"/>
      <c r="AB217" s="287"/>
      <c r="AC217" s="287"/>
      <c r="AD217" s="287"/>
      <c r="AE217" s="287"/>
      <c r="AF217" s="287"/>
      <c r="AG217" s="287"/>
      <c r="AH217" s="287"/>
      <c r="AI217" s="287"/>
      <c r="AJ217" s="287"/>
      <c r="AK217" s="287"/>
      <c r="AL217" s="287"/>
      <c r="AM217" s="287"/>
      <c r="AN217" s="287"/>
      <c r="AO217" s="287"/>
      <c r="AP217" s="287"/>
      <c r="AQ217" s="287"/>
      <c r="AR217" s="287"/>
      <c r="AS217" s="287"/>
      <c r="AT217" s="287"/>
      <c r="AU217" s="287"/>
      <c r="AV217" s="287"/>
      <c r="AW217" s="287"/>
      <c r="AX217" s="287"/>
      <c r="AY217" s="287"/>
      <c r="AZ217" s="287"/>
      <c r="BA217" s="287"/>
      <c r="BB217" s="287"/>
      <c r="BC217" s="287"/>
    </row>
    <row r="218" ht="15.75" customHeight="1">
      <c r="A218" s="287"/>
      <c r="B218" s="287"/>
      <c r="C218" s="287"/>
      <c r="D218" s="287"/>
      <c r="E218" s="287"/>
      <c r="F218" s="287"/>
      <c r="G218" s="287"/>
      <c r="H218" s="287"/>
      <c r="I218" s="287"/>
      <c r="J218" s="287"/>
      <c r="K218" s="287"/>
      <c r="L218" s="287"/>
      <c r="M218" s="287"/>
      <c r="N218" s="287"/>
      <c r="O218" s="287"/>
      <c r="P218" s="287"/>
      <c r="Q218" s="287"/>
      <c r="R218" s="287"/>
      <c r="S218" s="287"/>
      <c r="T218" s="287"/>
      <c r="U218" s="287"/>
      <c r="V218" s="287"/>
      <c r="W218" s="287"/>
      <c r="X218" s="287"/>
      <c r="Y218" s="287"/>
      <c r="Z218" s="287"/>
      <c r="AA218" s="287"/>
      <c r="AB218" s="287"/>
      <c r="AC218" s="287"/>
      <c r="AD218" s="287"/>
      <c r="AE218" s="287"/>
      <c r="AF218" s="287"/>
      <c r="AG218" s="287"/>
      <c r="AH218" s="287"/>
      <c r="AI218" s="287"/>
      <c r="AJ218" s="287"/>
      <c r="AK218" s="287"/>
      <c r="AL218" s="287"/>
      <c r="AM218" s="287"/>
      <c r="AN218" s="287"/>
      <c r="AO218" s="287"/>
      <c r="AP218" s="287"/>
      <c r="AQ218" s="287"/>
      <c r="AR218" s="287"/>
      <c r="AS218" s="287"/>
      <c r="AT218" s="287"/>
      <c r="AU218" s="287"/>
      <c r="AV218" s="287"/>
      <c r="AW218" s="287"/>
      <c r="AX218" s="287"/>
      <c r="AY218" s="287"/>
      <c r="AZ218" s="287"/>
      <c r="BA218" s="287"/>
      <c r="BB218" s="287"/>
      <c r="BC218" s="287"/>
    </row>
    <row r="219" ht="15.75" customHeight="1">
      <c r="A219" s="287"/>
      <c r="B219" s="287"/>
      <c r="C219" s="287"/>
      <c r="D219" s="287"/>
      <c r="E219" s="287"/>
      <c r="F219" s="287"/>
      <c r="G219" s="287"/>
      <c r="H219" s="287"/>
      <c r="I219" s="287"/>
      <c r="J219" s="287"/>
      <c r="K219" s="287"/>
      <c r="L219" s="287"/>
      <c r="M219" s="287"/>
      <c r="N219" s="287"/>
      <c r="O219" s="287"/>
      <c r="P219" s="287"/>
      <c r="Q219" s="287"/>
      <c r="R219" s="287"/>
      <c r="S219" s="287"/>
      <c r="T219" s="287"/>
      <c r="U219" s="287"/>
      <c r="V219" s="287"/>
      <c r="W219" s="287"/>
      <c r="X219" s="287"/>
      <c r="Y219" s="287"/>
      <c r="Z219" s="287"/>
      <c r="AA219" s="287"/>
      <c r="AB219" s="287"/>
      <c r="AC219" s="287"/>
      <c r="AD219" s="287"/>
      <c r="AE219" s="287"/>
      <c r="AF219" s="287"/>
      <c r="AG219" s="287"/>
      <c r="AH219" s="287"/>
      <c r="AI219" s="287"/>
      <c r="AJ219" s="287"/>
      <c r="AK219" s="287"/>
      <c r="AL219" s="287"/>
      <c r="AM219" s="287"/>
      <c r="AN219" s="287"/>
      <c r="AO219" s="287"/>
      <c r="AP219" s="287"/>
      <c r="AQ219" s="287"/>
      <c r="AR219" s="287"/>
      <c r="AS219" s="287"/>
      <c r="AT219" s="287"/>
      <c r="AU219" s="287"/>
      <c r="AV219" s="287"/>
      <c r="AW219" s="287"/>
      <c r="AX219" s="287"/>
      <c r="AY219" s="287"/>
      <c r="AZ219" s="287"/>
      <c r="BA219" s="287"/>
      <c r="BB219" s="287"/>
      <c r="BC219" s="287"/>
    </row>
    <row r="220" ht="15.75" customHeight="1">
      <c r="A220" s="287"/>
      <c r="B220" s="287"/>
      <c r="C220" s="287"/>
      <c r="D220" s="287"/>
      <c r="E220" s="287"/>
      <c r="F220" s="287"/>
      <c r="G220" s="287"/>
      <c r="H220" s="287"/>
      <c r="I220" s="287"/>
      <c r="J220" s="287"/>
      <c r="K220" s="287"/>
      <c r="L220" s="287"/>
      <c r="M220" s="287"/>
      <c r="N220" s="287"/>
      <c r="O220" s="287"/>
      <c r="P220" s="287"/>
      <c r="Q220" s="287"/>
      <c r="R220" s="287"/>
      <c r="S220" s="287"/>
      <c r="T220" s="287"/>
      <c r="U220" s="287"/>
      <c r="V220" s="287"/>
      <c r="W220" s="287"/>
      <c r="X220" s="287"/>
      <c r="Y220" s="287"/>
      <c r="Z220" s="287"/>
      <c r="AA220" s="287"/>
      <c r="AB220" s="287"/>
      <c r="AC220" s="287"/>
      <c r="AD220" s="287"/>
      <c r="AE220" s="287"/>
      <c r="AF220" s="287"/>
      <c r="AG220" s="287"/>
      <c r="AH220" s="287"/>
      <c r="AI220" s="287"/>
      <c r="AJ220" s="287"/>
      <c r="AK220" s="287"/>
      <c r="AL220" s="287"/>
      <c r="AM220" s="287"/>
      <c r="AN220" s="287"/>
      <c r="AO220" s="287"/>
      <c r="AP220" s="287"/>
      <c r="AQ220" s="287"/>
      <c r="AR220" s="287"/>
      <c r="AS220" s="287"/>
      <c r="AT220" s="287"/>
      <c r="AU220" s="287"/>
      <c r="AV220" s="287"/>
      <c r="AW220" s="287"/>
      <c r="AX220" s="287"/>
      <c r="AY220" s="287"/>
      <c r="AZ220" s="287"/>
      <c r="BA220" s="287"/>
      <c r="BB220" s="287"/>
      <c r="BC220" s="287"/>
    </row>
    <row r="221" ht="15.75" customHeight="1">
      <c r="A221" s="287"/>
      <c r="B221" s="287"/>
      <c r="C221" s="287"/>
      <c r="D221" s="287"/>
      <c r="E221" s="287"/>
      <c r="F221" s="287"/>
      <c r="G221" s="287"/>
      <c r="H221" s="287"/>
      <c r="I221" s="287"/>
      <c r="J221" s="287"/>
      <c r="K221" s="287"/>
      <c r="L221" s="287"/>
      <c r="M221" s="287"/>
      <c r="N221" s="287"/>
      <c r="O221" s="287"/>
      <c r="P221" s="287"/>
      <c r="Q221" s="287"/>
      <c r="R221" s="287"/>
      <c r="S221" s="287"/>
      <c r="T221" s="287"/>
      <c r="U221" s="287"/>
      <c r="V221" s="287"/>
      <c r="W221" s="287"/>
      <c r="X221" s="287"/>
      <c r="Y221" s="287"/>
      <c r="Z221" s="287"/>
      <c r="AA221" s="287"/>
      <c r="AB221" s="287"/>
      <c r="AC221" s="287"/>
      <c r="AD221" s="287"/>
      <c r="AE221" s="287"/>
      <c r="AF221" s="287"/>
      <c r="AG221" s="287"/>
      <c r="AH221" s="287"/>
      <c r="AI221" s="287"/>
      <c r="AJ221" s="287"/>
      <c r="AK221" s="287"/>
      <c r="AL221" s="287"/>
      <c r="AM221" s="287"/>
      <c r="AN221" s="287"/>
      <c r="AO221" s="287"/>
      <c r="AP221" s="287"/>
      <c r="AQ221" s="287"/>
      <c r="AR221" s="287"/>
      <c r="AS221" s="287"/>
      <c r="AT221" s="287"/>
      <c r="AU221" s="287"/>
      <c r="AV221" s="287"/>
      <c r="AW221" s="287"/>
      <c r="AX221" s="287"/>
      <c r="AY221" s="287"/>
      <c r="AZ221" s="287"/>
      <c r="BA221" s="287"/>
      <c r="BB221" s="287"/>
      <c r="BC221" s="287"/>
    </row>
    <row r="222" ht="15.75" customHeight="1">
      <c r="A222" s="287"/>
      <c r="B222" s="287"/>
      <c r="C222" s="287"/>
      <c r="D222" s="287"/>
      <c r="E222" s="287"/>
      <c r="F222" s="287"/>
      <c r="G222" s="287"/>
      <c r="H222" s="287"/>
      <c r="I222" s="287"/>
      <c r="J222" s="287"/>
      <c r="K222" s="287"/>
      <c r="L222" s="287"/>
      <c r="M222" s="287"/>
      <c r="N222" s="287"/>
      <c r="O222" s="287"/>
      <c r="P222" s="287"/>
      <c r="Q222" s="287"/>
      <c r="R222" s="287"/>
      <c r="S222" s="287"/>
      <c r="T222" s="287"/>
      <c r="U222" s="287"/>
      <c r="V222" s="287"/>
      <c r="W222" s="287"/>
      <c r="X222" s="287"/>
      <c r="Y222" s="287"/>
      <c r="Z222" s="287"/>
      <c r="AA222" s="287"/>
      <c r="AB222" s="287"/>
      <c r="AC222" s="287"/>
      <c r="AD222" s="287"/>
      <c r="AE222" s="287"/>
      <c r="AF222" s="287"/>
      <c r="AG222" s="287"/>
      <c r="AH222" s="287"/>
      <c r="AI222" s="287"/>
      <c r="AJ222" s="287"/>
      <c r="AK222" s="287"/>
      <c r="AL222" s="287"/>
      <c r="AM222" s="287"/>
      <c r="AN222" s="287"/>
      <c r="AO222" s="287"/>
      <c r="AP222" s="287"/>
      <c r="AQ222" s="287"/>
      <c r="AR222" s="287"/>
      <c r="AS222" s="287"/>
      <c r="AT222" s="287"/>
      <c r="AU222" s="287"/>
      <c r="AV222" s="287"/>
      <c r="AW222" s="287"/>
      <c r="AX222" s="287"/>
      <c r="AY222" s="287"/>
      <c r="AZ222" s="287"/>
      <c r="BA222" s="287"/>
      <c r="BB222" s="287"/>
      <c r="BC222" s="287"/>
    </row>
    <row r="223" ht="15.75" customHeight="1">
      <c r="A223" s="287"/>
      <c r="B223" s="287"/>
      <c r="C223" s="287"/>
      <c r="D223" s="287"/>
      <c r="E223" s="287"/>
      <c r="F223" s="287"/>
      <c r="G223" s="287"/>
      <c r="H223" s="287"/>
      <c r="I223" s="287"/>
      <c r="J223" s="287"/>
      <c r="K223" s="287"/>
      <c r="L223" s="287"/>
      <c r="M223" s="287"/>
      <c r="N223" s="287"/>
      <c r="O223" s="287"/>
      <c r="P223" s="287"/>
      <c r="Q223" s="287"/>
      <c r="R223" s="287"/>
      <c r="S223" s="287"/>
      <c r="T223" s="287"/>
      <c r="U223" s="287"/>
      <c r="V223" s="287"/>
      <c r="W223" s="287"/>
      <c r="X223" s="287"/>
      <c r="Y223" s="287"/>
      <c r="Z223" s="287"/>
      <c r="AA223" s="287"/>
      <c r="AB223" s="287"/>
      <c r="AC223" s="287"/>
      <c r="AD223" s="287"/>
      <c r="AE223" s="287"/>
      <c r="AF223" s="287"/>
      <c r="AG223" s="287"/>
      <c r="AH223" s="287"/>
      <c r="AI223" s="287"/>
      <c r="AJ223" s="287"/>
      <c r="AK223" s="287"/>
      <c r="AL223" s="287"/>
      <c r="AM223" s="287"/>
      <c r="AN223" s="287"/>
      <c r="AO223" s="287"/>
      <c r="AP223" s="287"/>
      <c r="AQ223" s="287"/>
      <c r="AR223" s="287"/>
      <c r="AS223" s="287"/>
      <c r="AT223" s="287"/>
      <c r="AU223" s="287"/>
      <c r="AV223" s="287"/>
      <c r="AW223" s="287"/>
      <c r="AX223" s="287"/>
      <c r="AY223" s="287"/>
      <c r="AZ223" s="287"/>
      <c r="BA223" s="287"/>
      <c r="BB223" s="287"/>
      <c r="BC223" s="287"/>
    </row>
    <row r="224" ht="15.75" customHeight="1">
      <c r="A224" s="287"/>
      <c r="B224" s="287"/>
      <c r="C224" s="287"/>
      <c r="D224" s="287"/>
      <c r="E224" s="287"/>
      <c r="F224" s="287"/>
      <c r="G224" s="287"/>
      <c r="H224" s="287"/>
      <c r="I224" s="287"/>
      <c r="J224" s="287"/>
      <c r="K224" s="287"/>
      <c r="L224" s="287"/>
      <c r="M224" s="287"/>
      <c r="N224" s="287"/>
      <c r="O224" s="287"/>
      <c r="P224" s="287"/>
      <c r="Q224" s="287"/>
      <c r="R224" s="287"/>
      <c r="S224" s="287"/>
      <c r="T224" s="287"/>
      <c r="U224" s="287"/>
      <c r="V224" s="287"/>
      <c r="W224" s="287"/>
      <c r="X224" s="287"/>
      <c r="Y224" s="287"/>
      <c r="Z224" s="287"/>
      <c r="AA224" s="287"/>
      <c r="AB224" s="287"/>
      <c r="AC224" s="287"/>
      <c r="AD224" s="287"/>
      <c r="AE224" s="287"/>
      <c r="AF224" s="287"/>
      <c r="AG224" s="287"/>
      <c r="AH224" s="287"/>
      <c r="AI224" s="287"/>
      <c r="AJ224" s="287"/>
      <c r="AK224" s="287"/>
      <c r="AL224" s="287"/>
      <c r="AM224" s="287"/>
      <c r="AN224" s="287"/>
      <c r="AO224" s="287"/>
      <c r="AP224" s="287"/>
      <c r="AQ224" s="287"/>
      <c r="AR224" s="287"/>
      <c r="AS224" s="287"/>
      <c r="AT224" s="287"/>
      <c r="AU224" s="287"/>
      <c r="AV224" s="287"/>
      <c r="AW224" s="287"/>
      <c r="AX224" s="287"/>
      <c r="AY224" s="287"/>
      <c r="AZ224" s="287"/>
      <c r="BA224" s="287"/>
      <c r="BB224" s="287"/>
      <c r="BC224" s="287"/>
    </row>
    <row r="225" ht="15.75" customHeight="1">
      <c r="A225" s="287"/>
      <c r="B225" s="287"/>
      <c r="C225" s="287"/>
      <c r="D225" s="287"/>
      <c r="E225" s="287"/>
      <c r="F225" s="287"/>
      <c r="G225" s="287"/>
      <c r="H225" s="287"/>
      <c r="I225" s="287"/>
      <c r="J225" s="287"/>
      <c r="K225" s="287"/>
      <c r="L225" s="287"/>
      <c r="M225" s="287"/>
      <c r="N225" s="287"/>
      <c r="O225" s="287"/>
      <c r="P225" s="287"/>
      <c r="Q225" s="287"/>
      <c r="R225" s="287"/>
      <c r="S225" s="287"/>
      <c r="T225" s="287"/>
      <c r="U225" s="287"/>
      <c r="V225" s="287"/>
      <c r="W225" s="287"/>
      <c r="X225" s="287"/>
      <c r="Y225" s="287"/>
      <c r="Z225" s="287"/>
      <c r="AA225" s="287"/>
      <c r="AB225" s="287"/>
      <c r="AC225" s="287"/>
      <c r="AD225" s="287"/>
      <c r="AE225" s="287"/>
      <c r="AF225" s="287"/>
      <c r="AG225" s="287"/>
      <c r="AH225" s="287"/>
      <c r="AI225" s="287"/>
      <c r="AJ225" s="287"/>
      <c r="AK225" s="287"/>
      <c r="AL225" s="287"/>
      <c r="AM225" s="287"/>
      <c r="AN225" s="287"/>
      <c r="AO225" s="287"/>
      <c r="AP225" s="287"/>
      <c r="AQ225" s="287"/>
      <c r="AR225" s="287"/>
      <c r="AS225" s="287"/>
      <c r="AT225" s="287"/>
      <c r="AU225" s="287"/>
      <c r="AV225" s="287"/>
      <c r="AW225" s="287"/>
      <c r="AX225" s="287"/>
      <c r="AY225" s="287"/>
      <c r="AZ225" s="287"/>
      <c r="BA225" s="287"/>
      <c r="BB225" s="287"/>
      <c r="BC225" s="287"/>
    </row>
    <row r="226" ht="15.75" customHeight="1">
      <c r="A226" s="287"/>
      <c r="B226" s="287"/>
      <c r="C226" s="287"/>
      <c r="D226" s="287"/>
      <c r="E226" s="287"/>
      <c r="F226" s="287"/>
      <c r="G226" s="287"/>
      <c r="H226" s="287"/>
      <c r="I226" s="287"/>
      <c r="J226" s="287"/>
      <c r="K226" s="287"/>
      <c r="L226" s="287"/>
      <c r="M226" s="287"/>
      <c r="N226" s="287"/>
      <c r="O226" s="287"/>
      <c r="P226" s="287"/>
      <c r="Q226" s="287"/>
      <c r="R226" s="287"/>
      <c r="S226" s="287"/>
      <c r="T226" s="287"/>
      <c r="U226" s="287"/>
      <c r="V226" s="287"/>
      <c r="W226" s="287"/>
      <c r="X226" s="287"/>
      <c r="Y226" s="287"/>
      <c r="Z226" s="287"/>
      <c r="AA226" s="287"/>
      <c r="AB226" s="287"/>
      <c r="AC226" s="287"/>
      <c r="AD226" s="287"/>
      <c r="AE226" s="287"/>
      <c r="AF226" s="287"/>
      <c r="AG226" s="287"/>
      <c r="AH226" s="287"/>
      <c r="AI226" s="287"/>
      <c r="AJ226" s="287"/>
      <c r="AK226" s="287"/>
      <c r="AL226" s="287"/>
      <c r="AM226" s="287"/>
      <c r="AN226" s="287"/>
      <c r="AO226" s="287"/>
      <c r="AP226" s="287"/>
      <c r="AQ226" s="287"/>
      <c r="AR226" s="287"/>
      <c r="AS226" s="287"/>
      <c r="AT226" s="287"/>
      <c r="AU226" s="287"/>
      <c r="AV226" s="287"/>
      <c r="AW226" s="287"/>
      <c r="AX226" s="287"/>
      <c r="AY226" s="287"/>
      <c r="AZ226" s="287"/>
      <c r="BA226" s="287"/>
      <c r="BB226" s="287"/>
      <c r="BC226" s="287"/>
    </row>
    <row r="227" ht="15.75" customHeight="1">
      <c r="A227" s="287"/>
      <c r="B227" s="287"/>
      <c r="C227" s="287"/>
      <c r="D227" s="287"/>
      <c r="E227" s="287"/>
      <c r="F227" s="287"/>
      <c r="G227" s="287"/>
      <c r="H227" s="287"/>
      <c r="I227" s="287"/>
      <c r="J227" s="287"/>
      <c r="K227" s="287"/>
      <c r="L227" s="287"/>
      <c r="M227" s="287"/>
      <c r="N227" s="287"/>
      <c r="O227" s="287"/>
      <c r="P227" s="287"/>
      <c r="Q227" s="287"/>
      <c r="R227" s="287"/>
      <c r="S227" s="287"/>
      <c r="T227" s="287"/>
      <c r="U227" s="287"/>
      <c r="V227" s="287"/>
      <c r="W227" s="287"/>
      <c r="X227" s="287"/>
      <c r="Y227" s="287"/>
      <c r="Z227" s="287"/>
      <c r="AA227" s="287"/>
      <c r="AB227" s="287"/>
      <c r="AC227" s="287"/>
      <c r="AD227" s="287"/>
      <c r="AE227" s="287"/>
      <c r="AF227" s="287"/>
      <c r="AG227" s="287"/>
      <c r="AH227" s="287"/>
      <c r="AI227" s="287"/>
      <c r="AJ227" s="287"/>
      <c r="AK227" s="287"/>
      <c r="AL227" s="287"/>
      <c r="AM227" s="287"/>
      <c r="AN227" s="287"/>
      <c r="AO227" s="287"/>
      <c r="AP227" s="287"/>
      <c r="AQ227" s="287"/>
      <c r="AR227" s="287"/>
      <c r="AS227" s="287"/>
      <c r="AT227" s="287"/>
      <c r="AU227" s="287"/>
      <c r="AV227" s="287"/>
      <c r="AW227" s="287"/>
      <c r="AX227" s="287"/>
      <c r="AY227" s="287"/>
      <c r="AZ227" s="287"/>
      <c r="BA227" s="287"/>
      <c r="BB227" s="287"/>
      <c r="BC227" s="287"/>
    </row>
    <row r="228" ht="15.75" customHeight="1">
      <c r="A228" s="287"/>
      <c r="B228" s="287"/>
      <c r="C228" s="287"/>
      <c r="D228" s="287"/>
      <c r="E228" s="287"/>
      <c r="F228" s="287"/>
      <c r="G228" s="287"/>
      <c r="H228" s="287"/>
      <c r="I228" s="287"/>
      <c r="J228" s="287"/>
      <c r="K228" s="287"/>
      <c r="L228" s="287"/>
      <c r="M228" s="287"/>
      <c r="N228" s="287"/>
      <c r="O228" s="287"/>
      <c r="P228" s="287"/>
      <c r="Q228" s="287"/>
      <c r="R228" s="287"/>
      <c r="S228" s="287"/>
      <c r="T228" s="287"/>
      <c r="U228" s="287"/>
      <c r="V228" s="287"/>
      <c r="W228" s="287"/>
      <c r="X228" s="287"/>
      <c r="Y228" s="287"/>
      <c r="Z228" s="287"/>
      <c r="AA228" s="287"/>
      <c r="AB228" s="287"/>
      <c r="AC228" s="287"/>
      <c r="AD228" s="287"/>
      <c r="AE228" s="287"/>
      <c r="AF228" s="287"/>
      <c r="AG228" s="287"/>
      <c r="AH228" s="287"/>
      <c r="AI228" s="287"/>
      <c r="AJ228" s="287"/>
      <c r="AK228" s="287"/>
      <c r="AL228" s="287"/>
      <c r="AM228" s="287"/>
      <c r="AN228" s="287"/>
      <c r="AO228" s="287"/>
      <c r="AP228" s="287"/>
      <c r="AQ228" s="287"/>
      <c r="AR228" s="287"/>
      <c r="AS228" s="287"/>
      <c r="AT228" s="287"/>
      <c r="AU228" s="287"/>
      <c r="AV228" s="287"/>
      <c r="AW228" s="287"/>
      <c r="AX228" s="287"/>
      <c r="AY228" s="287"/>
      <c r="AZ228" s="287"/>
      <c r="BA228" s="287"/>
      <c r="BB228" s="287"/>
      <c r="BC228" s="287"/>
    </row>
    <row r="229" ht="15.75" customHeight="1">
      <c r="A229" s="287"/>
      <c r="B229" s="287"/>
      <c r="C229" s="287"/>
      <c r="D229" s="287"/>
      <c r="E229" s="287"/>
      <c r="F229" s="287"/>
      <c r="G229" s="287"/>
      <c r="H229" s="287"/>
      <c r="I229" s="287"/>
      <c r="J229" s="287"/>
      <c r="K229" s="287"/>
      <c r="L229" s="287"/>
      <c r="M229" s="287"/>
      <c r="N229" s="287"/>
      <c r="O229" s="287"/>
      <c r="P229" s="287"/>
      <c r="Q229" s="287"/>
      <c r="R229" s="287"/>
      <c r="S229" s="287"/>
      <c r="T229" s="287"/>
      <c r="U229" s="287"/>
      <c r="V229" s="287"/>
      <c r="W229" s="287"/>
      <c r="X229" s="287"/>
      <c r="Y229" s="287"/>
      <c r="Z229" s="287"/>
      <c r="AA229" s="287"/>
      <c r="AB229" s="287"/>
      <c r="AC229" s="287"/>
      <c r="AD229" s="287"/>
      <c r="AE229" s="287"/>
      <c r="AF229" s="287"/>
      <c r="AG229" s="287"/>
      <c r="AH229" s="287"/>
      <c r="AI229" s="287"/>
      <c r="AJ229" s="287"/>
      <c r="AK229" s="287"/>
      <c r="AL229" s="287"/>
      <c r="AM229" s="287"/>
      <c r="AN229" s="287"/>
      <c r="AO229" s="287"/>
      <c r="AP229" s="287"/>
      <c r="AQ229" s="287"/>
      <c r="AR229" s="287"/>
      <c r="AS229" s="287"/>
      <c r="AT229" s="287"/>
      <c r="AU229" s="287"/>
      <c r="AV229" s="287"/>
      <c r="AW229" s="287"/>
      <c r="AX229" s="287"/>
      <c r="AY229" s="287"/>
      <c r="AZ229" s="287"/>
      <c r="BA229" s="287"/>
      <c r="BB229" s="287"/>
      <c r="BC229" s="287"/>
    </row>
    <row r="230" ht="15.75" customHeight="1">
      <c r="A230" s="287"/>
      <c r="B230" s="287"/>
      <c r="C230" s="287"/>
      <c r="D230" s="287"/>
      <c r="E230" s="287"/>
      <c r="F230" s="287"/>
      <c r="G230" s="287"/>
      <c r="H230" s="287"/>
      <c r="I230" s="287"/>
      <c r="J230" s="287"/>
      <c r="K230" s="287"/>
      <c r="L230" s="287"/>
      <c r="M230" s="287"/>
      <c r="N230" s="287"/>
      <c r="O230" s="287"/>
      <c r="P230" s="287"/>
      <c r="Q230" s="287"/>
      <c r="R230" s="287"/>
      <c r="S230" s="287"/>
      <c r="T230" s="287"/>
      <c r="U230" s="287"/>
      <c r="V230" s="287"/>
      <c r="W230" s="287"/>
      <c r="X230" s="287"/>
      <c r="Y230" s="287"/>
      <c r="Z230" s="287"/>
      <c r="AA230" s="287"/>
      <c r="AB230" s="287"/>
      <c r="AC230" s="287"/>
      <c r="AD230" s="287"/>
      <c r="AE230" s="287"/>
      <c r="AF230" s="287"/>
      <c r="AG230" s="287"/>
      <c r="AH230" s="287"/>
      <c r="AI230" s="287"/>
      <c r="AJ230" s="287"/>
      <c r="AK230" s="287"/>
      <c r="AL230" s="287"/>
      <c r="AM230" s="287"/>
      <c r="AN230" s="287"/>
      <c r="AO230" s="287"/>
      <c r="AP230" s="287"/>
      <c r="AQ230" s="287"/>
      <c r="AR230" s="287"/>
      <c r="AS230" s="287"/>
      <c r="AT230" s="287"/>
      <c r="AU230" s="287"/>
      <c r="AV230" s="287"/>
      <c r="AW230" s="287"/>
      <c r="AX230" s="287"/>
      <c r="AY230" s="287"/>
      <c r="AZ230" s="287"/>
      <c r="BA230" s="287"/>
      <c r="BB230" s="287"/>
      <c r="BC230" s="287"/>
    </row>
    <row r="231" ht="15.75" customHeight="1">
      <c r="A231" s="287"/>
      <c r="B231" s="287"/>
      <c r="C231" s="287"/>
      <c r="D231" s="287"/>
      <c r="E231" s="287"/>
      <c r="F231" s="287"/>
      <c r="G231" s="287"/>
      <c r="H231" s="287"/>
      <c r="I231" s="287"/>
      <c r="J231" s="287"/>
      <c r="K231" s="287"/>
      <c r="L231" s="287"/>
      <c r="M231" s="287"/>
      <c r="N231" s="287"/>
      <c r="O231" s="287"/>
      <c r="P231" s="287"/>
      <c r="Q231" s="287"/>
      <c r="R231" s="287"/>
      <c r="S231" s="287"/>
      <c r="T231" s="287"/>
      <c r="U231" s="287"/>
      <c r="V231" s="287"/>
      <c r="W231" s="287"/>
      <c r="X231" s="287"/>
      <c r="Y231" s="287"/>
      <c r="Z231" s="287"/>
      <c r="AA231" s="287"/>
      <c r="AB231" s="287"/>
      <c r="AC231" s="287"/>
      <c r="AD231" s="287"/>
      <c r="AE231" s="287"/>
      <c r="AF231" s="287"/>
      <c r="AG231" s="287"/>
      <c r="AH231" s="287"/>
      <c r="AI231" s="287"/>
      <c r="AJ231" s="287"/>
      <c r="AK231" s="287"/>
      <c r="AL231" s="287"/>
      <c r="AM231" s="287"/>
      <c r="AN231" s="287"/>
      <c r="AO231" s="287"/>
      <c r="AP231" s="287"/>
      <c r="AQ231" s="287"/>
      <c r="AR231" s="287"/>
      <c r="AS231" s="287"/>
      <c r="AT231" s="287"/>
      <c r="AU231" s="287"/>
      <c r="AV231" s="287"/>
      <c r="AW231" s="287"/>
      <c r="AX231" s="287"/>
      <c r="AY231" s="287"/>
      <c r="AZ231" s="287"/>
      <c r="BA231" s="287"/>
      <c r="BB231" s="287"/>
      <c r="BC231" s="287"/>
    </row>
    <row r="232" ht="15.75" customHeight="1">
      <c r="A232" s="287"/>
      <c r="B232" s="287"/>
      <c r="C232" s="287"/>
      <c r="D232" s="287"/>
      <c r="E232" s="287"/>
      <c r="F232" s="287"/>
      <c r="G232" s="287"/>
      <c r="H232" s="287"/>
      <c r="I232" s="287"/>
      <c r="J232" s="287"/>
      <c r="K232" s="287"/>
      <c r="L232" s="287"/>
      <c r="M232" s="287"/>
      <c r="N232" s="287"/>
      <c r="O232" s="287"/>
      <c r="P232" s="287"/>
      <c r="Q232" s="287"/>
      <c r="R232" s="287"/>
      <c r="S232" s="287"/>
      <c r="T232" s="287"/>
      <c r="U232" s="287"/>
      <c r="V232" s="287"/>
      <c r="W232" s="287"/>
      <c r="X232" s="287"/>
      <c r="Y232" s="287"/>
      <c r="Z232" s="287"/>
      <c r="AA232" s="287"/>
      <c r="AB232" s="287"/>
      <c r="AC232" s="287"/>
      <c r="AD232" s="287"/>
      <c r="AE232" s="287"/>
      <c r="AF232" s="287"/>
      <c r="AG232" s="287"/>
      <c r="AH232" s="287"/>
      <c r="AI232" s="287"/>
      <c r="AJ232" s="287"/>
      <c r="AK232" s="287"/>
      <c r="AL232" s="287"/>
      <c r="AM232" s="287"/>
      <c r="AN232" s="287"/>
      <c r="AO232" s="287"/>
      <c r="AP232" s="287"/>
      <c r="AQ232" s="287"/>
      <c r="AR232" s="287"/>
      <c r="AS232" s="287"/>
      <c r="AT232" s="287"/>
      <c r="AU232" s="287"/>
      <c r="AV232" s="287"/>
      <c r="AW232" s="287"/>
      <c r="AX232" s="287"/>
      <c r="AY232" s="287"/>
      <c r="AZ232" s="287"/>
      <c r="BA232" s="287"/>
      <c r="BB232" s="287"/>
      <c r="BC232" s="287"/>
    </row>
    <row r="233" ht="15.75" customHeight="1">
      <c r="A233" s="287"/>
      <c r="B233" s="287"/>
      <c r="C233" s="287"/>
      <c r="D233" s="287"/>
      <c r="E233" s="287"/>
      <c r="F233" s="287"/>
      <c r="G233" s="287"/>
      <c r="H233" s="287"/>
      <c r="I233" s="287"/>
      <c r="J233" s="287"/>
      <c r="K233" s="287"/>
      <c r="L233" s="287"/>
      <c r="M233" s="287"/>
      <c r="N233" s="287"/>
      <c r="O233" s="287"/>
      <c r="P233" s="287"/>
      <c r="Q233" s="287"/>
      <c r="R233" s="287"/>
      <c r="S233" s="287"/>
      <c r="T233" s="287"/>
      <c r="U233" s="287"/>
      <c r="V233" s="287"/>
      <c r="W233" s="287"/>
      <c r="X233" s="287"/>
      <c r="Y233" s="287"/>
      <c r="Z233" s="287"/>
      <c r="AA233" s="287"/>
      <c r="AB233" s="287"/>
      <c r="AC233" s="287"/>
      <c r="AD233" s="287"/>
      <c r="AE233" s="287"/>
      <c r="AF233" s="287"/>
      <c r="AG233" s="287"/>
      <c r="AH233" s="287"/>
      <c r="AI233" s="287"/>
      <c r="AJ233" s="287"/>
      <c r="AK233" s="287"/>
      <c r="AL233" s="287"/>
      <c r="AM233" s="287"/>
      <c r="AN233" s="287"/>
      <c r="AO233" s="287"/>
      <c r="AP233" s="287"/>
      <c r="AQ233" s="287"/>
      <c r="AR233" s="287"/>
      <c r="AS233" s="287"/>
      <c r="AT233" s="287"/>
      <c r="AU233" s="287"/>
      <c r="AV233" s="287"/>
      <c r="AW233" s="287"/>
      <c r="AX233" s="287"/>
      <c r="AY233" s="287"/>
      <c r="AZ233" s="287"/>
      <c r="BA233" s="287"/>
      <c r="BB233" s="287"/>
      <c r="BC233" s="287"/>
    </row>
    <row r="234" ht="15.75" customHeight="1">
      <c r="A234" s="287"/>
      <c r="B234" s="287"/>
      <c r="C234" s="287"/>
      <c r="D234" s="287"/>
      <c r="E234" s="287"/>
      <c r="F234" s="287"/>
      <c r="G234" s="287"/>
      <c r="H234" s="287"/>
      <c r="I234" s="287"/>
      <c r="J234" s="287"/>
      <c r="K234" s="287"/>
      <c r="L234" s="287"/>
      <c r="M234" s="287"/>
      <c r="N234" s="287"/>
      <c r="O234" s="287"/>
      <c r="P234" s="287"/>
      <c r="Q234" s="287"/>
      <c r="R234" s="287"/>
      <c r="S234" s="287"/>
      <c r="T234" s="287"/>
      <c r="U234" s="287"/>
      <c r="V234" s="287"/>
      <c r="W234" s="287"/>
      <c r="X234" s="287"/>
      <c r="Y234" s="287"/>
      <c r="Z234" s="287"/>
      <c r="AA234" s="287"/>
      <c r="AB234" s="287"/>
      <c r="AC234" s="287"/>
      <c r="AD234" s="287"/>
      <c r="AE234" s="287"/>
      <c r="AF234" s="287"/>
      <c r="AG234" s="287"/>
      <c r="AH234" s="287"/>
      <c r="AI234" s="287"/>
      <c r="AJ234" s="287"/>
      <c r="AK234" s="287"/>
      <c r="AL234" s="287"/>
      <c r="AM234" s="287"/>
      <c r="AN234" s="287"/>
      <c r="AO234" s="287"/>
      <c r="AP234" s="287"/>
      <c r="AQ234" s="287"/>
      <c r="AR234" s="287"/>
      <c r="AS234" s="287"/>
      <c r="AT234" s="287"/>
      <c r="AU234" s="287"/>
      <c r="AV234" s="287"/>
      <c r="AW234" s="287"/>
      <c r="AX234" s="287"/>
      <c r="AY234" s="287"/>
      <c r="AZ234" s="287"/>
      <c r="BA234" s="287"/>
      <c r="BB234" s="287"/>
      <c r="BC234" s="287"/>
    </row>
    <row r="235" ht="15.75" customHeight="1">
      <c r="A235" s="287"/>
      <c r="B235" s="287"/>
      <c r="C235" s="287"/>
      <c r="D235" s="287"/>
      <c r="E235" s="287"/>
      <c r="F235" s="287"/>
      <c r="G235" s="287"/>
      <c r="H235" s="287"/>
      <c r="I235" s="287"/>
      <c r="J235" s="287"/>
      <c r="K235" s="287"/>
      <c r="L235" s="287"/>
      <c r="M235" s="287"/>
      <c r="N235" s="287"/>
      <c r="O235" s="287"/>
      <c r="P235" s="287"/>
      <c r="Q235" s="287"/>
      <c r="R235" s="287"/>
      <c r="S235" s="287"/>
      <c r="T235" s="287"/>
      <c r="U235" s="287"/>
      <c r="V235" s="287"/>
      <c r="W235" s="287"/>
      <c r="X235" s="287"/>
      <c r="Y235" s="287"/>
      <c r="Z235" s="287"/>
      <c r="AA235" s="287"/>
      <c r="AB235" s="287"/>
      <c r="AC235" s="287"/>
      <c r="AD235" s="287"/>
      <c r="AE235" s="287"/>
      <c r="AF235" s="287"/>
      <c r="AG235" s="287"/>
      <c r="AH235" s="287"/>
      <c r="AI235" s="287"/>
      <c r="AJ235" s="287"/>
      <c r="AK235" s="287"/>
      <c r="AL235" s="287"/>
      <c r="AM235" s="287"/>
      <c r="AN235" s="287"/>
      <c r="AO235" s="287"/>
      <c r="AP235" s="287"/>
      <c r="AQ235" s="287"/>
      <c r="AR235" s="287"/>
      <c r="AS235" s="287"/>
      <c r="AT235" s="287"/>
      <c r="AU235" s="287"/>
      <c r="AV235" s="287"/>
      <c r="AW235" s="287"/>
      <c r="AX235" s="287"/>
      <c r="AY235" s="287"/>
      <c r="AZ235" s="287"/>
      <c r="BA235" s="287"/>
      <c r="BB235" s="287"/>
      <c r="BC235" s="287"/>
    </row>
    <row r="236" ht="15.75" customHeight="1">
      <c r="A236" s="287"/>
      <c r="B236" s="287"/>
      <c r="C236" s="287"/>
      <c r="D236" s="287"/>
      <c r="E236" s="287"/>
      <c r="F236" s="287"/>
      <c r="G236" s="287"/>
      <c r="H236" s="287"/>
      <c r="I236" s="287"/>
      <c r="J236" s="287"/>
      <c r="K236" s="287"/>
      <c r="L236" s="287"/>
      <c r="M236" s="287"/>
      <c r="N236" s="287"/>
      <c r="O236" s="287"/>
      <c r="P236" s="287"/>
      <c r="Q236" s="287"/>
      <c r="R236" s="287"/>
      <c r="S236" s="287"/>
      <c r="T236" s="287"/>
      <c r="U236" s="287"/>
      <c r="V236" s="287"/>
      <c r="W236" s="287"/>
      <c r="X236" s="287"/>
      <c r="Y236" s="287"/>
      <c r="Z236" s="287"/>
      <c r="AA236" s="287"/>
      <c r="AB236" s="287"/>
      <c r="AC236" s="287"/>
      <c r="AD236" s="287"/>
      <c r="AE236" s="287"/>
      <c r="AF236" s="287"/>
      <c r="AG236" s="287"/>
      <c r="AH236" s="287"/>
      <c r="AI236" s="287"/>
      <c r="AJ236" s="287"/>
      <c r="AK236" s="287"/>
      <c r="AL236" s="287"/>
      <c r="AM236" s="287"/>
      <c r="AN236" s="287"/>
      <c r="AO236" s="287"/>
      <c r="AP236" s="287"/>
      <c r="AQ236" s="287"/>
      <c r="AR236" s="287"/>
      <c r="AS236" s="287"/>
      <c r="AT236" s="287"/>
      <c r="AU236" s="287"/>
      <c r="AV236" s="287"/>
      <c r="AW236" s="287"/>
      <c r="AX236" s="287"/>
      <c r="AY236" s="287"/>
      <c r="AZ236" s="287"/>
      <c r="BA236" s="287"/>
      <c r="BB236" s="287"/>
      <c r="BC236" s="287"/>
    </row>
    <row r="237" ht="15.75" customHeight="1">
      <c r="A237" s="287"/>
      <c r="B237" s="287"/>
      <c r="C237" s="287"/>
      <c r="D237" s="287"/>
      <c r="E237" s="287"/>
      <c r="F237" s="287"/>
      <c r="G237" s="287"/>
      <c r="H237" s="287"/>
      <c r="I237" s="287"/>
      <c r="J237" s="287"/>
      <c r="K237" s="287"/>
      <c r="L237" s="287"/>
      <c r="M237" s="287"/>
      <c r="N237" s="287"/>
      <c r="O237" s="287"/>
      <c r="P237" s="287"/>
      <c r="Q237" s="287"/>
      <c r="R237" s="287"/>
      <c r="S237" s="287"/>
      <c r="T237" s="287"/>
      <c r="U237" s="287"/>
      <c r="V237" s="287"/>
      <c r="W237" s="287"/>
      <c r="X237" s="287"/>
      <c r="Y237" s="287"/>
      <c r="Z237" s="287"/>
      <c r="AA237" s="287"/>
      <c r="AB237" s="287"/>
      <c r="AC237" s="287"/>
      <c r="AD237" s="287"/>
      <c r="AE237" s="287"/>
      <c r="AF237" s="287"/>
      <c r="AG237" s="287"/>
      <c r="AH237" s="287"/>
      <c r="AI237" s="287"/>
      <c r="AJ237" s="287"/>
      <c r="AK237" s="287"/>
      <c r="AL237" s="287"/>
      <c r="AM237" s="287"/>
      <c r="AN237" s="287"/>
      <c r="AO237" s="287"/>
      <c r="AP237" s="287"/>
      <c r="AQ237" s="287"/>
      <c r="AR237" s="287"/>
      <c r="AS237" s="287"/>
      <c r="AT237" s="287"/>
      <c r="AU237" s="287"/>
      <c r="AV237" s="287"/>
      <c r="AW237" s="287"/>
      <c r="AX237" s="287"/>
      <c r="AY237" s="287"/>
      <c r="AZ237" s="287"/>
      <c r="BA237" s="287"/>
      <c r="BB237" s="287"/>
      <c r="BC237" s="287"/>
    </row>
    <row r="238" ht="15.75" customHeight="1">
      <c r="A238" s="287"/>
      <c r="B238" s="287"/>
      <c r="C238" s="287"/>
      <c r="D238" s="287"/>
      <c r="E238" s="287"/>
      <c r="F238" s="287"/>
      <c r="G238" s="287"/>
      <c r="H238" s="287"/>
      <c r="I238" s="287"/>
      <c r="J238" s="287"/>
      <c r="K238" s="287"/>
      <c r="L238" s="287"/>
      <c r="M238" s="287"/>
      <c r="N238" s="287"/>
      <c r="O238" s="287"/>
      <c r="P238" s="287"/>
      <c r="Q238" s="287"/>
      <c r="R238" s="287"/>
      <c r="S238" s="287"/>
      <c r="T238" s="287"/>
      <c r="U238" s="287"/>
      <c r="V238" s="287"/>
      <c r="W238" s="287"/>
      <c r="X238" s="287"/>
      <c r="Y238" s="287"/>
      <c r="Z238" s="287"/>
      <c r="AA238" s="287"/>
      <c r="AB238" s="287"/>
      <c r="AC238" s="287"/>
      <c r="AD238" s="287"/>
      <c r="AE238" s="287"/>
      <c r="AF238" s="287"/>
      <c r="AG238" s="287"/>
      <c r="AH238" s="287"/>
      <c r="AI238" s="287"/>
      <c r="AJ238" s="287"/>
      <c r="AK238" s="287"/>
      <c r="AL238" s="287"/>
      <c r="AM238" s="287"/>
      <c r="AN238" s="287"/>
      <c r="AO238" s="287"/>
      <c r="AP238" s="287"/>
      <c r="AQ238" s="287"/>
      <c r="AR238" s="287"/>
      <c r="AS238" s="287"/>
      <c r="AT238" s="287"/>
      <c r="AU238" s="287"/>
      <c r="AV238" s="287"/>
      <c r="AW238" s="287"/>
      <c r="AX238" s="287"/>
      <c r="AY238" s="287"/>
      <c r="AZ238" s="287"/>
      <c r="BA238" s="287"/>
      <c r="BB238" s="287"/>
      <c r="BC238" s="287"/>
    </row>
    <row r="239" ht="15.75" customHeight="1">
      <c r="A239" s="287"/>
      <c r="B239" s="287"/>
      <c r="C239" s="287"/>
      <c r="D239" s="287"/>
      <c r="E239" s="287"/>
      <c r="F239" s="287"/>
      <c r="G239" s="287"/>
      <c r="H239" s="287"/>
      <c r="I239" s="287"/>
      <c r="J239" s="287"/>
      <c r="K239" s="287"/>
      <c r="L239" s="287"/>
      <c r="M239" s="287"/>
      <c r="N239" s="287"/>
      <c r="O239" s="287"/>
      <c r="P239" s="287"/>
      <c r="Q239" s="287"/>
      <c r="R239" s="287"/>
      <c r="S239" s="287"/>
      <c r="T239" s="287"/>
      <c r="U239" s="287"/>
      <c r="V239" s="287"/>
      <c r="W239" s="287"/>
      <c r="X239" s="287"/>
      <c r="Y239" s="287"/>
      <c r="Z239" s="287"/>
      <c r="AA239" s="287"/>
      <c r="AB239" s="287"/>
      <c r="AC239" s="287"/>
      <c r="AD239" s="287"/>
      <c r="AE239" s="287"/>
      <c r="AF239" s="287"/>
      <c r="AG239" s="287"/>
      <c r="AH239" s="287"/>
      <c r="AI239" s="287"/>
      <c r="AJ239" s="287"/>
      <c r="AK239" s="287"/>
      <c r="AL239" s="287"/>
      <c r="AM239" s="287"/>
      <c r="AN239" s="287"/>
      <c r="AO239" s="287"/>
      <c r="AP239" s="287"/>
      <c r="AQ239" s="287"/>
      <c r="AR239" s="287"/>
      <c r="AS239" s="287"/>
      <c r="AT239" s="287"/>
      <c r="AU239" s="287"/>
      <c r="AV239" s="287"/>
      <c r="AW239" s="287"/>
      <c r="AX239" s="287"/>
      <c r="AY239" s="287"/>
      <c r="AZ239" s="287"/>
      <c r="BA239" s="287"/>
      <c r="BB239" s="287"/>
      <c r="BC239" s="287"/>
    </row>
    <row r="240" ht="15.75" customHeight="1">
      <c r="A240" s="287"/>
      <c r="B240" s="287"/>
      <c r="C240" s="287"/>
      <c r="D240" s="287"/>
      <c r="E240" s="287"/>
      <c r="F240" s="287"/>
      <c r="G240" s="287"/>
      <c r="H240" s="287"/>
      <c r="I240" s="287"/>
      <c r="J240" s="287"/>
      <c r="K240" s="287"/>
      <c r="L240" s="287"/>
      <c r="M240" s="287"/>
      <c r="N240" s="287"/>
      <c r="O240" s="287"/>
      <c r="P240" s="287"/>
      <c r="Q240" s="287"/>
      <c r="R240" s="287"/>
      <c r="S240" s="287"/>
      <c r="T240" s="287"/>
      <c r="U240" s="287"/>
      <c r="V240" s="287"/>
      <c r="W240" s="287"/>
      <c r="X240" s="287"/>
      <c r="Y240" s="287"/>
      <c r="Z240" s="287"/>
      <c r="AA240" s="287"/>
      <c r="AB240" s="287"/>
      <c r="AC240" s="287"/>
      <c r="AD240" s="287"/>
      <c r="AE240" s="287"/>
      <c r="AF240" s="287"/>
      <c r="AG240" s="287"/>
      <c r="AH240" s="287"/>
      <c r="AI240" s="287"/>
      <c r="AJ240" s="287"/>
      <c r="AK240" s="287"/>
      <c r="AL240" s="287"/>
      <c r="AM240" s="287"/>
      <c r="AN240" s="287"/>
      <c r="AO240" s="287"/>
      <c r="AP240" s="287"/>
      <c r="AQ240" s="287"/>
      <c r="AR240" s="287"/>
      <c r="AS240" s="287"/>
      <c r="AT240" s="287"/>
      <c r="AU240" s="287"/>
      <c r="AV240" s="287"/>
      <c r="AW240" s="287"/>
      <c r="AX240" s="287"/>
      <c r="AY240" s="287"/>
      <c r="AZ240" s="287"/>
      <c r="BA240" s="287"/>
      <c r="BB240" s="287"/>
      <c r="BC240" s="287"/>
    </row>
    <row r="241" ht="15.75" customHeight="1">
      <c r="A241" s="287"/>
      <c r="B241" s="287"/>
      <c r="C241" s="287"/>
      <c r="D241" s="287"/>
      <c r="E241" s="287"/>
      <c r="F241" s="287"/>
      <c r="G241" s="287"/>
      <c r="H241" s="287"/>
      <c r="I241" s="287"/>
      <c r="J241" s="287"/>
      <c r="K241" s="287"/>
      <c r="L241" s="287"/>
      <c r="M241" s="287"/>
      <c r="N241" s="287"/>
      <c r="O241" s="287"/>
      <c r="P241" s="287"/>
      <c r="Q241" s="287"/>
      <c r="R241" s="287"/>
      <c r="S241" s="287"/>
      <c r="T241" s="287"/>
      <c r="U241" s="287"/>
      <c r="V241" s="287"/>
      <c r="W241" s="287"/>
      <c r="X241" s="287"/>
      <c r="Y241" s="287"/>
      <c r="Z241" s="287"/>
      <c r="AA241" s="287"/>
      <c r="AB241" s="287"/>
      <c r="AC241" s="287"/>
      <c r="AD241" s="287"/>
      <c r="AE241" s="287"/>
      <c r="AF241" s="287"/>
      <c r="AG241" s="287"/>
      <c r="AH241" s="287"/>
      <c r="AI241" s="287"/>
      <c r="AJ241" s="287"/>
      <c r="AK241" s="287"/>
      <c r="AL241" s="287"/>
      <c r="AM241" s="287"/>
      <c r="AN241" s="287"/>
      <c r="AO241" s="287"/>
      <c r="AP241" s="287"/>
      <c r="AQ241" s="287"/>
      <c r="AR241" s="287"/>
      <c r="AS241" s="287"/>
      <c r="AT241" s="287"/>
      <c r="AU241" s="287"/>
      <c r="AV241" s="287"/>
      <c r="AW241" s="287"/>
      <c r="AX241" s="287"/>
      <c r="AY241" s="287"/>
      <c r="AZ241" s="287"/>
      <c r="BA241" s="287"/>
      <c r="BB241" s="287"/>
      <c r="BC241" s="287"/>
    </row>
    <row r="242" ht="15.75" customHeight="1">
      <c r="A242" s="287"/>
      <c r="B242" s="287"/>
      <c r="C242" s="287"/>
      <c r="D242" s="287"/>
      <c r="E242" s="287"/>
      <c r="F242" s="287"/>
      <c r="G242" s="287"/>
      <c r="H242" s="287"/>
      <c r="I242" s="287"/>
      <c r="J242" s="287"/>
      <c r="K242" s="287"/>
      <c r="L242" s="287"/>
      <c r="M242" s="287"/>
      <c r="N242" s="287"/>
      <c r="O242" s="287"/>
      <c r="P242" s="287"/>
      <c r="Q242" s="287"/>
      <c r="R242" s="287"/>
      <c r="S242" s="287"/>
      <c r="T242" s="287"/>
      <c r="U242" s="287"/>
      <c r="V242" s="287"/>
      <c r="W242" s="287"/>
      <c r="X242" s="287"/>
      <c r="Y242" s="287"/>
      <c r="Z242" s="287"/>
      <c r="AA242" s="287"/>
      <c r="AB242" s="287"/>
      <c r="AC242" s="287"/>
      <c r="AD242" s="287"/>
      <c r="AE242" s="287"/>
      <c r="AF242" s="287"/>
      <c r="AG242" s="287"/>
      <c r="AH242" s="287"/>
      <c r="AI242" s="287"/>
      <c r="AJ242" s="287"/>
      <c r="AK242" s="287"/>
      <c r="AL242" s="287"/>
      <c r="AM242" s="287"/>
      <c r="AN242" s="287"/>
      <c r="AO242" s="287"/>
      <c r="AP242" s="287"/>
      <c r="AQ242" s="287"/>
      <c r="AR242" s="287"/>
      <c r="AS242" s="287"/>
      <c r="AT242" s="287"/>
      <c r="AU242" s="287"/>
      <c r="AV242" s="287"/>
      <c r="AW242" s="287"/>
      <c r="AX242" s="287"/>
      <c r="AY242" s="287"/>
      <c r="AZ242" s="287"/>
      <c r="BA242" s="287"/>
      <c r="BB242" s="287"/>
      <c r="BC242" s="287"/>
    </row>
    <row r="243" ht="15.75" customHeight="1">
      <c r="A243" s="287"/>
      <c r="B243" s="287"/>
      <c r="C243" s="287"/>
      <c r="D243" s="287"/>
      <c r="E243" s="287"/>
      <c r="F243" s="287"/>
      <c r="G243" s="287"/>
      <c r="H243" s="287"/>
      <c r="I243" s="287"/>
      <c r="J243" s="287"/>
      <c r="K243" s="287"/>
      <c r="L243" s="287"/>
      <c r="M243" s="287"/>
      <c r="N243" s="287"/>
      <c r="O243" s="287"/>
      <c r="P243" s="287"/>
      <c r="Q243" s="287"/>
      <c r="R243" s="287"/>
      <c r="S243" s="287"/>
      <c r="T243" s="287"/>
      <c r="U243" s="287"/>
      <c r="V243" s="287"/>
      <c r="W243" s="287"/>
      <c r="X243" s="287"/>
      <c r="Y243" s="287"/>
      <c r="Z243" s="287"/>
      <c r="AA243" s="287"/>
      <c r="AB243" s="287"/>
      <c r="AC243" s="287"/>
      <c r="AD243" s="287"/>
      <c r="AE243" s="287"/>
      <c r="AF243" s="287"/>
      <c r="AG243" s="287"/>
      <c r="AH243" s="287"/>
      <c r="AI243" s="287"/>
      <c r="AJ243" s="287"/>
      <c r="AK243" s="287"/>
      <c r="AL243" s="287"/>
      <c r="AM243" s="287"/>
      <c r="AN243" s="287"/>
      <c r="AO243" s="287"/>
      <c r="AP243" s="287"/>
      <c r="AQ243" s="287"/>
      <c r="AR243" s="287"/>
      <c r="AS243" s="287"/>
      <c r="AT243" s="287"/>
      <c r="AU243" s="287"/>
      <c r="AV243" s="287"/>
      <c r="AW243" s="287"/>
      <c r="AX243" s="287"/>
      <c r="AY243" s="287"/>
      <c r="AZ243" s="287"/>
      <c r="BA243" s="287"/>
      <c r="BB243" s="287"/>
      <c r="BC243" s="287"/>
    </row>
    <row r="244" ht="15.75" customHeight="1">
      <c r="A244" s="287"/>
      <c r="B244" s="287"/>
      <c r="C244" s="287"/>
      <c r="D244" s="287"/>
      <c r="E244" s="287"/>
      <c r="F244" s="287"/>
      <c r="G244" s="287"/>
      <c r="H244" s="287"/>
      <c r="I244" s="287"/>
      <c r="J244" s="287"/>
      <c r="K244" s="287"/>
      <c r="L244" s="287"/>
      <c r="M244" s="287"/>
      <c r="N244" s="287"/>
      <c r="O244" s="287"/>
      <c r="P244" s="287"/>
      <c r="Q244" s="287"/>
      <c r="R244" s="287"/>
      <c r="S244" s="287"/>
      <c r="T244" s="287"/>
      <c r="U244" s="287"/>
      <c r="V244" s="287"/>
      <c r="W244" s="287"/>
      <c r="X244" s="287"/>
      <c r="Y244" s="287"/>
      <c r="Z244" s="287"/>
      <c r="AA244" s="287"/>
      <c r="AB244" s="287"/>
      <c r="AC244" s="287"/>
      <c r="AD244" s="287"/>
      <c r="AE244" s="287"/>
      <c r="AF244" s="287"/>
      <c r="AG244" s="287"/>
      <c r="AH244" s="287"/>
      <c r="AI244" s="287"/>
      <c r="AJ244" s="287"/>
      <c r="AK244" s="287"/>
      <c r="AL244" s="287"/>
      <c r="AM244" s="287"/>
      <c r="AN244" s="287"/>
      <c r="AO244" s="287"/>
      <c r="AP244" s="287"/>
      <c r="AQ244" s="287"/>
      <c r="AR244" s="287"/>
      <c r="AS244" s="287"/>
      <c r="AT244" s="287"/>
      <c r="AU244" s="287"/>
      <c r="AV244" s="287"/>
      <c r="AW244" s="287"/>
      <c r="AX244" s="287"/>
      <c r="AY244" s="287"/>
      <c r="AZ244" s="287"/>
      <c r="BA244" s="287"/>
      <c r="BB244" s="287"/>
      <c r="BC244" s="287"/>
    </row>
    <row r="245" ht="15.75" customHeight="1">
      <c r="A245" s="287"/>
      <c r="B245" s="287"/>
      <c r="C245" s="287"/>
      <c r="D245" s="287"/>
      <c r="E245" s="287"/>
      <c r="F245" s="287"/>
      <c r="G245" s="287"/>
      <c r="H245" s="287"/>
      <c r="I245" s="287"/>
      <c r="J245" s="287"/>
      <c r="K245" s="287"/>
      <c r="L245" s="287"/>
      <c r="M245" s="287"/>
      <c r="N245" s="287"/>
      <c r="O245" s="287"/>
      <c r="P245" s="287"/>
      <c r="Q245" s="287"/>
      <c r="R245" s="287"/>
      <c r="S245" s="287"/>
      <c r="T245" s="287"/>
      <c r="U245" s="287"/>
      <c r="V245" s="287"/>
      <c r="W245" s="287"/>
      <c r="X245" s="287"/>
      <c r="Y245" s="287"/>
      <c r="Z245" s="287"/>
      <c r="AA245" s="287"/>
      <c r="AB245" s="287"/>
      <c r="AC245" s="287"/>
      <c r="AD245" s="287"/>
      <c r="AE245" s="287"/>
      <c r="AF245" s="287"/>
      <c r="AG245" s="287"/>
      <c r="AH245" s="287"/>
      <c r="AI245" s="287"/>
      <c r="AJ245" s="287"/>
      <c r="AK245" s="287"/>
      <c r="AL245" s="287"/>
      <c r="AM245" s="287"/>
      <c r="AN245" s="287"/>
      <c r="AO245" s="287"/>
      <c r="AP245" s="287"/>
      <c r="AQ245" s="287"/>
      <c r="AR245" s="287"/>
      <c r="AS245" s="287"/>
      <c r="AT245" s="287"/>
      <c r="AU245" s="287"/>
      <c r="AV245" s="287"/>
      <c r="AW245" s="287"/>
      <c r="AX245" s="287"/>
      <c r="AY245" s="287"/>
      <c r="AZ245" s="287"/>
      <c r="BA245" s="287"/>
      <c r="BB245" s="287"/>
      <c r="BC245" s="287"/>
    </row>
    <row r="246" ht="15.75" customHeight="1">
      <c r="A246" s="287"/>
      <c r="B246" s="287"/>
      <c r="C246" s="287"/>
      <c r="D246" s="287"/>
      <c r="E246" s="287"/>
      <c r="F246" s="287"/>
      <c r="G246" s="287"/>
      <c r="H246" s="287"/>
      <c r="I246" s="287"/>
      <c r="J246" s="287"/>
      <c r="K246" s="287"/>
      <c r="L246" s="287"/>
      <c r="M246" s="287"/>
      <c r="N246" s="287"/>
      <c r="O246" s="287"/>
      <c r="P246" s="287"/>
      <c r="Q246" s="287"/>
      <c r="R246" s="287"/>
      <c r="S246" s="287"/>
      <c r="T246" s="287"/>
      <c r="U246" s="287"/>
      <c r="V246" s="287"/>
      <c r="W246" s="287"/>
      <c r="X246" s="287"/>
      <c r="Y246" s="287"/>
      <c r="Z246" s="287"/>
      <c r="AA246" s="287"/>
      <c r="AB246" s="287"/>
      <c r="AC246" s="287"/>
      <c r="AD246" s="287"/>
      <c r="AE246" s="287"/>
      <c r="AF246" s="287"/>
      <c r="AG246" s="287"/>
      <c r="AH246" s="287"/>
      <c r="AI246" s="287"/>
      <c r="AJ246" s="287"/>
      <c r="AK246" s="287"/>
      <c r="AL246" s="287"/>
      <c r="AM246" s="287"/>
      <c r="AN246" s="287"/>
      <c r="AO246" s="287"/>
      <c r="AP246" s="287"/>
      <c r="AQ246" s="287"/>
      <c r="AR246" s="287"/>
      <c r="AS246" s="287"/>
      <c r="AT246" s="287"/>
      <c r="AU246" s="287"/>
      <c r="AV246" s="287"/>
      <c r="AW246" s="287"/>
      <c r="AX246" s="287"/>
      <c r="AY246" s="287"/>
      <c r="AZ246" s="287"/>
      <c r="BA246" s="287"/>
      <c r="BB246" s="287"/>
      <c r="BC246" s="287"/>
    </row>
    <row r="247" ht="15.75" customHeight="1">
      <c r="A247" s="287"/>
      <c r="B247" s="287"/>
      <c r="C247" s="287"/>
      <c r="D247" s="287"/>
      <c r="E247" s="287"/>
      <c r="F247" s="287"/>
      <c r="G247" s="287"/>
      <c r="H247" s="287"/>
      <c r="I247" s="287"/>
      <c r="J247" s="287"/>
      <c r="K247" s="287"/>
      <c r="L247" s="287"/>
      <c r="M247" s="287"/>
      <c r="N247" s="287"/>
      <c r="O247" s="287"/>
      <c r="P247" s="287"/>
      <c r="Q247" s="287"/>
      <c r="R247" s="287"/>
      <c r="S247" s="287"/>
      <c r="T247" s="287"/>
      <c r="U247" s="287"/>
      <c r="V247" s="287"/>
      <c r="W247" s="287"/>
      <c r="X247" s="287"/>
      <c r="Y247" s="287"/>
      <c r="Z247" s="287"/>
      <c r="AA247" s="287"/>
      <c r="AB247" s="287"/>
      <c r="AC247" s="287"/>
      <c r="AD247" s="287"/>
      <c r="AE247" s="287"/>
      <c r="AF247" s="287"/>
      <c r="AG247" s="287"/>
      <c r="AH247" s="287"/>
      <c r="AI247" s="287"/>
      <c r="AJ247" s="287"/>
      <c r="AK247" s="287"/>
      <c r="AL247" s="287"/>
      <c r="AM247" s="287"/>
      <c r="AN247" s="287"/>
      <c r="AO247" s="287"/>
      <c r="AP247" s="287"/>
      <c r="AQ247" s="287"/>
      <c r="AR247" s="287"/>
      <c r="AS247" s="287"/>
      <c r="AT247" s="287"/>
      <c r="AU247" s="287"/>
      <c r="AV247" s="287"/>
      <c r="AW247" s="287"/>
      <c r="AX247" s="287"/>
      <c r="AY247" s="287"/>
      <c r="AZ247" s="287"/>
      <c r="BA247" s="287"/>
      <c r="BB247" s="287"/>
      <c r="BC247" s="287"/>
    </row>
    <row r="248" ht="15.75" customHeight="1">
      <c r="A248" s="287"/>
      <c r="B248" s="287"/>
      <c r="C248" s="287"/>
      <c r="D248" s="287"/>
      <c r="E248" s="287"/>
      <c r="F248" s="287"/>
      <c r="G248" s="287"/>
      <c r="H248" s="287"/>
      <c r="I248" s="287"/>
      <c r="J248" s="287"/>
      <c r="K248" s="287"/>
      <c r="L248" s="287"/>
      <c r="M248" s="287"/>
      <c r="N248" s="287"/>
      <c r="O248" s="287"/>
      <c r="P248" s="287"/>
      <c r="Q248" s="287"/>
      <c r="R248" s="287"/>
      <c r="S248" s="287"/>
      <c r="T248" s="287"/>
      <c r="U248" s="287"/>
      <c r="V248" s="287"/>
      <c r="W248" s="287"/>
      <c r="X248" s="287"/>
      <c r="Y248" s="287"/>
      <c r="Z248" s="287"/>
      <c r="AA248" s="287"/>
      <c r="AB248" s="287"/>
      <c r="AC248" s="287"/>
      <c r="AD248" s="287"/>
      <c r="AE248" s="287"/>
      <c r="AF248" s="287"/>
      <c r="AG248" s="287"/>
      <c r="AH248" s="287"/>
      <c r="AI248" s="287"/>
      <c r="AJ248" s="287"/>
      <c r="AK248" s="287"/>
      <c r="AL248" s="287"/>
      <c r="AM248" s="287"/>
      <c r="AN248" s="287"/>
      <c r="AO248" s="287"/>
      <c r="AP248" s="287"/>
      <c r="AQ248" s="287"/>
      <c r="AR248" s="287"/>
      <c r="AS248" s="287"/>
      <c r="AT248" s="287"/>
      <c r="AU248" s="287"/>
      <c r="AV248" s="287"/>
      <c r="AW248" s="287"/>
      <c r="AX248" s="287"/>
      <c r="AY248" s="287"/>
      <c r="AZ248" s="287"/>
      <c r="BA248" s="287"/>
      <c r="BB248" s="287"/>
      <c r="BC248" s="287"/>
    </row>
    <row r="249" ht="15.75" customHeight="1">
      <c r="A249" s="287"/>
      <c r="B249" s="287"/>
      <c r="C249" s="287"/>
      <c r="D249" s="287"/>
      <c r="E249" s="287"/>
      <c r="F249" s="287"/>
      <c r="G249" s="287"/>
      <c r="H249" s="287"/>
      <c r="I249" s="287"/>
      <c r="J249" s="287"/>
      <c r="K249" s="287"/>
      <c r="L249" s="287"/>
      <c r="M249" s="287"/>
      <c r="N249" s="287"/>
      <c r="O249" s="287"/>
      <c r="P249" s="287"/>
      <c r="Q249" s="287"/>
      <c r="R249" s="287"/>
      <c r="S249" s="287"/>
      <c r="T249" s="287"/>
      <c r="U249" s="287"/>
      <c r="V249" s="287"/>
      <c r="W249" s="287"/>
      <c r="X249" s="287"/>
      <c r="Y249" s="287"/>
      <c r="Z249" s="287"/>
      <c r="AA249" s="287"/>
      <c r="AB249" s="287"/>
      <c r="AC249" s="287"/>
      <c r="AD249" s="287"/>
      <c r="AE249" s="287"/>
      <c r="AF249" s="287"/>
      <c r="AG249" s="287"/>
      <c r="AH249" s="287"/>
      <c r="AI249" s="287"/>
      <c r="AJ249" s="287"/>
      <c r="AK249" s="287"/>
      <c r="AL249" s="287"/>
      <c r="AM249" s="287"/>
      <c r="AN249" s="287"/>
      <c r="AO249" s="287"/>
      <c r="AP249" s="287"/>
      <c r="AQ249" s="287"/>
      <c r="AR249" s="287"/>
      <c r="AS249" s="287"/>
      <c r="AT249" s="287"/>
      <c r="AU249" s="287"/>
      <c r="AV249" s="287"/>
      <c r="AW249" s="287"/>
      <c r="AX249" s="287"/>
      <c r="AY249" s="287"/>
      <c r="AZ249" s="287"/>
      <c r="BA249" s="287"/>
      <c r="BB249" s="287"/>
      <c r="BC249" s="287"/>
    </row>
    <row r="250" ht="15.75" customHeight="1">
      <c r="A250" s="287"/>
      <c r="B250" s="287"/>
      <c r="C250" s="287"/>
      <c r="D250" s="287"/>
      <c r="E250" s="287"/>
      <c r="F250" s="287"/>
      <c r="G250" s="287"/>
      <c r="H250" s="287"/>
      <c r="I250" s="287"/>
      <c r="J250" s="287"/>
      <c r="K250" s="287"/>
      <c r="L250" s="287"/>
      <c r="M250" s="287"/>
      <c r="N250" s="287"/>
      <c r="O250" s="287"/>
      <c r="P250" s="287"/>
      <c r="Q250" s="287"/>
      <c r="R250" s="287"/>
      <c r="S250" s="287"/>
      <c r="T250" s="287"/>
      <c r="U250" s="287"/>
      <c r="V250" s="287"/>
      <c r="W250" s="287"/>
      <c r="X250" s="287"/>
      <c r="Y250" s="287"/>
      <c r="Z250" s="287"/>
      <c r="AA250" s="287"/>
      <c r="AB250" s="287"/>
      <c r="AC250" s="287"/>
      <c r="AD250" s="287"/>
      <c r="AE250" s="287"/>
      <c r="AF250" s="287"/>
      <c r="AG250" s="287"/>
      <c r="AH250" s="287"/>
      <c r="AI250" s="287"/>
      <c r="AJ250" s="287"/>
      <c r="AK250" s="287"/>
      <c r="AL250" s="287"/>
      <c r="AM250" s="287"/>
      <c r="AN250" s="287"/>
      <c r="AO250" s="287"/>
      <c r="AP250" s="287"/>
      <c r="AQ250" s="287"/>
      <c r="AR250" s="287"/>
      <c r="AS250" s="287"/>
      <c r="AT250" s="287"/>
      <c r="AU250" s="287"/>
      <c r="AV250" s="287"/>
      <c r="AW250" s="287"/>
      <c r="AX250" s="287"/>
      <c r="AY250" s="287"/>
      <c r="AZ250" s="287"/>
      <c r="BA250" s="287"/>
      <c r="BB250" s="287"/>
      <c r="BC250" s="287"/>
    </row>
    <row r="251" ht="15.75" customHeight="1">
      <c r="A251" s="287"/>
      <c r="B251" s="287"/>
      <c r="C251" s="287"/>
      <c r="D251" s="287"/>
      <c r="E251" s="287"/>
      <c r="F251" s="287"/>
      <c r="G251" s="287"/>
      <c r="H251" s="287"/>
      <c r="I251" s="287"/>
      <c r="J251" s="287"/>
      <c r="K251" s="287"/>
      <c r="L251" s="287"/>
      <c r="M251" s="287"/>
      <c r="N251" s="287"/>
      <c r="O251" s="287"/>
      <c r="P251" s="287"/>
      <c r="Q251" s="287"/>
      <c r="R251" s="287"/>
      <c r="S251" s="287"/>
      <c r="T251" s="287"/>
      <c r="U251" s="287"/>
      <c r="V251" s="287"/>
      <c r="W251" s="287"/>
      <c r="X251" s="287"/>
      <c r="Y251" s="287"/>
      <c r="Z251" s="287"/>
      <c r="AA251" s="287"/>
      <c r="AB251" s="287"/>
      <c r="AC251" s="287"/>
      <c r="AD251" s="287"/>
      <c r="AE251" s="287"/>
      <c r="AF251" s="287"/>
      <c r="AG251" s="287"/>
      <c r="AH251" s="287"/>
      <c r="AI251" s="287"/>
      <c r="AJ251" s="287"/>
      <c r="AK251" s="287"/>
      <c r="AL251" s="287"/>
      <c r="AM251" s="287"/>
      <c r="AN251" s="287"/>
      <c r="AO251" s="287"/>
      <c r="AP251" s="287"/>
      <c r="AQ251" s="287"/>
      <c r="AR251" s="287"/>
      <c r="AS251" s="287"/>
      <c r="AT251" s="287"/>
      <c r="AU251" s="287"/>
      <c r="AV251" s="287"/>
      <c r="AW251" s="287"/>
      <c r="AX251" s="287"/>
      <c r="AY251" s="287"/>
      <c r="AZ251" s="287"/>
      <c r="BA251" s="287"/>
      <c r="BB251" s="287"/>
      <c r="BC251" s="287"/>
    </row>
    <row r="252" ht="15.75" customHeight="1">
      <c r="A252" s="287"/>
      <c r="B252" s="287"/>
      <c r="C252" s="287"/>
      <c r="D252" s="287"/>
      <c r="E252" s="287"/>
      <c r="F252" s="287"/>
      <c r="G252" s="287"/>
      <c r="H252" s="287"/>
      <c r="I252" s="287"/>
      <c r="J252" s="287"/>
      <c r="K252" s="287"/>
      <c r="L252" s="287"/>
      <c r="M252" s="287"/>
      <c r="N252" s="287"/>
      <c r="O252" s="287"/>
      <c r="P252" s="287"/>
      <c r="Q252" s="287"/>
      <c r="R252" s="287"/>
      <c r="S252" s="287"/>
      <c r="T252" s="287"/>
      <c r="U252" s="287"/>
      <c r="V252" s="287"/>
      <c r="W252" s="287"/>
      <c r="X252" s="287"/>
      <c r="Y252" s="287"/>
      <c r="Z252" s="287"/>
      <c r="AA252" s="287"/>
      <c r="AB252" s="287"/>
      <c r="AC252" s="287"/>
      <c r="AD252" s="287"/>
      <c r="AE252" s="287"/>
      <c r="AF252" s="287"/>
      <c r="AG252" s="287"/>
      <c r="AH252" s="287"/>
      <c r="AI252" s="287"/>
      <c r="AJ252" s="287"/>
      <c r="AK252" s="287"/>
      <c r="AL252" s="287"/>
      <c r="AM252" s="287"/>
      <c r="AN252" s="287"/>
      <c r="AO252" s="287"/>
      <c r="AP252" s="287"/>
      <c r="AQ252" s="287"/>
      <c r="AR252" s="287"/>
      <c r="AS252" s="287"/>
      <c r="AT252" s="287"/>
      <c r="AU252" s="287"/>
      <c r="AV252" s="287"/>
      <c r="AW252" s="287"/>
      <c r="AX252" s="287"/>
      <c r="AY252" s="287"/>
      <c r="AZ252" s="287"/>
      <c r="BA252" s="287"/>
      <c r="BB252" s="287"/>
      <c r="BC252" s="287"/>
    </row>
    <row r="253" ht="15.75" customHeight="1">
      <c r="A253" s="287"/>
      <c r="B253" s="287"/>
      <c r="C253" s="287"/>
      <c r="D253" s="287"/>
      <c r="E253" s="287"/>
      <c r="F253" s="287"/>
      <c r="G253" s="287"/>
      <c r="H253" s="287"/>
      <c r="I253" s="287"/>
      <c r="J253" s="287"/>
      <c r="K253" s="287"/>
      <c r="L253" s="287"/>
      <c r="M253" s="287"/>
      <c r="N253" s="287"/>
      <c r="O253" s="287"/>
      <c r="P253" s="287"/>
      <c r="Q253" s="287"/>
      <c r="R253" s="287"/>
      <c r="S253" s="287"/>
      <c r="T253" s="287"/>
      <c r="U253" s="287"/>
      <c r="V253" s="287"/>
      <c r="W253" s="287"/>
      <c r="X253" s="287"/>
      <c r="Y253" s="287"/>
      <c r="Z253" s="287"/>
      <c r="AA253" s="287"/>
      <c r="AB253" s="287"/>
      <c r="AC253" s="287"/>
      <c r="AD253" s="287"/>
      <c r="AE253" s="287"/>
      <c r="AF253" s="287"/>
      <c r="AG253" s="287"/>
      <c r="AH253" s="287"/>
      <c r="AI253" s="287"/>
      <c r="AJ253" s="287"/>
      <c r="AK253" s="287"/>
      <c r="AL253" s="287"/>
      <c r="AM253" s="287"/>
      <c r="AN253" s="287"/>
      <c r="AO253" s="287"/>
      <c r="AP253" s="287"/>
      <c r="AQ253" s="287"/>
      <c r="AR253" s="287"/>
      <c r="AS253" s="287"/>
      <c r="AT253" s="287"/>
      <c r="AU253" s="287"/>
      <c r="AV253" s="287"/>
      <c r="AW253" s="287"/>
      <c r="AX253" s="287"/>
      <c r="AY253" s="287"/>
      <c r="AZ253" s="287"/>
      <c r="BA253" s="287"/>
      <c r="BB253" s="287"/>
      <c r="BC253" s="287"/>
    </row>
    <row r="254" ht="15.75" customHeight="1">
      <c r="A254" s="287"/>
      <c r="B254" s="287"/>
      <c r="C254" s="287"/>
      <c r="D254" s="287"/>
      <c r="E254" s="287"/>
      <c r="F254" s="287"/>
      <c r="G254" s="287"/>
      <c r="H254" s="287"/>
      <c r="I254" s="287"/>
      <c r="J254" s="287"/>
      <c r="K254" s="287"/>
      <c r="L254" s="287"/>
      <c r="M254" s="287"/>
      <c r="N254" s="287"/>
      <c r="O254" s="287"/>
      <c r="P254" s="287"/>
      <c r="Q254" s="287"/>
      <c r="R254" s="287"/>
      <c r="S254" s="287"/>
      <c r="T254" s="287"/>
      <c r="U254" s="287"/>
      <c r="V254" s="287"/>
      <c r="W254" s="287"/>
      <c r="X254" s="287"/>
      <c r="Y254" s="287"/>
      <c r="Z254" s="287"/>
      <c r="AA254" s="287"/>
      <c r="AB254" s="287"/>
      <c r="AC254" s="287"/>
      <c r="AD254" s="287"/>
      <c r="AE254" s="287"/>
      <c r="AF254" s="287"/>
      <c r="AG254" s="287"/>
      <c r="AH254" s="287"/>
      <c r="AI254" s="287"/>
      <c r="AJ254" s="287"/>
      <c r="AK254" s="287"/>
      <c r="AL254" s="287"/>
      <c r="AM254" s="287"/>
      <c r="AN254" s="287"/>
      <c r="AO254" s="287"/>
      <c r="AP254" s="287"/>
      <c r="AQ254" s="287"/>
      <c r="AR254" s="287"/>
      <c r="AS254" s="287"/>
      <c r="AT254" s="287"/>
      <c r="AU254" s="287"/>
      <c r="AV254" s="287"/>
      <c r="AW254" s="287"/>
      <c r="AX254" s="287"/>
      <c r="AY254" s="287"/>
      <c r="AZ254" s="287"/>
      <c r="BA254" s="287"/>
      <c r="BB254" s="287"/>
      <c r="BC254" s="287"/>
    </row>
    <row r="255" ht="15.75" customHeight="1">
      <c r="A255" s="287"/>
      <c r="B255" s="287"/>
      <c r="C255" s="287"/>
      <c r="D255" s="287"/>
      <c r="E255" s="287"/>
      <c r="F255" s="287"/>
      <c r="G255" s="287"/>
      <c r="H255" s="287"/>
      <c r="I255" s="287"/>
      <c r="J255" s="287"/>
      <c r="K255" s="287"/>
      <c r="L255" s="287"/>
      <c r="M255" s="287"/>
      <c r="N255" s="287"/>
      <c r="O255" s="287"/>
      <c r="P255" s="287"/>
      <c r="Q255" s="287"/>
      <c r="R255" s="287"/>
      <c r="S255" s="287"/>
      <c r="T255" s="287"/>
      <c r="U255" s="287"/>
      <c r="V255" s="287"/>
      <c r="W255" s="287"/>
      <c r="X255" s="287"/>
      <c r="Y255" s="287"/>
      <c r="Z255" s="287"/>
      <c r="AA255" s="287"/>
      <c r="AB255" s="287"/>
      <c r="AC255" s="287"/>
      <c r="AD255" s="287"/>
      <c r="AE255" s="287"/>
      <c r="AF255" s="287"/>
      <c r="AG255" s="287"/>
      <c r="AH255" s="287"/>
      <c r="AI255" s="287"/>
      <c r="AJ255" s="287"/>
      <c r="AK255" s="287"/>
      <c r="AL255" s="287"/>
      <c r="AM255" s="287"/>
      <c r="AN255" s="287"/>
      <c r="AO255" s="287"/>
      <c r="AP255" s="287"/>
      <c r="AQ255" s="287"/>
      <c r="AR255" s="287"/>
      <c r="AS255" s="287"/>
      <c r="AT255" s="287"/>
      <c r="AU255" s="287"/>
      <c r="AV255" s="287"/>
      <c r="AW255" s="287"/>
      <c r="AX255" s="287"/>
      <c r="AY255" s="287"/>
      <c r="AZ255" s="287"/>
      <c r="BA255" s="287"/>
      <c r="BB255" s="287"/>
      <c r="BC255" s="287"/>
    </row>
    <row r="256" ht="15.75" customHeight="1">
      <c r="A256" s="287"/>
      <c r="B256" s="287"/>
      <c r="C256" s="287"/>
      <c r="D256" s="287"/>
      <c r="E256" s="287"/>
      <c r="F256" s="287"/>
      <c r="G256" s="287"/>
      <c r="H256" s="287"/>
      <c r="I256" s="287"/>
      <c r="J256" s="287"/>
      <c r="K256" s="287"/>
      <c r="L256" s="287"/>
      <c r="M256" s="287"/>
      <c r="N256" s="287"/>
      <c r="O256" s="287"/>
      <c r="P256" s="287"/>
      <c r="Q256" s="287"/>
      <c r="R256" s="287"/>
      <c r="S256" s="287"/>
      <c r="T256" s="287"/>
      <c r="U256" s="287"/>
      <c r="V256" s="287"/>
      <c r="W256" s="287"/>
      <c r="X256" s="287"/>
      <c r="Y256" s="287"/>
      <c r="Z256" s="287"/>
      <c r="AA256" s="287"/>
      <c r="AB256" s="287"/>
      <c r="AC256" s="287"/>
      <c r="AD256" s="287"/>
      <c r="AE256" s="287"/>
      <c r="AF256" s="287"/>
      <c r="AG256" s="287"/>
      <c r="AH256" s="287"/>
      <c r="AI256" s="287"/>
      <c r="AJ256" s="287"/>
      <c r="AK256" s="287"/>
      <c r="AL256" s="287"/>
      <c r="AM256" s="287"/>
      <c r="AN256" s="287"/>
      <c r="AO256" s="287"/>
      <c r="AP256" s="287"/>
      <c r="AQ256" s="287"/>
      <c r="AR256" s="287"/>
      <c r="AS256" s="287"/>
      <c r="AT256" s="287"/>
      <c r="AU256" s="287"/>
      <c r="AV256" s="287"/>
      <c r="AW256" s="287"/>
      <c r="AX256" s="287"/>
      <c r="AY256" s="287"/>
      <c r="AZ256" s="287"/>
      <c r="BA256" s="287"/>
      <c r="BB256" s="287"/>
      <c r="BC256" s="287"/>
    </row>
    <row r="257" ht="15.75" customHeight="1">
      <c r="A257" s="287"/>
      <c r="B257" s="287"/>
      <c r="C257" s="287"/>
      <c r="D257" s="287"/>
      <c r="E257" s="287"/>
      <c r="F257" s="287"/>
      <c r="G257" s="287"/>
      <c r="H257" s="287"/>
      <c r="I257" s="287"/>
      <c r="J257" s="287"/>
      <c r="K257" s="287"/>
      <c r="L257" s="287"/>
      <c r="M257" s="287"/>
      <c r="N257" s="287"/>
      <c r="O257" s="287"/>
      <c r="P257" s="287"/>
      <c r="Q257" s="287"/>
      <c r="R257" s="287"/>
      <c r="S257" s="287"/>
      <c r="T257" s="287"/>
      <c r="U257" s="287"/>
      <c r="V257" s="287"/>
      <c r="W257" s="287"/>
      <c r="X257" s="287"/>
      <c r="Y257" s="287"/>
      <c r="Z257" s="287"/>
      <c r="AA257" s="287"/>
      <c r="AB257" s="287"/>
      <c r="AC257" s="287"/>
      <c r="AD257" s="287"/>
      <c r="AE257" s="287"/>
      <c r="AF257" s="287"/>
      <c r="AG257" s="287"/>
      <c r="AH257" s="287"/>
      <c r="AI257" s="287"/>
      <c r="AJ257" s="287"/>
      <c r="AK257" s="287"/>
      <c r="AL257" s="287"/>
      <c r="AM257" s="287"/>
      <c r="AN257" s="287"/>
      <c r="AO257" s="287"/>
      <c r="AP257" s="287"/>
      <c r="AQ257" s="287"/>
      <c r="AR257" s="287"/>
      <c r="AS257" s="287"/>
      <c r="AT257" s="287"/>
      <c r="AU257" s="287"/>
      <c r="AV257" s="287"/>
      <c r="AW257" s="287"/>
      <c r="AX257" s="287"/>
      <c r="AY257" s="287"/>
      <c r="AZ257" s="287"/>
      <c r="BA257" s="287"/>
      <c r="BB257" s="287"/>
      <c r="BC257" s="287"/>
    </row>
    <row r="258" ht="15.75" customHeight="1">
      <c r="A258" s="287"/>
      <c r="B258" s="287"/>
      <c r="C258" s="287"/>
      <c r="D258" s="287"/>
      <c r="E258" s="287"/>
      <c r="F258" s="287"/>
      <c r="G258" s="287"/>
      <c r="H258" s="287"/>
      <c r="I258" s="287"/>
      <c r="J258" s="287"/>
      <c r="K258" s="287"/>
      <c r="L258" s="287"/>
      <c r="M258" s="287"/>
      <c r="N258" s="287"/>
      <c r="O258" s="287"/>
      <c r="P258" s="287"/>
      <c r="Q258" s="287"/>
      <c r="R258" s="287"/>
      <c r="S258" s="287"/>
      <c r="T258" s="287"/>
      <c r="U258" s="287"/>
      <c r="V258" s="287"/>
      <c r="W258" s="287"/>
      <c r="X258" s="287"/>
      <c r="Y258" s="287"/>
      <c r="Z258" s="287"/>
      <c r="AA258" s="287"/>
      <c r="AB258" s="287"/>
      <c r="AC258" s="287"/>
      <c r="AD258" s="287"/>
      <c r="AE258" s="287"/>
      <c r="AF258" s="287"/>
      <c r="AG258" s="287"/>
      <c r="AH258" s="287"/>
      <c r="AI258" s="287"/>
      <c r="AJ258" s="287"/>
      <c r="AK258" s="287"/>
      <c r="AL258" s="287"/>
      <c r="AM258" s="287"/>
      <c r="AN258" s="287"/>
      <c r="AO258" s="287"/>
      <c r="AP258" s="287"/>
      <c r="AQ258" s="287"/>
      <c r="AR258" s="287"/>
      <c r="AS258" s="287"/>
      <c r="AT258" s="287"/>
      <c r="AU258" s="287"/>
      <c r="AV258" s="287"/>
      <c r="AW258" s="287"/>
      <c r="AX258" s="287"/>
      <c r="AY258" s="287"/>
      <c r="AZ258" s="287"/>
      <c r="BA258" s="287"/>
      <c r="BB258" s="287"/>
      <c r="BC258" s="287"/>
    </row>
    <row r="259" ht="15.75" customHeight="1">
      <c r="A259" s="287"/>
      <c r="B259" s="287"/>
      <c r="C259" s="287"/>
      <c r="D259" s="287"/>
      <c r="E259" s="287"/>
      <c r="F259" s="287"/>
      <c r="G259" s="287"/>
      <c r="H259" s="287"/>
      <c r="I259" s="287"/>
      <c r="J259" s="287"/>
      <c r="K259" s="287"/>
      <c r="L259" s="287"/>
      <c r="M259" s="287"/>
      <c r="N259" s="287"/>
      <c r="O259" s="287"/>
      <c r="P259" s="287"/>
      <c r="Q259" s="287"/>
      <c r="R259" s="287"/>
      <c r="S259" s="287"/>
      <c r="T259" s="287"/>
      <c r="U259" s="287"/>
      <c r="V259" s="287"/>
      <c r="W259" s="287"/>
      <c r="X259" s="287"/>
      <c r="Y259" s="287"/>
      <c r="Z259" s="287"/>
      <c r="AA259" s="287"/>
      <c r="AB259" s="287"/>
      <c r="AC259" s="287"/>
      <c r="AD259" s="287"/>
      <c r="AE259" s="287"/>
      <c r="AF259" s="287"/>
      <c r="AG259" s="287"/>
      <c r="AH259" s="287"/>
      <c r="AI259" s="287"/>
      <c r="AJ259" s="287"/>
      <c r="AK259" s="287"/>
      <c r="AL259" s="287"/>
      <c r="AM259" s="287"/>
      <c r="AN259" s="287"/>
      <c r="AO259" s="287"/>
      <c r="AP259" s="287"/>
      <c r="AQ259" s="287"/>
      <c r="AR259" s="287"/>
      <c r="AS259" s="287"/>
      <c r="AT259" s="287"/>
      <c r="AU259" s="287"/>
      <c r="AV259" s="287"/>
      <c r="AW259" s="287"/>
      <c r="AX259" s="287"/>
      <c r="AY259" s="287"/>
      <c r="AZ259" s="287"/>
      <c r="BA259" s="287"/>
      <c r="BB259" s="287"/>
      <c r="BC259" s="287"/>
    </row>
    <row r="260" ht="15.75" customHeight="1">
      <c r="A260" s="287"/>
      <c r="B260" s="287"/>
      <c r="C260" s="287"/>
      <c r="D260" s="287"/>
      <c r="E260" s="287"/>
      <c r="F260" s="287"/>
      <c r="G260" s="287"/>
      <c r="H260" s="287"/>
      <c r="I260" s="287"/>
      <c r="J260" s="287"/>
      <c r="K260" s="287"/>
      <c r="L260" s="287"/>
      <c r="M260" s="287"/>
      <c r="N260" s="287"/>
      <c r="O260" s="287"/>
      <c r="P260" s="287"/>
      <c r="Q260" s="287"/>
      <c r="R260" s="287"/>
      <c r="S260" s="287"/>
      <c r="T260" s="287"/>
      <c r="U260" s="287"/>
      <c r="V260" s="287"/>
      <c r="W260" s="287"/>
      <c r="X260" s="287"/>
      <c r="Y260" s="287"/>
      <c r="Z260" s="287"/>
      <c r="AA260" s="287"/>
      <c r="AB260" s="287"/>
      <c r="AC260" s="287"/>
      <c r="AD260" s="287"/>
      <c r="AE260" s="287"/>
      <c r="AF260" s="287"/>
      <c r="AG260" s="287"/>
      <c r="AH260" s="287"/>
      <c r="AI260" s="287"/>
      <c r="AJ260" s="287"/>
      <c r="AK260" s="287"/>
      <c r="AL260" s="287"/>
      <c r="AM260" s="287"/>
      <c r="AN260" s="287"/>
      <c r="AO260" s="287"/>
      <c r="AP260" s="287"/>
      <c r="AQ260" s="287"/>
      <c r="AR260" s="287"/>
      <c r="AS260" s="287"/>
      <c r="AT260" s="287"/>
      <c r="AU260" s="287"/>
      <c r="AV260" s="287"/>
      <c r="AW260" s="287"/>
      <c r="AX260" s="287"/>
      <c r="AY260" s="287"/>
      <c r="AZ260" s="287"/>
      <c r="BA260" s="287"/>
      <c r="BB260" s="287"/>
      <c r="BC260" s="287"/>
    </row>
    <row r="261" ht="15.75" customHeight="1">
      <c r="A261" s="287"/>
      <c r="B261" s="287"/>
      <c r="C261" s="287"/>
      <c r="D261" s="287"/>
      <c r="E261" s="287"/>
      <c r="F261" s="287"/>
      <c r="G261" s="287"/>
      <c r="H261" s="287"/>
      <c r="I261" s="287"/>
      <c r="J261" s="287"/>
      <c r="K261" s="287"/>
      <c r="L261" s="287"/>
      <c r="M261" s="287"/>
      <c r="N261" s="287"/>
      <c r="O261" s="287"/>
      <c r="P261" s="287"/>
      <c r="Q261" s="287"/>
      <c r="R261" s="287"/>
      <c r="S261" s="287"/>
      <c r="T261" s="287"/>
      <c r="U261" s="287"/>
      <c r="V261" s="287"/>
      <c r="W261" s="287"/>
      <c r="X261" s="287"/>
      <c r="Y261" s="287"/>
      <c r="Z261" s="287"/>
      <c r="AA261" s="287"/>
      <c r="AB261" s="287"/>
      <c r="AC261" s="287"/>
      <c r="AD261" s="287"/>
      <c r="AE261" s="287"/>
      <c r="AF261" s="287"/>
      <c r="AG261" s="287"/>
      <c r="AH261" s="287"/>
      <c r="AI261" s="287"/>
      <c r="AJ261" s="287"/>
      <c r="AK261" s="287"/>
      <c r="AL261" s="287"/>
      <c r="AM261" s="287"/>
      <c r="AN261" s="287"/>
      <c r="AO261" s="287"/>
      <c r="AP261" s="287"/>
      <c r="AQ261" s="287"/>
      <c r="AR261" s="287"/>
      <c r="AS261" s="287"/>
      <c r="AT261" s="287"/>
      <c r="AU261" s="287"/>
      <c r="AV261" s="287"/>
      <c r="AW261" s="287"/>
      <c r="AX261" s="287"/>
      <c r="AY261" s="287"/>
      <c r="AZ261" s="287"/>
      <c r="BA261" s="287"/>
      <c r="BB261" s="287"/>
      <c r="BC261" s="287"/>
    </row>
    <row r="262" ht="15.75" customHeight="1">
      <c r="A262" s="287"/>
      <c r="B262" s="287"/>
      <c r="C262" s="287"/>
      <c r="D262" s="287"/>
      <c r="E262" s="287"/>
      <c r="F262" s="287"/>
      <c r="G262" s="287"/>
      <c r="H262" s="287"/>
      <c r="I262" s="287"/>
      <c r="J262" s="287"/>
      <c r="K262" s="287"/>
      <c r="L262" s="287"/>
      <c r="M262" s="287"/>
      <c r="N262" s="287"/>
      <c r="O262" s="287"/>
      <c r="P262" s="287"/>
      <c r="Q262" s="287"/>
      <c r="R262" s="287"/>
      <c r="S262" s="287"/>
      <c r="T262" s="287"/>
      <c r="U262" s="287"/>
      <c r="V262" s="287"/>
      <c r="W262" s="287"/>
      <c r="X262" s="287"/>
      <c r="Y262" s="287"/>
      <c r="Z262" s="287"/>
      <c r="AA262" s="287"/>
      <c r="AB262" s="287"/>
      <c r="AC262" s="287"/>
      <c r="AD262" s="287"/>
      <c r="AE262" s="287"/>
      <c r="AF262" s="287"/>
      <c r="AG262" s="287"/>
      <c r="AH262" s="287"/>
      <c r="AI262" s="287"/>
      <c r="AJ262" s="287"/>
      <c r="AK262" s="287"/>
      <c r="AL262" s="287"/>
      <c r="AM262" s="287"/>
      <c r="AN262" s="287"/>
      <c r="AO262" s="287"/>
      <c r="AP262" s="287"/>
      <c r="AQ262" s="287"/>
      <c r="AR262" s="287"/>
      <c r="AS262" s="287"/>
      <c r="AT262" s="287"/>
      <c r="AU262" s="287"/>
      <c r="AV262" s="287"/>
      <c r="AW262" s="287"/>
      <c r="AX262" s="287"/>
      <c r="AY262" s="287"/>
      <c r="AZ262" s="287"/>
      <c r="BA262" s="287"/>
      <c r="BB262" s="287"/>
      <c r="BC262" s="287"/>
    </row>
    <row r="263" ht="15.75" customHeight="1">
      <c r="A263" s="287"/>
      <c r="B263" s="287"/>
      <c r="C263" s="287"/>
      <c r="D263" s="287"/>
      <c r="E263" s="287"/>
      <c r="F263" s="287"/>
      <c r="G263" s="287"/>
      <c r="H263" s="287"/>
      <c r="I263" s="287"/>
      <c r="J263" s="287"/>
      <c r="K263" s="287"/>
      <c r="L263" s="287"/>
      <c r="M263" s="287"/>
      <c r="N263" s="287"/>
      <c r="O263" s="287"/>
      <c r="P263" s="287"/>
      <c r="Q263" s="287"/>
      <c r="R263" s="287"/>
      <c r="S263" s="287"/>
      <c r="T263" s="287"/>
      <c r="U263" s="287"/>
      <c r="V263" s="287"/>
      <c r="W263" s="287"/>
      <c r="X263" s="287"/>
      <c r="Y263" s="287"/>
      <c r="Z263" s="287"/>
      <c r="AA263" s="287"/>
      <c r="AB263" s="287"/>
      <c r="AC263" s="287"/>
      <c r="AD263" s="287"/>
      <c r="AE263" s="287"/>
      <c r="AF263" s="287"/>
      <c r="AG263" s="287"/>
      <c r="AH263" s="287"/>
      <c r="AI263" s="287"/>
      <c r="AJ263" s="287"/>
      <c r="AK263" s="287"/>
      <c r="AL263" s="287"/>
      <c r="AM263" s="287"/>
      <c r="AN263" s="287"/>
      <c r="AO263" s="287"/>
      <c r="AP263" s="287"/>
      <c r="AQ263" s="287"/>
      <c r="AR263" s="287"/>
      <c r="AS263" s="287"/>
      <c r="AT263" s="287"/>
      <c r="AU263" s="287"/>
      <c r="AV263" s="287"/>
      <c r="AW263" s="287"/>
      <c r="AX263" s="287"/>
      <c r="AY263" s="287"/>
      <c r="AZ263" s="287"/>
      <c r="BA263" s="287"/>
      <c r="BB263" s="287"/>
      <c r="BC263" s="287"/>
    </row>
    <row r="264" ht="15.75" customHeight="1">
      <c r="A264" s="287"/>
      <c r="B264" s="287"/>
      <c r="C264" s="287"/>
      <c r="D264" s="287"/>
      <c r="E264" s="287"/>
      <c r="F264" s="287"/>
      <c r="G264" s="287"/>
      <c r="H264" s="287"/>
      <c r="I264" s="287"/>
      <c r="J264" s="287"/>
      <c r="K264" s="287"/>
      <c r="L264" s="287"/>
      <c r="M264" s="287"/>
      <c r="N264" s="287"/>
      <c r="O264" s="287"/>
      <c r="P264" s="287"/>
      <c r="Q264" s="287"/>
      <c r="R264" s="287"/>
      <c r="S264" s="287"/>
      <c r="T264" s="287"/>
      <c r="U264" s="287"/>
      <c r="V264" s="287"/>
      <c r="W264" s="287"/>
      <c r="X264" s="287"/>
      <c r="Y264" s="287"/>
      <c r="Z264" s="287"/>
      <c r="AA264" s="287"/>
      <c r="AB264" s="287"/>
      <c r="AC264" s="287"/>
      <c r="AD264" s="287"/>
      <c r="AE264" s="287"/>
      <c r="AF264" s="287"/>
      <c r="AG264" s="287"/>
      <c r="AH264" s="287"/>
      <c r="AI264" s="287"/>
      <c r="AJ264" s="287"/>
      <c r="AK264" s="287"/>
      <c r="AL264" s="287"/>
      <c r="AM264" s="287"/>
      <c r="AN264" s="287"/>
      <c r="AO264" s="287"/>
      <c r="AP264" s="287"/>
      <c r="AQ264" s="287"/>
      <c r="AR264" s="287"/>
      <c r="AS264" s="287"/>
      <c r="AT264" s="287"/>
      <c r="AU264" s="287"/>
      <c r="AV264" s="287"/>
      <c r="AW264" s="287"/>
      <c r="AX264" s="287"/>
      <c r="AY264" s="287"/>
      <c r="AZ264" s="287"/>
      <c r="BA264" s="287"/>
      <c r="BB264" s="287"/>
      <c r="BC264" s="287"/>
    </row>
    <row r="265" ht="15.75" customHeight="1">
      <c r="A265" s="287"/>
      <c r="B265" s="287"/>
      <c r="C265" s="287"/>
      <c r="D265" s="287"/>
      <c r="E265" s="287"/>
      <c r="F265" s="287"/>
      <c r="G265" s="287"/>
      <c r="H265" s="287"/>
      <c r="I265" s="287"/>
      <c r="J265" s="287"/>
      <c r="K265" s="287"/>
      <c r="L265" s="287"/>
      <c r="M265" s="287"/>
      <c r="N265" s="287"/>
      <c r="O265" s="287"/>
      <c r="P265" s="287"/>
      <c r="Q265" s="287"/>
      <c r="R265" s="287"/>
      <c r="S265" s="287"/>
      <c r="T265" s="287"/>
      <c r="U265" s="287"/>
      <c r="V265" s="287"/>
      <c r="W265" s="287"/>
      <c r="X265" s="287"/>
      <c r="Y265" s="287"/>
      <c r="Z265" s="287"/>
      <c r="AA265" s="287"/>
      <c r="AB265" s="287"/>
      <c r="AC265" s="287"/>
      <c r="AD265" s="287"/>
      <c r="AE265" s="287"/>
      <c r="AF265" s="287"/>
      <c r="AG265" s="287"/>
      <c r="AH265" s="287"/>
      <c r="AI265" s="287"/>
      <c r="AJ265" s="287"/>
      <c r="AK265" s="287"/>
      <c r="AL265" s="287"/>
      <c r="AM265" s="287"/>
      <c r="AN265" s="287"/>
      <c r="AO265" s="287"/>
      <c r="AP265" s="287"/>
      <c r="AQ265" s="287"/>
      <c r="AR265" s="287"/>
      <c r="AS265" s="287"/>
      <c r="AT265" s="287"/>
      <c r="AU265" s="287"/>
      <c r="AV265" s="287"/>
      <c r="AW265" s="287"/>
      <c r="AX265" s="287"/>
      <c r="AY265" s="287"/>
      <c r="AZ265" s="287"/>
      <c r="BA265" s="287"/>
      <c r="BB265" s="287"/>
      <c r="BC265" s="287"/>
    </row>
    <row r="266" ht="15.75" customHeight="1">
      <c r="A266" s="287"/>
      <c r="B266" s="287"/>
      <c r="C266" s="287"/>
      <c r="D266" s="287"/>
      <c r="E266" s="287"/>
      <c r="F266" s="287"/>
      <c r="G266" s="287"/>
      <c r="H266" s="287"/>
      <c r="I266" s="287"/>
      <c r="J266" s="287"/>
      <c r="K266" s="287"/>
      <c r="L266" s="287"/>
      <c r="M266" s="287"/>
      <c r="N266" s="287"/>
      <c r="O266" s="287"/>
      <c r="P266" s="287"/>
      <c r="Q266" s="287"/>
      <c r="R266" s="287"/>
      <c r="S266" s="287"/>
      <c r="T266" s="287"/>
      <c r="U266" s="287"/>
      <c r="V266" s="287"/>
      <c r="W266" s="287"/>
      <c r="X266" s="287"/>
      <c r="Y266" s="287"/>
      <c r="Z266" s="287"/>
      <c r="AA266" s="287"/>
      <c r="AB266" s="287"/>
      <c r="AC266" s="287"/>
      <c r="AD266" s="287"/>
      <c r="AE266" s="287"/>
      <c r="AF266" s="287"/>
      <c r="AG266" s="287"/>
      <c r="AH266" s="287"/>
      <c r="AI266" s="287"/>
      <c r="AJ266" s="287"/>
      <c r="AK266" s="287"/>
      <c r="AL266" s="287"/>
      <c r="AM266" s="287"/>
      <c r="AN266" s="287"/>
      <c r="AO266" s="287"/>
      <c r="AP266" s="287"/>
      <c r="AQ266" s="287"/>
      <c r="AR266" s="287"/>
      <c r="AS266" s="287"/>
      <c r="AT266" s="287"/>
      <c r="AU266" s="287"/>
      <c r="AV266" s="287"/>
      <c r="AW266" s="287"/>
      <c r="AX266" s="287"/>
      <c r="AY266" s="287"/>
      <c r="AZ266" s="287"/>
      <c r="BA266" s="287"/>
      <c r="BB266" s="287"/>
      <c r="BC266" s="287"/>
    </row>
    <row r="267" ht="15.75" customHeight="1">
      <c r="A267" s="287"/>
      <c r="B267" s="287"/>
      <c r="C267" s="287"/>
      <c r="D267" s="287"/>
      <c r="E267" s="287"/>
      <c r="F267" s="287"/>
      <c r="G267" s="287"/>
      <c r="H267" s="287"/>
      <c r="I267" s="287"/>
      <c r="J267" s="287"/>
      <c r="K267" s="287"/>
      <c r="L267" s="287"/>
      <c r="M267" s="287"/>
      <c r="N267" s="287"/>
      <c r="O267" s="287"/>
      <c r="P267" s="287"/>
      <c r="Q267" s="287"/>
      <c r="R267" s="287"/>
      <c r="S267" s="287"/>
      <c r="T267" s="287"/>
      <c r="U267" s="287"/>
      <c r="V267" s="287"/>
      <c r="W267" s="287"/>
      <c r="X267" s="287"/>
      <c r="Y267" s="287"/>
      <c r="Z267" s="287"/>
      <c r="AA267" s="287"/>
      <c r="AB267" s="287"/>
      <c r="AC267" s="287"/>
      <c r="AD267" s="287"/>
      <c r="AE267" s="287"/>
      <c r="AF267" s="287"/>
      <c r="AG267" s="287"/>
      <c r="AH267" s="287"/>
      <c r="AI267" s="287"/>
      <c r="AJ267" s="287"/>
      <c r="AK267" s="287"/>
      <c r="AL267" s="287"/>
      <c r="AM267" s="287"/>
      <c r="AN267" s="287"/>
      <c r="AO267" s="287"/>
      <c r="AP267" s="287"/>
      <c r="AQ267" s="287"/>
      <c r="AR267" s="287"/>
      <c r="AS267" s="287"/>
      <c r="AT267" s="287"/>
      <c r="AU267" s="287"/>
      <c r="AV267" s="287"/>
      <c r="AW267" s="287"/>
      <c r="AX267" s="287"/>
      <c r="AY267" s="287"/>
      <c r="AZ267" s="287"/>
      <c r="BA267" s="287"/>
      <c r="BB267" s="287"/>
      <c r="BC267" s="287"/>
    </row>
    <row r="268" ht="15.75" customHeight="1">
      <c r="A268" s="287"/>
      <c r="B268" s="287"/>
      <c r="C268" s="287"/>
      <c r="D268" s="287"/>
      <c r="E268" s="287"/>
      <c r="F268" s="287"/>
      <c r="G268" s="287"/>
      <c r="H268" s="287"/>
      <c r="I268" s="287"/>
      <c r="J268" s="287"/>
      <c r="K268" s="287"/>
      <c r="L268" s="287"/>
      <c r="M268" s="287"/>
      <c r="N268" s="287"/>
      <c r="O268" s="287"/>
      <c r="P268" s="287"/>
      <c r="Q268" s="287"/>
      <c r="R268" s="287"/>
      <c r="S268" s="287"/>
      <c r="T268" s="287"/>
      <c r="U268" s="287"/>
      <c r="V268" s="287"/>
      <c r="W268" s="287"/>
      <c r="X268" s="287"/>
      <c r="Y268" s="287"/>
      <c r="Z268" s="287"/>
      <c r="AA268" s="287"/>
      <c r="AB268" s="287"/>
      <c r="AC268" s="287"/>
      <c r="AD268" s="287"/>
      <c r="AE268" s="287"/>
      <c r="AF268" s="287"/>
      <c r="AG268" s="287"/>
      <c r="AH268" s="287"/>
      <c r="AI268" s="287"/>
      <c r="AJ268" s="287"/>
      <c r="AK268" s="287"/>
      <c r="AL268" s="287"/>
      <c r="AM268" s="287"/>
      <c r="AN268" s="287"/>
      <c r="AO268" s="287"/>
      <c r="AP268" s="287"/>
      <c r="AQ268" s="287"/>
      <c r="AR268" s="287"/>
      <c r="AS268" s="287"/>
      <c r="AT268" s="287"/>
      <c r="AU268" s="287"/>
      <c r="AV268" s="287"/>
      <c r="AW268" s="287"/>
      <c r="AX268" s="287"/>
      <c r="AY268" s="287"/>
      <c r="AZ268" s="287"/>
      <c r="BA268" s="287"/>
      <c r="BB268" s="287"/>
      <c r="BC268" s="287"/>
    </row>
    <row r="269" ht="15.75" customHeight="1">
      <c r="A269" s="287"/>
      <c r="B269" s="287"/>
      <c r="C269" s="287"/>
      <c r="D269" s="287"/>
      <c r="E269" s="287"/>
      <c r="F269" s="287"/>
      <c r="G269" s="287"/>
      <c r="H269" s="287"/>
      <c r="I269" s="287"/>
      <c r="J269" s="287"/>
      <c r="K269" s="287"/>
      <c r="L269" s="287"/>
      <c r="M269" s="287"/>
      <c r="N269" s="287"/>
      <c r="O269" s="287"/>
      <c r="P269" s="287"/>
      <c r="Q269" s="287"/>
      <c r="R269" s="287"/>
      <c r="S269" s="287"/>
      <c r="T269" s="287"/>
      <c r="U269" s="287"/>
      <c r="V269" s="287"/>
      <c r="W269" s="287"/>
      <c r="X269" s="287"/>
      <c r="Y269" s="287"/>
      <c r="Z269" s="287"/>
      <c r="AA269" s="287"/>
      <c r="AB269" s="287"/>
      <c r="AC269" s="287"/>
      <c r="AD269" s="287"/>
      <c r="AE269" s="287"/>
      <c r="AF269" s="287"/>
      <c r="AG269" s="287"/>
      <c r="AH269" s="287"/>
      <c r="AI269" s="287"/>
      <c r="AJ269" s="287"/>
      <c r="AK269" s="287"/>
      <c r="AL269" s="287"/>
      <c r="AM269" s="287"/>
      <c r="AN269" s="287"/>
      <c r="AO269" s="287"/>
      <c r="AP269" s="287"/>
      <c r="AQ269" s="287"/>
      <c r="AR269" s="287"/>
      <c r="AS269" s="287"/>
      <c r="AT269" s="287"/>
      <c r="AU269" s="287"/>
      <c r="AV269" s="287"/>
      <c r="AW269" s="287"/>
      <c r="AX269" s="287"/>
      <c r="AY269" s="287"/>
      <c r="AZ269" s="287"/>
      <c r="BA269" s="287"/>
      <c r="BB269" s="287"/>
      <c r="BC269" s="287"/>
    </row>
    <row r="270" ht="15.75" customHeight="1">
      <c r="A270" s="287"/>
      <c r="B270" s="287"/>
      <c r="C270" s="287"/>
      <c r="D270" s="287"/>
      <c r="E270" s="287"/>
      <c r="F270" s="287"/>
      <c r="G270" s="287"/>
      <c r="H270" s="287"/>
      <c r="I270" s="287"/>
      <c r="J270" s="287"/>
      <c r="K270" s="287"/>
      <c r="L270" s="287"/>
      <c r="M270" s="287"/>
      <c r="N270" s="287"/>
      <c r="O270" s="287"/>
      <c r="P270" s="287"/>
      <c r="Q270" s="287"/>
      <c r="R270" s="287"/>
      <c r="S270" s="287"/>
      <c r="T270" s="287"/>
      <c r="U270" s="287"/>
      <c r="V270" s="287"/>
      <c r="W270" s="287"/>
      <c r="X270" s="287"/>
      <c r="Y270" s="287"/>
      <c r="Z270" s="287"/>
      <c r="AA270" s="287"/>
      <c r="AB270" s="287"/>
      <c r="AC270" s="287"/>
      <c r="AD270" s="287"/>
      <c r="AE270" s="287"/>
      <c r="AF270" s="287"/>
      <c r="AG270" s="287"/>
      <c r="AH270" s="287"/>
      <c r="AI270" s="287"/>
      <c r="AJ270" s="287"/>
      <c r="AK270" s="287"/>
      <c r="AL270" s="287"/>
      <c r="AM270" s="287"/>
      <c r="AN270" s="287"/>
      <c r="AO270" s="287"/>
      <c r="AP270" s="287"/>
      <c r="AQ270" s="287"/>
      <c r="AR270" s="287"/>
      <c r="AS270" s="287"/>
      <c r="AT270" s="287"/>
      <c r="AU270" s="287"/>
      <c r="AV270" s="287"/>
      <c r="AW270" s="287"/>
      <c r="AX270" s="287"/>
      <c r="AY270" s="287"/>
      <c r="AZ270" s="287"/>
      <c r="BA270" s="287"/>
      <c r="BB270" s="287"/>
      <c r="BC270" s="287"/>
    </row>
    <row r="271" ht="15.75" customHeight="1">
      <c r="A271" s="287"/>
      <c r="B271" s="287"/>
      <c r="C271" s="287"/>
      <c r="D271" s="287"/>
      <c r="E271" s="287"/>
      <c r="F271" s="287"/>
      <c r="G271" s="287"/>
      <c r="H271" s="287"/>
      <c r="I271" s="287"/>
      <c r="J271" s="287"/>
      <c r="K271" s="287"/>
      <c r="L271" s="287"/>
      <c r="M271" s="287"/>
      <c r="N271" s="287"/>
      <c r="O271" s="287"/>
      <c r="P271" s="287"/>
      <c r="Q271" s="287"/>
      <c r="R271" s="287"/>
      <c r="S271" s="287"/>
      <c r="T271" s="287"/>
      <c r="U271" s="287"/>
      <c r="V271" s="287"/>
      <c r="W271" s="287"/>
      <c r="X271" s="287"/>
      <c r="Y271" s="287"/>
      <c r="Z271" s="287"/>
      <c r="AA271" s="287"/>
      <c r="AB271" s="287"/>
      <c r="AC271" s="287"/>
      <c r="AD271" s="287"/>
      <c r="AE271" s="287"/>
      <c r="AF271" s="287"/>
      <c r="AG271" s="287"/>
      <c r="AH271" s="287"/>
      <c r="AI271" s="287"/>
      <c r="AJ271" s="287"/>
      <c r="AK271" s="287"/>
      <c r="AL271" s="287"/>
      <c r="AM271" s="287"/>
      <c r="AN271" s="287"/>
      <c r="AO271" s="287"/>
      <c r="AP271" s="287"/>
      <c r="AQ271" s="287"/>
      <c r="AR271" s="287"/>
      <c r="AS271" s="287"/>
      <c r="AT271" s="287"/>
      <c r="AU271" s="287"/>
      <c r="AV271" s="287"/>
      <c r="AW271" s="287"/>
      <c r="AX271" s="287"/>
      <c r="AY271" s="287"/>
      <c r="AZ271" s="287"/>
      <c r="BA271" s="287"/>
      <c r="BB271" s="287"/>
      <c r="BC271" s="287"/>
    </row>
    <row r="272" ht="15.75" customHeight="1">
      <c r="A272" s="287"/>
      <c r="B272" s="287"/>
      <c r="C272" s="287"/>
      <c r="D272" s="287"/>
      <c r="E272" s="287"/>
      <c r="F272" s="287"/>
      <c r="G272" s="287"/>
      <c r="H272" s="287"/>
      <c r="I272" s="287"/>
      <c r="J272" s="287"/>
      <c r="K272" s="287"/>
      <c r="L272" s="287"/>
      <c r="M272" s="287"/>
      <c r="N272" s="287"/>
      <c r="O272" s="287"/>
      <c r="P272" s="287"/>
      <c r="Q272" s="287"/>
      <c r="R272" s="287"/>
      <c r="S272" s="287"/>
      <c r="T272" s="287"/>
      <c r="U272" s="287"/>
      <c r="V272" s="287"/>
      <c r="W272" s="287"/>
      <c r="X272" s="287"/>
      <c r="Y272" s="287"/>
      <c r="Z272" s="287"/>
      <c r="AA272" s="287"/>
      <c r="AB272" s="287"/>
      <c r="AC272" s="287"/>
      <c r="AD272" s="287"/>
      <c r="AE272" s="287"/>
      <c r="AF272" s="287"/>
      <c r="AG272" s="287"/>
      <c r="AH272" s="287"/>
      <c r="AI272" s="287"/>
      <c r="AJ272" s="287"/>
      <c r="AK272" s="287"/>
      <c r="AL272" s="287"/>
      <c r="AM272" s="287"/>
      <c r="AN272" s="287"/>
      <c r="AO272" s="287"/>
      <c r="AP272" s="287"/>
      <c r="AQ272" s="287"/>
      <c r="AR272" s="287"/>
      <c r="AS272" s="287"/>
      <c r="AT272" s="287"/>
      <c r="AU272" s="287"/>
      <c r="AV272" s="287"/>
      <c r="AW272" s="287"/>
      <c r="AX272" s="287"/>
      <c r="AY272" s="287"/>
      <c r="AZ272" s="287"/>
      <c r="BA272" s="287"/>
      <c r="BB272" s="287"/>
      <c r="BC272" s="287"/>
    </row>
    <row r="273" ht="15.75" customHeight="1">
      <c r="A273" s="287"/>
      <c r="B273" s="287"/>
      <c r="C273" s="287"/>
      <c r="D273" s="287"/>
      <c r="E273" s="287"/>
      <c r="F273" s="287"/>
      <c r="G273" s="287"/>
      <c r="H273" s="287"/>
      <c r="I273" s="287"/>
      <c r="J273" s="287"/>
      <c r="K273" s="287"/>
      <c r="L273" s="287"/>
      <c r="M273" s="287"/>
      <c r="N273" s="287"/>
      <c r="O273" s="287"/>
      <c r="P273" s="287"/>
      <c r="Q273" s="287"/>
      <c r="R273" s="287"/>
      <c r="S273" s="287"/>
      <c r="T273" s="287"/>
      <c r="U273" s="287"/>
      <c r="V273" s="287"/>
      <c r="W273" s="287"/>
      <c r="X273" s="287"/>
      <c r="Y273" s="287"/>
      <c r="Z273" s="287"/>
      <c r="AA273" s="287"/>
      <c r="AB273" s="287"/>
      <c r="AC273" s="287"/>
      <c r="AD273" s="287"/>
      <c r="AE273" s="287"/>
      <c r="AF273" s="287"/>
      <c r="AG273" s="287"/>
      <c r="AH273" s="287"/>
      <c r="AI273" s="287"/>
      <c r="AJ273" s="287"/>
      <c r="AK273" s="287"/>
      <c r="AL273" s="287"/>
      <c r="AM273" s="287"/>
      <c r="AN273" s="287"/>
      <c r="AO273" s="287"/>
      <c r="AP273" s="287"/>
      <c r="AQ273" s="287"/>
      <c r="AR273" s="287"/>
      <c r="AS273" s="287"/>
      <c r="AT273" s="287"/>
      <c r="AU273" s="287"/>
      <c r="AV273" s="287"/>
      <c r="AW273" s="287"/>
      <c r="AX273" s="287"/>
      <c r="AY273" s="287"/>
      <c r="AZ273" s="287"/>
      <c r="BA273" s="287"/>
      <c r="BB273" s="287"/>
      <c r="BC273" s="287"/>
    </row>
    <row r="274" ht="15.75" customHeight="1">
      <c r="A274" s="287"/>
      <c r="B274" s="287"/>
      <c r="C274" s="287"/>
      <c r="D274" s="287"/>
      <c r="E274" s="287"/>
      <c r="F274" s="287"/>
      <c r="G274" s="287"/>
      <c r="H274" s="287"/>
      <c r="I274" s="287"/>
      <c r="J274" s="287"/>
      <c r="K274" s="287"/>
      <c r="L274" s="287"/>
      <c r="M274" s="287"/>
      <c r="N274" s="287"/>
      <c r="O274" s="287"/>
      <c r="P274" s="287"/>
      <c r="Q274" s="287"/>
      <c r="R274" s="287"/>
      <c r="S274" s="287"/>
      <c r="T274" s="287"/>
      <c r="U274" s="287"/>
      <c r="V274" s="287"/>
      <c r="W274" s="287"/>
      <c r="X274" s="287"/>
      <c r="Y274" s="287"/>
      <c r="Z274" s="287"/>
      <c r="AA274" s="287"/>
      <c r="AB274" s="287"/>
      <c r="AC274" s="287"/>
      <c r="AD274" s="287"/>
      <c r="AE274" s="287"/>
      <c r="AF274" s="287"/>
      <c r="AG274" s="287"/>
      <c r="AH274" s="287"/>
      <c r="AI274" s="287"/>
      <c r="AJ274" s="287"/>
      <c r="AK274" s="287"/>
      <c r="AL274" s="287"/>
      <c r="AM274" s="287"/>
      <c r="AN274" s="287"/>
      <c r="AO274" s="287"/>
      <c r="AP274" s="287"/>
      <c r="AQ274" s="287"/>
      <c r="AR274" s="287"/>
      <c r="AS274" s="287"/>
      <c r="AT274" s="287"/>
      <c r="AU274" s="287"/>
      <c r="AV274" s="287"/>
      <c r="AW274" s="287"/>
      <c r="AX274" s="287"/>
      <c r="AY274" s="287"/>
      <c r="AZ274" s="287"/>
      <c r="BA274" s="287"/>
      <c r="BB274" s="287"/>
      <c r="BC274" s="287"/>
    </row>
    <row r="275" ht="15.75" customHeight="1">
      <c r="A275" s="287"/>
      <c r="B275" s="287"/>
      <c r="C275" s="287"/>
      <c r="D275" s="287"/>
      <c r="E275" s="287"/>
      <c r="F275" s="287"/>
      <c r="G275" s="287"/>
      <c r="H275" s="287"/>
      <c r="I275" s="287"/>
      <c r="J275" s="287"/>
      <c r="K275" s="287"/>
      <c r="L275" s="287"/>
      <c r="M275" s="287"/>
      <c r="N275" s="287"/>
      <c r="O275" s="287"/>
      <c r="P275" s="287"/>
      <c r="Q275" s="287"/>
      <c r="R275" s="287"/>
      <c r="S275" s="287"/>
      <c r="T275" s="287"/>
      <c r="U275" s="287"/>
      <c r="V275" s="287"/>
      <c r="W275" s="287"/>
      <c r="X275" s="287"/>
      <c r="Y275" s="287"/>
      <c r="Z275" s="287"/>
      <c r="AA275" s="287"/>
      <c r="AB275" s="287"/>
      <c r="AC275" s="287"/>
      <c r="AD275" s="287"/>
      <c r="AE275" s="287"/>
      <c r="AF275" s="287"/>
      <c r="AG275" s="287"/>
      <c r="AH275" s="287"/>
      <c r="AI275" s="287"/>
      <c r="AJ275" s="287"/>
      <c r="AK275" s="287"/>
      <c r="AL275" s="287"/>
      <c r="AM275" s="287"/>
      <c r="AN275" s="287"/>
      <c r="AO275" s="287"/>
      <c r="AP275" s="287"/>
      <c r="AQ275" s="287"/>
      <c r="AR275" s="287"/>
      <c r="AS275" s="287"/>
      <c r="AT275" s="287"/>
      <c r="AU275" s="287"/>
      <c r="AV275" s="287"/>
      <c r="AW275" s="287"/>
      <c r="AX275" s="287"/>
      <c r="AY275" s="287"/>
      <c r="AZ275" s="287"/>
      <c r="BA275" s="287"/>
      <c r="BB275" s="287"/>
      <c r="BC275" s="287"/>
    </row>
    <row r="276" ht="15.75" customHeight="1">
      <c r="A276" s="287"/>
      <c r="B276" s="287"/>
      <c r="C276" s="287"/>
      <c r="D276" s="287"/>
      <c r="E276" s="287"/>
      <c r="F276" s="287"/>
      <c r="G276" s="287"/>
      <c r="H276" s="287"/>
      <c r="I276" s="287"/>
      <c r="J276" s="287"/>
      <c r="K276" s="287"/>
      <c r="L276" s="287"/>
      <c r="M276" s="287"/>
      <c r="N276" s="287"/>
      <c r="O276" s="287"/>
      <c r="P276" s="287"/>
      <c r="Q276" s="287"/>
      <c r="R276" s="287"/>
      <c r="S276" s="287"/>
      <c r="T276" s="287"/>
      <c r="U276" s="287"/>
      <c r="V276" s="287"/>
      <c r="W276" s="287"/>
      <c r="X276" s="287"/>
      <c r="Y276" s="287"/>
      <c r="Z276" s="287"/>
      <c r="AA276" s="287"/>
      <c r="AB276" s="287"/>
      <c r="AC276" s="287"/>
      <c r="AD276" s="287"/>
      <c r="AE276" s="287"/>
      <c r="AF276" s="287"/>
      <c r="AG276" s="287"/>
      <c r="AH276" s="287"/>
      <c r="AI276" s="287"/>
      <c r="AJ276" s="287"/>
      <c r="AK276" s="287"/>
      <c r="AL276" s="287"/>
      <c r="AM276" s="287"/>
      <c r="AN276" s="287"/>
      <c r="AO276" s="287"/>
      <c r="AP276" s="287"/>
      <c r="AQ276" s="287"/>
      <c r="AR276" s="287"/>
      <c r="AS276" s="287"/>
      <c r="AT276" s="287"/>
      <c r="AU276" s="287"/>
      <c r="AV276" s="287"/>
      <c r="AW276" s="287"/>
      <c r="AX276" s="287"/>
      <c r="AY276" s="287"/>
      <c r="AZ276" s="287"/>
      <c r="BA276" s="287"/>
      <c r="BB276" s="287"/>
      <c r="BC276" s="287"/>
    </row>
    <row r="277" ht="15.75" customHeight="1">
      <c r="A277" s="287"/>
      <c r="B277" s="287"/>
      <c r="C277" s="287"/>
      <c r="D277" s="287"/>
      <c r="E277" s="287"/>
      <c r="F277" s="287"/>
      <c r="G277" s="287"/>
      <c r="H277" s="287"/>
      <c r="I277" s="287"/>
      <c r="J277" s="287"/>
      <c r="K277" s="287"/>
      <c r="L277" s="287"/>
      <c r="M277" s="287"/>
      <c r="N277" s="287"/>
      <c r="O277" s="287"/>
      <c r="P277" s="287"/>
      <c r="Q277" s="287"/>
      <c r="R277" s="287"/>
      <c r="S277" s="287"/>
      <c r="T277" s="287"/>
      <c r="U277" s="287"/>
      <c r="V277" s="287"/>
      <c r="W277" s="287"/>
      <c r="X277" s="287"/>
      <c r="Y277" s="287"/>
      <c r="Z277" s="287"/>
      <c r="AA277" s="287"/>
      <c r="AB277" s="287"/>
      <c r="AC277" s="287"/>
      <c r="AD277" s="287"/>
      <c r="AE277" s="287"/>
      <c r="AF277" s="287"/>
      <c r="AG277" s="287"/>
      <c r="AH277" s="287"/>
      <c r="AI277" s="287"/>
      <c r="AJ277" s="287"/>
      <c r="AK277" s="287"/>
      <c r="AL277" s="287"/>
      <c r="AM277" s="287"/>
      <c r="AN277" s="287"/>
      <c r="AO277" s="287"/>
      <c r="AP277" s="287"/>
      <c r="AQ277" s="287"/>
      <c r="AR277" s="287"/>
      <c r="AS277" s="287"/>
      <c r="AT277" s="287"/>
      <c r="AU277" s="287"/>
      <c r="AV277" s="287"/>
      <c r="AW277" s="287"/>
      <c r="AX277" s="287"/>
      <c r="AY277" s="287"/>
      <c r="AZ277" s="287"/>
      <c r="BA277" s="287"/>
      <c r="BB277" s="287"/>
      <c r="BC277" s="287"/>
    </row>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sheetData>
  <mergeCells count="428">
    <mergeCell ref="M21:P21"/>
    <mergeCell ref="M22:P22"/>
    <mergeCell ref="M23:P23"/>
    <mergeCell ref="M24:P24"/>
    <mergeCell ref="M25:P25"/>
    <mergeCell ref="M26:P26"/>
    <mergeCell ref="M27:P27"/>
    <mergeCell ref="M35:P35"/>
    <mergeCell ref="M36:P36"/>
    <mergeCell ref="M28:P28"/>
    <mergeCell ref="M29:P29"/>
    <mergeCell ref="M30:P30"/>
    <mergeCell ref="M31:P31"/>
    <mergeCell ref="M32:P32"/>
    <mergeCell ref="M33:P33"/>
    <mergeCell ref="M34:P34"/>
    <mergeCell ref="B10:D10"/>
    <mergeCell ref="B11:D11"/>
    <mergeCell ref="E12:I12"/>
    <mergeCell ref="J12:K12"/>
    <mergeCell ref="L12:P12"/>
    <mergeCell ref="R12:U13"/>
    <mergeCell ref="V12:W13"/>
    <mergeCell ref="L13:P13"/>
    <mergeCell ref="J15:K15"/>
    <mergeCell ref="L15:P15"/>
    <mergeCell ref="E13:I13"/>
    <mergeCell ref="J13:K13"/>
    <mergeCell ref="E14:I14"/>
    <mergeCell ref="J14:K14"/>
    <mergeCell ref="L14:P14"/>
    <mergeCell ref="R14:U15"/>
    <mergeCell ref="V14:W15"/>
    <mergeCell ref="B15:D15"/>
    <mergeCell ref="E15:I15"/>
    <mergeCell ref="B17:N18"/>
    <mergeCell ref="O17:S18"/>
    <mergeCell ref="T17:W18"/>
    <mergeCell ref="X17:AB18"/>
    <mergeCell ref="AC17:AG18"/>
    <mergeCell ref="C19:F19"/>
    <mergeCell ref="M19:P19"/>
    <mergeCell ref="W19:Z19"/>
    <mergeCell ref="C20:F20"/>
    <mergeCell ref="M20:P20"/>
    <mergeCell ref="C21:F21"/>
    <mergeCell ref="W22:Z22"/>
    <mergeCell ref="W20:Z20"/>
    <mergeCell ref="W21:Z21"/>
    <mergeCell ref="W23:Z23"/>
    <mergeCell ref="W24:Z24"/>
    <mergeCell ref="W25:Z25"/>
    <mergeCell ref="W26:Z26"/>
    <mergeCell ref="W27:Z27"/>
    <mergeCell ref="W28:Z28"/>
    <mergeCell ref="W29:Z29"/>
    <mergeCell ref="W30:Z30"/>
    <mergeCell ref="W31:Z31"/>
    <mergeCell ref="W32:Z32"/>
    <mergeCell ref="W33:Z33"/>
    <mergeCell ref="W34:Z34"/>
    <mergeCell ref="B2:AS6"/>
    <mergeCell ref="AT2:AV3"/>
    <mergeCell ref="AW2:AY3"/>
    <mergeCell ref="AZ2:BB3"/>
    <mergeCell ref="AT4:AV6"/>
    <mergeCell ref="AW4:AY6"/>
    <mergeCell ref="AZ4:BB6"/>
    <mergeCell ref="X10:Y10"/>
    <mergeCell ref="Z10:AC11"/>
    <mergeCell ref="X11:Y11"/>
    <mergeCell ref="X12:Y12"/>
    <mergeCell ref="Z12:AC13"/>
    <mergeCell ref="X13:Y13"/>
    <mergeCell ref="AD10:AE11"/>
    <mergeCell ref="AF10:AG10"/>
    <mergeCell ref="AF11:AG11"/>
    <mergeCell ref="AD12:AE13"/>
    <mergeCell ref="AF12:AG12"/>
    <mergeCell ref="AF13:AG13"/>
    <mergeCell ref="B8:P9"/>
    <mergeCell ref="R8:AO9"/>
    <mergeCell ref="AQ8:BB9"/>
    <mergeCell ref="E10:P10"/>
    <mergeCell ref="R10:U11"/>
    <mergeCell ref="V10:W11"/>
    <mergeCell ref="AN10:AO10"/>
    <mergeCell ref="E11:P11"/>
    <mergeCell ref="B12:D12"/>
    <mergeCell ref="B13:D13"/>
    <mergeCell ref="B14:D14"/>
    <mergeCell ref="X14:Y14"/>
    <mergeCell ref="Z14:AC15"/>
    <mergeCell ref="AD14:AE15"/>
    <mergeCell ref="AF14:AG14"/>
    <mergeCell ref="X15:Y15"/>
    <mergeCell ref="AF15:AG15"/>
    <mergeCell ref="AN13:AO13"/>
    <mergeCell ref="AN14:AO14"/>
    <mergeCell ref="AY28:BB28"/>
    <mergeCell ref="AY29:BB29"/>
    <mergeCell ref="AQ26:AV26"/>
    <mergeCell ref="AW26:BB26"/>
    <mergeCell ref="AQ27:AT28"/>
    <mergeCell ref="AU27:AX28"/>
    <mergeCell ref="AY27:BB27"/>
    <mergeCell ref="AQ29:AT30"/>
    <mergeCell ref="AU29:AX30"/>
    <mergeCell ref="AY30:BB30"/>
    <mergeCell ref="C29:F29"/>
    <mergeCell ref="C30:F30"/>
    <mergeCell ref="C31:F31"/>
    <mergeCell ref="C32:F32"/>
    <mergeCell ref="C33:F33"/>
    <mergeCell ref="C34:F34"/>
    <mergeCell ref="C35:F35"/>
    <mergeCell ref="C36:F36"/>
    <mergeCell ref="C22:F22"/>
    <mergeCell ref="C23:F23"/>
    <mergeCell ref="C24:F24"/>
    <mergeCell ref="C25:F25"/>
    <mergeCell ref="C26:F26"/>
    <mergeCell ref="C27:F27"/>
    <mergeCell ref="C28:F28"/>
    <mergeCell ref="AG32:AJ32"/>
    <mergeCell ref="AG33:AJ33"/>
    <mergeCell ref="AG35:AJ35"/>
    <mergeCell ref="AG25:AJ25"/>
    <mergeCell ref="AG26:AJ26"/>
    <mergeCell ref="AG27:AJ27"/>
    <mergeCell ref="AG28:AJ28"/>
    <mergeCell ref="AG29:AJ29"/>
    <mergeCell ref="AG30:AJ30"/>
    <mergeCell ref="AG31:AJ31"/>
    <mergeCell ref="AU33:AV34"/>
    <mergeCell ref="AW33:AZ34"/>
    <mergeCell ref="AG34:AJ34"/>
    <mergeCell ref="AQ31:AT32"/>
    <mergeCell ref="AU31:AX32"/>
    <mergeCell ref="AY31:AZ31"/>
    <mergeCell ref="BA31:BB31"/>
    <mergeCell ref="AY32:AZ32"/>
    <mergeCell ref="BA32:BB32"/>
    <mergeCell ref="BA33:BB34"/>
    <mergeCell ref="AH12:AK13"/>
    <mergeCell ref="AH14:AK15"/>
    <mergeCell ref="AL14:AM15"/>
    <mergeCell ref="AH17:AK18"/>
    <mergeCell ref="AH10:AK11"/>
    <mergeCell ref="AL10:AM11"/>
    <mergeCell ref="AQ10:BB19"/>
    <mergeCell ref="AN11:AO11"/>
    <mergeCell ref="AL12:AM13"/>
    <mergeCell ref="AN12:AO12"/>
    <mergeCell ref="AN15:AO15"/>
    <mergeCell ref="AY25:AZ25"/>
    <mergeCell ref="BA25:BB25"/>
    <mergeCell ref="AL17:AO18"/>
    <mergeCell ref="AG19:AJ19"/>
    <mergeCell ref="AG20:AJ20"/>
    <mergeCell ref="AG21:AJ21"/>
    <mergeCell ref="AG22:AJ22"/>
    <mergeCell ref="AG23:AJ23"/>
    <mergeCell ref="AG24:AJ24"/>
    <mergeCell ref="AQ21:BB22"/>
    <mergeCell ref="AQ23:AV23"/>
    <mergeCell ref="AW23:BB23"/>
    <mergeCell ref="AQ24:AV24"/>
    <mergeCell ref="AW24:BB24"/>
    <mergeCell ref="AQ25:AV25"/>
    <mergeCell ref="AW25:AX25"/>
    <mergeCell ref="AQ40:BB40"/>
    <mergeCell ref="AQ41:BB41"/>
    <mergeCell ref="AQ42:BB42"/>
    <mergeCell ref="AQ43:BB43"/>
    <mergeCell ref="AQ33:AT34"/>
    <mergeCell ref="AQ35:AT36"/>
    <mergeCell ref="AU35:AV36"/>
    <mergeCell ref="AW35:AZ36"/>
    <mergeCell ref="BA35:BB36"/>
    <mergeCell ref="AG36:AJ36"/>
    <mergeCell ref="AQ38:BB39"/>
    <mergeCell ref="S40:X40"/>
    <mergeCell ref="Y40:AB40"/>
    <mergeCell ref="S41:X41"/>
    <mergeCell ref="Y41:AB41"/>
    <mergeCell ref="AC40:AG40"/>
    <mergeCell ref="AH40:AK40"/>
    <mergeCell ref="AC41:AG41"/>
    <mergeCell ref="AH41:AK41"/>
    <mergeCell ref="AL41:AO41"/>
    <mergeCell ref="W35:Z35"/>
    <mergeCell ref="W36:Z36"/>
    <mergeCell ref="B38:AO39"/>
    <mergeCell ref="J40:L40"/>
    <mergeCell ref="M40:O40"/>
    <mergeCell ref="P40:R40"/>
    <mergeCell ref="AL40:AO40"/>
    <mergeCell ref="M42:O42"/>
    <mergeCell ref="P42:R42"/>
    <mergeCell ref="S42:X42"/>
    <mergeCell ref="Y42:AB42"/>
    <mergeCell ref="AC42:AG42"/>
    <mergeCell ref="AH42:AK42"/>
    <mergeCell ref="AL42:AO42"/>
    <mergeCell ref="B40:I40"/>
    <mergeCell ref="B41:I41"/>
    <mergeCell ref="J41:L41"/>
    <mergeCell ref="M41:O41"/>
    <mergeCell ref="P41:R41"/>
    <mergeCell ref="B42:I42"/>
    <mergeCell ref="J42:L42"/>
    <mergeCell ref="AH43:AK43"/>
    <mergeCell ref="AL43:AO43"/>
    <mergeCell ref="B43:I43"/>
    <mergeCell ref="J43:L43"/>
    <mergeCell ref="M43:O43"/>
    <mergeCell ref="P43:R43"/>
    <mergeCell ref="S43:X43"/>
    <mergeCell ref="Y43:AB43"/>
    <mergeCell ref="AC43:AG43"/>
    <mergeCell ref="A137:BC137"/>
    <mergeCell ref="A138:BC138"/>
    <mergeCell ref="A139:BC139"/>
    <mergeCell ref="A140:BC140"/>
    <mergeCell ref="A141:BC141"/>
    <mergeCell ref="A142:BC142"/>
    <mergeCell ref="A143:BC143"/>
    <mergeCell ref="A144:BC144"/>
    <mergeCell ref="A145:BC145"/>
    <mergeCell ref="A146:BC146"/>
    <mergeCell ref="A147:BC147"/>
    <mergeCell ref="A148:BC148"/>
    <mergeCell ref="A149:BC149"/>
    <mergeCell ref="A150:BC150"/>
    <mergeCell ref="A151:BC151"/>
    <mergeCell ref="A152:BC152"/>
    <mergeCell ref="A153:BC153"/>
    <mergeCell ref="A154:BC154"/>
    <mergeCell ref="A155:BC155"/>
    <mergeCell ref="A156:BC156"/>
    <mergeCell ref="A157:BC157"/>
    <mergeCell ref="A165:BC165"/>
    <mergeCell ref="A166:BC166"/>
    <mergeCell ref="A167:BC167"/>
    <mergeCell ref="A168:BC168"/>
    <mergeCell ref="A169:BC169"/>
    <mergeCell ref="A170:BC170"/>
    <mergeCell ref="A158:BC158"/>
    <mergeCell ref="A159:BC159"/>
    <mergeCell ref="A160:BC160"/>
    <mergeCell ref="A161:BC161"/>
    <mergeCell ref="A162:BC162"/>
    <mergeCell ref="A163:BC163"/>
    <mergeCell ref="A164:BC164"/>
    <mergeCell ref="A88:BC88"/>
    <mergeCell ref="A89:BC89"/>
    <mergeCell ref="A90:BC90"/>
    <mergeCell ref="A91:BC91"/>
    <mergeCell ref="A92:BC92"/>
    <mergeCell ref="A93:BC93"/>
    <mergeCell ref="A94:BC94"/>
    <mergeCell ref="A95:BC95"/>
    <mergeCell ref="A96:BC96"/>
    <mergeCell ref="A97:BC97"/>
    <mergeCell ref="A98:BC98"/>
    <mergeCell ref="A99:BC99"/>
    <mergeCell ref="A100:BC100"/>
    <mergeCell ref="A101:BC101"/>
    <mergeCell ref="A102:BC102"/>
    <mergeCell ref="A103:BC103"/>
    <mergeCell ref="A104:BC104"/>
    <mergeCell ref="A105:BC105"/>
    <mergeCell ref="A106:BC106"/>
    <mergeCell ref="A107:BC107"/>
    <mergeCell ref="A108:BC108"/>
    <mergeCell ref="A109:BC109"/>
    <mergeCell ref="A110:BC110"/>
    <mergeCell ref="A111:BC111"/>
    <mergeCell ref="A112:BC112"/>
    <mergeCell ref="A113:BC113"/>
    <mergeCell ref="A114:BC114"/>
    <mergeCell ref="A115:BC115"/>
    <mergeCell ref="A116:BC116"/>
    <mergeCell ref="A117:BC117"/>
    <mergeCell ref="A118:BC118"/>
    <mergeCell ref="A119:BC119"/>
    <mergeCell ref="A120:BC120"/>
    <mergeCell ref="A121:BC121"/>
    <mergeCell ref="A122:BC122"/>
    <mergeCell ref="A123:BC123"/>
    <mergeCell ref="A124:BC124"/>
    <mergeCell ref="A125:BC125"/>
    <mergeCell ref="A126:BC126"/>
    <mergeCell ref="A127:BC127"/>
    <mergeCell ref="A128:BC128"/>
    <mergeCell ref="A129:BC129"/>
    <mergeCell ref="A130:BC130"/>
    <mergeCell ref="A131:BC131"/>
    <mergeCell ref="A132:BC132"/>
    <mergeCell ref="A133:BC133"/>
    <mergeCell ref="A134:BC134"/>
    <mergeCell ref="A135:BC135"/>
    <mergeCell ref="A136:BC136"/>
    <mergeCell ref="AH47:AK47"/>
    <mergeCell ref="AL47:AO47"/>
    <mergeCell ref="AQ47:BB47"/>
    <mergeCell ref="B47:I47"/>
    <mergeCell ref="J47:L47"/>
    <mergeCell ref="M47:O47"/>
    <mergeCell ref="P47:R47"/>
    <mergeCell ref="S47:X47"/>
    <mergeCell ref="Y47:AB47"/>
    <mergeCell ref="AC47:AG47"/>
    <mergeCell ref="AA50:AE51"/>
    <mergeCell ref="AF50:AJ51"/>
    <mergeCell ref="AQ49:BA49"/>
    <mergeCell ref="AQ50:BB50"/>
    <mergeCell ref="B48:T49"/>
    <mergeCell ref="V48:AN49"/>
    <mergeCell ref="AQ48:BB48"/>
    <mergeCell ref="B50:F51"/>
    <mergeCell ref="G50:K51"/>
    <mergeCell ref="L50:P51"/>
    <mergeCell ref="AK50:AO51"/>
    <mergeCell ref="AQ51:BA51"/>
    <mergeCell ref="V52:AN52"/>
    <mergeCell ref="V53:AO53"/>
    <mergeCell ref="Q50:U51"/>
    <mergeCell ref="V50:Z51"/>
    <mergeCell ref="B52:F53"/>
    <mergeCell ref="G52:K53"/>
    <mergeCell ref="L52:P53"/>
    <mergeCell ref="Q52:U53"/>
    <mergeCell ref="AQ52:BB52"/>
    <mergeCell ref="AH44:AK44"/>
    <mergeCell ref="AL44:AO44"/>
    <mergeCell ref="AQ44:BB44"/>
    <mergeCell ref="B44:I44"/>
    <mergeCell ref="J44:L44"/>
    <mergeCell ref="M44:O44"/>
    <mergeCell ref="P44:R44"/>
    <mergeCell ref="S44:X44"/>
    <mergeCell ref="Y44:AB44"/>
    <mergeCell ref="AC44:AG44"/>
    <mergeCell ref="AH45:AK45"/>
    <mergeCell ref="AL45:AO45"/>
    <mergeCell ref="AQ45:BB45"/>
    <mergeCell ref="B45:I45"/>
    <mergeCell ref="J45:L45"/>
    <mergeCell ref="M45:O45"/>
    <mergeCell ref="P45:R45"/>
    <mergeCell ref="S45:X45"/>
    <mergeCell ref="Y45:AB45"/>
    <mergeCell ref="AC45:AG45"/>
    <mergeCell ref="AH46:AK46"/>
    <mergeCell ref="AL46:AO46"/>
    <mergeCell ref="AQ46:BB46"/>
    <mergeCell ref="B46:I46"/>
    <mergeCell ref="J46:L46"/>
    <mergeCell ref="M46:O46"/>
    <mergeCell ref="P46:R46"/>
    <mergeCell ref="S46:X46"/>
    <mergeCell ref="Y46:AB46"/>
    <mergeCell ref="AC46:AG46"/>
    <mergeCell ref="B63:Q64"/>
    <mergeCell ref="S63:V64"/>
    <mergeCell ref="AD74:AG75"/>
    <mergeCell ref="AH74:AK75"/>
    <mergeCell ref="AL74:AO75"/>
    <mergeCell ref="AP74:AS75"/>
    <mergeCell ref="AT74:AW75"/>
    <mergeCell ref="AX74:BB75"/>
    <mergeCell ref="B74:E75"/>
    <mergeCell ref="F74:I75"/>
    <mergeCell ref="J74:M75"/>
    <mergeCell ref="N74:Q75"/>
    <mergeCell ref="R74:U75"/>
    <mergeCell ref="V74:Y75"/>
    <mergeCell ref="Z74:AC75"/>
    <mergeCell ref="B76:E79"/>
    <mergeCell ref="F76:I79"/>
    <mergeCell ref="J76:M79"/>
    <mergeCell ref="N76:Q79"/>
    <mergeCell ref="R76:U79"/>
    <mergeCell ref="V76:Y79"/>
    <mergeCell ref="Z76:AC79"/>
    <mergeCell ref="AD76:AG79"/>
    <mergeCell ref="AH76:AK79"/>
    <mergeCell ref="AL76:AO79"/>
    <mergeCell ref="AP76:AS79"/>
    <mergeCell ref="AT76:AW79"/>
    <mergeCell ref="AX76:BB79"/>
    <mergeCell ref="AX80:BB80"/>
    <mergeCell ref="AJ57:BB57"/>
    <mergeCell ref="AJ58:BB65"/>
    <mergeCell ref="AQ53:AX53"/>
    <mergeCell ref="AY53:BB53"/>
    <mergeCell ref="B55:BB56"/>
    <mergeCell ref="B57:R57"/>
    <mergeCell ref="S57:AI57"/>
    <mergeCell ref="B58:R62"/>
    <mergeCell ref="S58:AI62"/>
    <mergeCell ref="W63:Z64"/>
    <mergeCell ref="AA63:AD64"/>
    <mergeCell ref="AE63:AI64"/>
    <mergeCell ref="S65:V65"/>
    <mergeCell ref="W65:Z65"/>
    <mergeCell ref="AA65:AD65"/>
    <mergeCell ref="AE65:AI65"/>
    <mergeCell ref="N69:Y72"/>
    <mergeCell ref="Z69:AK72"/>
    <mergeCell ref="AY67:BB68"/>
    <mergeCell ref="AY69:BB72"/>
    <mergeCell ref="B65:R65"/>
    <mergeCell ref="B67:M68"/>
    <mergeCell ref="N67:Y68"/>
    <mergeCell ref="Z67:AK68"/>
    <mergeCell ref="AL67:AW68"/>
    <mergeCell ref="B69:M72"/>
    <mergeCell ref="AL69:AW72"/>
    <mergeCell ref="A81:BC81"/>
    <mergeCell ref="A82:BC82"/>
    <mergeCell ref="A83:BC83"/>
    <mergeCell ref="A84:BC84"/>
    <mergeCell ref="A85:BC85"/>
    <mergeCell ref="A86:BC86"/>
    <mergeCell ref="A87:BC87"/>
  </mergeCells>
  <conditionalFormatting sqref="B19:B36 L19:L36 V19:V36 AF19:AF36">
    <cfRule type="containsText" dxfId="0" priority="1" operator="containsText" text="✖">
      <formula>NOT(ISERROR(SEARCH(("✖"),(B19))))</formula>
    </cfRule>
  </conditionalFormatting>
  <conditionalFormatting sqref="B19:B36 L19:L36 V19:V36 AF19:AF36">
    <cfRule type="containsText" dxfId="1" priority="2" operator="containsText" text="✔">
      <formula>NOT(ISERROR(SEARCH(("✔"),(B19))))</formula>
    </cfRule>
  </conditionalFormatting>
  <conditionalFormatting sqref="C19:F19">
    <cfRule type="expression" dxfId="2" priority="3">
      <formula>H19&gt;0</formula>
    </cfRule>
  </conditionalFormatting>
  <conditionalFormatting sqref="C20:F20">
    <cfRule type="expression" dxfId="2" priority="4">
      <formula>H20&gt;0</formula>
    </cfRule>
  </conditionalFormatting>
  <conditionalFormatting sqref="C21:F21">
    <cfRule type="expression" dxfId="2" priority="5">
      <formula>H21&gt;0</formula>
    </cfRule>
  </conditionalFormatting>
  <conditionalFormatting sqref="C22:F22">
    <cfRule type="expression" dxfId="2" priority="6">
      <formula>H22&gt;0</formula>
    </cfRule>
  </conditionalFormatting>
  <conditionalFormatting sqref="C23:F23">
    <cfRule type="expression" dxfId="2" priority="7">
      <formula>H23&gt;0</formula>
    </cfRule>
  </conditionalFormatting>
  <conditionalFormatting sqref="C24:F24">
    <cfRule type="expression" dxfId="2" priority="8">
      <formula>H24&gt;0</formula>
    </cfRule>
  </conditionalFormatting>
  <conditionalFormatting sqref="C25:F25">
    <cfRule type="expression" dxfId="2" priority="9">
      <formula>H25&gt;0</formula>
    </cfRule>
  </conditionalFormatting>
  <conditionalFormatting sqref="C26:F26">
    <cfRule type="expression" dxfId="2" priority="10">
      <formula>H26&gt;0</formula>
    </cfRule>
  </conditionalFormatting>
  <conditionalFormatting sqref="C27:F27">
    <cfRule type="expression" dxfId="2" priority="11">
      <formula>H27&gt;0</formula>
    </cfRule>
  </conditionalFormatting>
  <conditionalFormatting sqref="C28:F28">
    <cfRule type="expression" dxfId="2" priority="12">
      <formula>H28&gt;0</formula>
    </cfRule>
  </conditionalFormatting>
  <conditionalFormatting sqref="C29:F29">
    <cfRule type="expression" dxfId="2" priority="13">
      <formula>H29&gt;0</formula>
    </cfRule>
  </conditionalFormatting>
  <conditionalFormatting sqref="C30:F30">
    <cfRule type="expression" dxfId="2" priority="14">
      <formula>H30&gt;0</formula>
    </cfRule>
  </conditionalFormatting>
  <conditionalFormatting sqref="C31:F31">
    <cfRule type="expression" dxfId="2" priority="15">
      <formula>H31&gt;0</formula>
    </cfRule>
  </conditionalFormatting>
  <conditionalFormatting sqref="C32:F32">
    <cfRule type="expression" dxfId="2" priority="16">
      <formula>H32&gt;0</formula>
    </cfRule>
  </conditionalFormatting>
  <conditionalFormatting sqref="C33:F33">
    <cfRule type="expression" dxfId="2" priority="17">
      <formula>H33&gt;0</formula>
    </cfRule>
  </conditionalFormatting>
  <conditionalFormatting sqref="C34:F34">
    <cfRule type="expression" dxfId="2" priority="18">
      <formula>H34&gt;0</formula>
    </cfRule>
  </conditionalFormatting>
  <conditionalFormatting sqref="C35:F35">
    <cfRule type="expression" dxfId="2" priority="19">
      <formula>H35&gt;0</formula>
    </cfRule>
  </conditionalFormatting>
  <conditionalFormatting sqref="C36:F36">
    <cfRule type="expression" dxfId="2" priority="20">
      <formula>H36&gt;0</formula>
    </cfRule>
  </conditionalFormatting>
  <conditionalFormatting sqref="M19:P19">
    <cfRule type="expression" dxfId="2" priority="21">
      <formula>R19&gt;0</formula>
    </cfRule>
  </conditionalFormatting>
  <conditionalFormatting sqref="M20:P20">
    <cfRule type="expression" dxfId="2" priority="22">
      <formula>R20&gt;0</formula>
    </cfRule>
  </conditionalFormatting>
  <conditionalFormatting sqref="M21:P21">
    <cfRule type="expression" dxfId="2" priority="23">
      <formula>R21&gt;0</formula>
    </cfRule>
  </conditionalFormatting>
  <conditionalFormatting sqref="M22:P22">
    <cfRule type="expression" dxfId="2" priority="24">
      <formula>R22&gt;0</formula>
    </cfRule>
  </conditionalFormatting>
  <conditionalFormatting sqref="M23:P23">
    <cfRule type="expression" dxfId="2" priority="25">
      <formula>R23&gt;0</formula>
    </cfRule>
  </conditionalFormatting>
  <conditionalFormatting sqref="M24:P24">
    <cfRule type="expression" dxfId="2" priority="26">
      <formula>R24&gt;0</formula>
    </cfRule>
  </conditionalFormatting>
  <conditionalFormatting sqref="M25:P25">
    <cfRule type="expression" dxfId="2" priority="27">
      <formula>R25&gt;0</formula>
    </cfRule>
  </conditionalFormatting>
  <conditionalFormatting sqref="M26:P26">
    <cfRule type="expression" dxfId="2" priority="28">
      <formula>R26&gt;0</formula>
    </cfRule>
  </conditionalFormatting>
  <conditionalFormatting sqref="M27:P27">
    <cfRule type="expression" dxfId="2" priority="29">
      <formula>R27&gt;0</formula>
    </cfRule>
  </conditionalFormatting>
  <conditionalFormatting sqref="M28:P28">
    <cfRule type="expression" dxfId="2" priority="30">
      <formula>R28&gt;0</formula>
    </cfRule>
  </conditionalFormatting>
  <conditionalFormatting sqref="M29:P29">
    <cfRule type="expression" dxfId="2" priority="31">
      <formula>R29&gt;0</formula>
    </cfRule>
  </conditionalFormatting>
  <conditionalFormatting sqref="M30:P30">
    <cfRule type="expression" dxfId="2" priority="32">
      <formula>R30&gt;0</formula>
    </cfRule>
  </conditionalFormatting>
  <conditionalFormatting sqref="M31:P31">
    <cfRule type="expression" dxfId="2" priority="33">
      <formula>R31&gt;0</formula>
    </cfRule>
  </conditionalFormatting>
  <conditionalFormatting sqref="M32:P32">
    <cfRule type="expression" dxfId="2" priority="34">
      <formula>R32&gt;0</formula>
    </cfRule>
  </conditionalFormatting>
  <conditionalFormatting sqref="M33:P33">
    <cfRule type="expression" dxfId="2" priority="35">
      <formula>R33&gt;0</formula>
    </cfRule>
  </conditionalFormatting>
  <conditionalFormatting sqref="M34:P34">
    <cfRule type="expression" dxfId="2" priority="36">
      <formula>R34&gt;0</formula>
    </cfRule>
  </conditionalFormatting>
  <conditionalFormatting sqref="M35:P35">
    <cfRule type="expression" dxfId="2" priority="37">
      <formula>R35&gt;0</formula>
    </cfRule>
  </conditionalFormatting>
  <conditionalFormatting sqref="M36:P36">
    <cfRule type="expression" dxfId="2" priority="38">
      <formula>R36&gt;0</formula>
    </cfRule>
  </conditionalFormatting>
  <conditionalFormatting sqref="W19:Z19">
    <cfRule type="expression" dxfId="2" priority="39">
      <formula>AB19&gt;0</formula>
    </cfRule>
  </conditionalFormatting>
  <conditionalFormatting sqref="W20:Z20">
    <cfRule type="expression" dxfId="2" priority="40">
      <formula>AB20&gt;0</formula>
    </cfRule>
  </conditionalFormatting>
  <conditionalFormatting sqref="W21:Z21">
    <cfRule type="expression" dxfId="2" priority="41">
      <formula>AB21&gt;0</formula>
    </cfRule>
  </conditionalFormatting>
  <conditionalFormatting sqref="W22:Z22">
    <cfRule type="expression" dxfId="2" priority="42">
      <formula>AB22&gt;0</formula>
    </cfRule>
  </conditionalFormatting>
  <conditionalFormatting sqref="W23:Z23">
    <cfRule type="expression" dxfId="2" priority="43">
      <formula>AB23&gt;0</formula>
    </cfRule>
  </conditionalFormatting>
  <conditionalFormatting sqref="W24:Z24">
    <cfRule type="expression" dxfId="2" priority="44">
      <formula>AB24&gt;0</formula>
    </cfRule>
  </conditionalFormatting>
  <conditionalFormatting sqref="W25:Z25">
    <cfRule type="expression" dxfId="2" priority="45">
      <formula>AB25&gt;0</formula>
    </cfRule>
  </conditionalFormatting>
  <conditionalFormatting sqref="W26:Z26">
    <cfRule type="expression" dxfId="2" priority="46">
      <formula>AB26&gt;0</formula>
    </cfRule>
  </conditionalFormatting>
  <conditionalFormatting sqref="W27:Z27">
    <cfRule type="expression" dxfId="2" priority="47">
      <formula>AB27&gt;0</formula>
    </cfRule>
  </conditionalFormatting>
  <conditionalFormatting sqref="W28:Z28">
    <cfRule type="expression" dxfId="2" priority="48">
      <formula>AB28&gt;0</formula>
    </cfRule>
  </conditionalFormatting>
  <conditionalFormatting sqref="W29:Z29">
    <cfRule type="expression" dxfId="2" priority="49">
      <formula>AB29&gt;0</formula>
    </cfRule>
  </conditionalFormatting>
  <conditionalFormatting sqref="W30:Z30">
    <cfRule type="expression" dxfId="2" priority="50">
      <formula>AB30&gt;0</formula>
    </cfRule>
  </conditionalFormatting>
  <conditionalFormatting sqref="W31:Z31">
    <cfRule type="expression" dxfId="2" priority="51">
      <formula>AB31&gt;0</formula>
    </cfRule>
  </conditionalFormatting>
  <conditionalFormatting sqref="W32:Z32">
    <cfRule type="expression" dxfId="2" priority="52">
      <formula>AB32&gt;0</formula>
    </cfRule>
  </conditionalFormatting>
  <conditionalFormatting sqref="W33:Z33">
    <cfRule type="expression" dxfId="2" priority="53">
      <formula>AB33&gt;0</formula>
    </cfRule>
  </conditionalFormatting>
  <conditionalFormatting sqref="W34:Z34">
    <cfRule type="expression" dxfId="2" priority="54">
      <formula>AB34&gt;0</formula>
    </cfRule>
  </conditionalFormatting>
  <conditionalFormatting sqref="W35:Z35">
    <cfRule type="expression" dxfId="2" priority="55">
      <formula>AB35&gt;0</formula>
    </cfRule>
  </conditionalFormatting>
  <conditionalFormatting sqref="W36:Z36">
    <cfRule type="expression" dxfId="2" priority="56">
      <formula>AB36&gt;0</formula>
    </cfRule>
  </conditionalFormatting>
  <conditionalFormatting sqref="AG19:AJ19">
    <cfRule type="expression" dxfId="2" priority="57">
      <formula>AL19&gt;0</formula>
    </cfRule>
  </conditionalFormatting>
  <conditionalFormatting sqref="AG20:AJ20">
    <cfRule type="expression" dxfId="2" priority="58">
      <formula>AL20&gt;0</formula>
    </cfRule>
  </conditionalFormatting>
  <conditionalFormatting sqref="AG21:AJ21">
    <cfRule type="expression" dxfId="2" priority="59">
      <formula>AL21&gt;0</formula>
    </cfRule>
  </conditionalFormatting>
  <conditionalFormatting sqref="AG22:AJ22">
    <cfRule type="expression" dxfId="2" priority="60">
      <formula>AL22&gt;0</formula>
    </cfRule>
  </conditionalFormatting>
  <conditionalFormatting sqref="AG23:AJ23">
    <cfRule type="expression" dxfId="2" priority="61">
      <formula>AL23&gt;0</formula>
    </cfRule>
  </conditionalFormatting>
  <conditionalFormatting sqref="AG24:AJ24">
    <cfRule type="expression" dxfId="2" priority="62">
      <formula>AL24&gt;0</formula>
    </cfRule>
  </conditionalFormatting>
  <conditionalFormatting sqref="AG25:AJ25">
    <cfRule type="expression" dxfId="2" priority="63">
      <formula>AL25&gt;0</formula>
    </cfRule>
  </conditionalFormatting>
  <conditionalFormatting sqref="AG26:AJ26">
    <cfRule type="expression" dxfId="2" priority="64">
      <formula>AL26&gt;0</formula>
    </cfRule>
  </conditionalFormatting>
  <conditionalFormatting sqref="AG27:AJ27">
    <cfRule type="expression" dxfId="2" priority="65">
      <formula>AL27&gt;0</formula>
    </cfRule>
  </conditionalFormatting>
  <conditionalFormatting sqref="AG28:AJ28">
    <cfRule type="expression" dxfId="2" priority="66">
      <formula>AL28&gt;0</formula>
    </cfRule>
  </conditionalFormatting>
  <conditionalFormatting sqref="AG29:AJ29">
    <cfRule type="expression" dxfId="2" priority="67">
      <formula>AL29&gt;0</formula>
    </cfRule>
  </conditionalFormatting>
  <conditionalFormatting sqref="AG30:AJ30">
    <cfRule type="expression" dxfId="2" priority="68">
      <formula>AL30&gt;0</formula>
    </cfRule>
  </conditionalFormatting>
  <conditionalFormatting sqref="AG31:AJ31">
    <cfRule type="expression" dxfId="2" priority="69">
      <formula>AL31&gt;0</formula>
    </cfRule>
  </conditionalFormatting>
  <conditionalFormatting sqref="AG32:AJ32">
    <cfRule type="expression" dxfId="2" priority="70">
      <formula>AL32&gt;0</formula>
    </cfRule>
  </conditionalFormatting>
  <conditionalFormatting sqref="AG33:AJ33">
    <cfRule type="expression" dxfId="2" priority="71">
      <formula>AL33&gt;0</formula>
    </cfRule>
  </conditionalFormatting>
  <conditionalFormatting sqref="AG34:AJ34">
    <cfRule type="expression" dxfId="2" priority="72">
      <formula>AL34&gt;0</formula>
    </cfRule>
  </conditionalFormatting>
  <conditionalFormatting sqref="AG35:AJ35">
    <cfRule type="expression" dxfId="2" priority="73">
      <formula>AL35&gt;0</formula>
    </cfRule>
  </conditionalFormatting>
  <conditionalFormatting sqref="AG36:AJ36">
    <cfRule type="expression" dxfId="2" priority="74">
      <formula>AL36&gt;0</formula>
    </cfRule>
  </conditionalFormatting>
  <dataValidations>
    <dataValidation type="list" allowBlank="1" sqref="U49 AO49 BB49 BB51 AO52 R64">
      <formula1>"1,2,3,4,5,6,7,8,9,10"</formula1>
    </dataValidation>
    <dataValidation type="list" allowBlank="1" sqref="AU33 BA33 AU35 BA35 B19:B36 L19:L36 V19:V36 AF19:AF36">
      <formula1>"✖,✔"</formula1>
    </dataValidation>
    <dataValidation type="list" allowBlank="1" sqref="E12">
      <formula1>"간호사,갱 보스,건달,건 몰,건축가,경관,고고학자,곡예사,골동품상,골동품 연구가,과학자,광부,광신자,교수,교주,기술자,기자,깡패,노조 활동가,농부,단독 범죄자,대학생,도둑,도박사,등반가,디자이너,디프로그래머,딜레탕트,떠돌이,리포터,매춘부,맹수사냥꾼,미술가,밀수꾼,밀주업자,바텐더,박물관 큐레이터,배우,벌목꾼,법의학자,변호사,병사,병원 보조원,복서/레슬러,부랑자,부족민,부하 조직원,비서,비행사,사기꾼,사립탐정,사무원,사서,사육사,사진가,사진기자,서적상,선교"&amp;"사,선원,선출직 공무원,성직자,소방관,수병,스턴트맨,스턴트우먼,스파이,신비학자,신사/숙녀,심령학자,심리학자,약사,엔지니어,연구실 조수,연구자,연방 요원,연예인,연주자,외신 기자,운동선수,운전사,웨이터,웨이트리스,위조업자,은행강도,의사,인턴,자객,자연 애호가,작가,잠수부,장교,장물아비,장의사,장인,전속 기사,점장,정신감정사,정신과 의사,정신병원 직원,정신분석가,조련사,조종사,중상급 관리자,집사,카우걸/카우보이,컴퓨터 테크니션,탐광인,탐험가,택시 운전사,판"&amp;"매원,판사,편집자,폭력배,프로그래머,하녀,하인,해커,현상금 사냥꾼,형사,회계사,회사 탐정,기타"</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55" width="2.5"/>
  </cols>
  <sheetData>
    <row r="1" ht="11.25" customHeight="1">
      <c r="A1" s="1">
        <v>35.0</v>
      </c>
      <c r="B1" s="2"/>
      <c r="C1" s="2"/>
      <c r="D1" s="2"/>
      <c r="E1" s="2"/>
      <c r="F1" s="2"/>
      <c r="G1" s="2"/>
      <c r="H1" s="2"/>
      <c r="I1" s="2"/>
      <c r="J1" s="2"/>
      <c r="K1" s="2"/>
      <c r="L1" s="2"/>
      <c r="M1" s="2"/>
      <c r="N1" s="2"/>
      <c r="O1" s="2"/>
      <c r="P1" s="2"/>
      <c r="Q1" s="2"/>
      <c r="R1" s="2"/>
      <c r="S1" s="2"/>
      <c r="T1" s="2"/>
      <c r="U1" s="2"/>
      <c r="V1" s="2"/>
      <c r="W1" s="2"/>
      <c r="X1" s="2"/>
      <c r="Y1" s="2"/>
      <c r="Z1" s="2"/>
      <c r="AA1" s="2"/>
      <c r="AB1" s="2"/>
      <c r="AC1" s="3"/>
      <c r="AD1" s="3"/>
      <c r="AE1" s="3"/>
      <c r="AF1" s="3"/>
      <c r="AG1" s="3"/>
      <c r="AH1" s="3"/>
      <c r="AI1" s="3"/>
      <c r="AJ1" s="3"/>
      <c r="AK1" s="3"/>
      <c r="AL1" s="3"/>
      <c r="AM1" s="3"/>
      <c r="AN1" s="3"/>
      <c r="AO1" s="3"/>
      <c r="AP1" s="3"/>
      <c r="AQ1" s="3"/>
      <c r="AR1" s="3"/>
      <c r="AS1" s="3"/>
      <c r="AT1" s="3"/>
      <c r="AU1" s="3"/>
      <c r="AV1" s="3"/>
      <c r="AW1" s="3"/>
      <c r="AX1" s="3"/>
      <c r="AY1" s="3"/>
      <c r="AZ1" s="3"/>
      <c r="BA1" s="3"/>
      <c r="BB1" s="3"/>
      <c r="BC1" s="3"/>
    </row>
    <row r="2" ht="9.0" customHeight="1">
      <c r="A2" s="2"/>
      <c r="B2" s="289" t="s">
        <v>0</v>
      </c>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6" t="s">
        <v>1</v>
      </c>
      <c r="AU2" s="5"/>
      <c r="AV2" s="7"/>
      <c r="AW2" s="6" t="s">
        <v>2</v>
      </c>
      <c r="AX2" s="5"/>
      <c r="AY2" s="7"/>
      <c r="AZ2" s="6" t="s">
        <v>3</v>
      </c>
      <c r="BA2" s="5"/>
      <c r="BB2" s="7"/>
      <c r="BC2" s="3"/>
    </row>
    <row r="3" ht="9.0" customHeight="1">
      <c r="A3" s="8"/>
      <c r="B3" s="9"/>
      <c r="AT3" s="10"/>
      <c r="AU3" s="11"/>
      <c r="AV3" s="12"/>
      <c r="AW3" s="10"/>
      <c r="AX3" s="11"/>
      <c r="AY3" s="12"/>
      <c r="AZ3" s="10"/>
      <c r="BA3" s="11"/>
      <c r="BB3" s="12"/>
      <c r="BC3" s="3"/>
    </row>
    <row r="4" ht="9.0" customHeight="1">
      <c r="A4" s="8"/>
      <c r="B4" s="9"/>
      <c r="AT4" s="13"/>
      <c r="AU4" s="5"/>
      <c r="AV4" s="7"/>
      <c r="AW4" s="6" t="s">
        <v>4</v>
      </c>
      <c r="AX4" s="5"/>
      <c r="AY4" s="7"/>
      <c r="AZ4" s="14" t="s">
        <v>5</v>
      </c>
      <c r="BA4" s="5"/>
      <c r="BB4" s="7"/>
      <c r="BC4" s="3"/>
    </row>
    <row r="5" ht="9.0" customHeight="1">
      <c r="A5" s="8"/>
      <c r="B5" s="9"/>
      <c r="AT5" s="9"/>
      <c r="AV5" s="15"/>
      <c r="AW5" s="9"/>
      <c r="AY5" s="15"/>
      <c r="AZ5" s="9"/>
      <c r="BB5" s="15"/>
      <c r="BC5" s="3"/>
    </row>
    <row r="6" ht="9.0" customHeight="1">
      <c r="A6" s="2"/>
      <c r="B6" s="9"/>
      <c r="AT6" s="10"/>
      <c r="AU6" s="11"/>
      <c r="AV6" s="12"/>
      <c r="AW6" s="10"/>
      <c r="AX6" s="11"/>
      <c r="AY6" s="12"/>
      <c r="AZ6" s="10"/>
      <c r="BA6" s="11"/>
      <c r="BB6" s="12"/>
      <c r="BC6" s="2"/>
    </row>
    <row r="7" ht="13.5" customHeight="1">
      <c r="A7" s="16"/>
      <c r="B7" s="17"/>
      <c r="C7" s="17"/>
      <c r="D7" s="17"/>
      <c r="E7" s="17"/>
      <c r="F7" s="17"/>
      <c r="G7" s="17"/>
      <c r="H7" s="17"/>
      <c r="I7" s="17"/>
      <c r="J7" s="17"/>
      <c r="K7" s="17"/>
      <c r="L7" s="17"/>
      <c r="M7" s="17"/>
      <c r="N7" s="17"/>
      <c r="O7" s="18"/>
      <c r="P7" s="18"/>
      <c r="Q7" s="19"/>
      <c r="R7" s="18"/>
      <c r="S7" s="18"/>
      <c r="T7" s="18"/>
      <c r="U7" s="18"/>
      <c r="V7" s="18"/>
      <c r="W7" s="18"/>
      <c r="X7" s="18"/>
      <c r="Y7" s="18"/>
      <c r="Z7" s="18"/>
      <c r="AA7" s="18"/>
      <c r="AB7" s="18"/>
      <c r="AC7" s="18"/>
      <c r="AD7" s="18"/>
      <c r="AE7" s="18"/>
      <c r="AF7" s="18"/>
      <c r="AG7" s="18"/>
      <c r="AH7" s="18"/>
      <c r="AI7" s="18"/>
      <c r="AJ7" s="18"/>
      <c r="AK7" s="18"/>
      <c r="AL7" s="18"/>
      <c r="AM7" s="18"/>
      <c r="AN7" s="18"/>
      <c r="AO7" s="18"/>
      <c r="AP7" s="20"/>
      <c r="AQ7" s="17"/>
      <c r="AR7" s="17"/>
      <c r="AS7" s="17"/>
      <c r="AT7" s="17"/>
      <c r="AU7" s="17"/>
      <c r="AV7" s="17"/>
      <c r="AW7" s="17"/>
      <c r="AX7" s="17"/>
      <c r="AY7" s="17"/>
      <c r="AZ7" s="17"/>
      <c r="BA7" s="17"/>
      <c r="BB7" s="17"/>
      <c r="BC7" s="21"/>
    </row>
    <row r="8" ht="13.5" customHeight="1">
      <c r="A8" s="22"/>
      <c r="B8" s="23" t="s">
        <v>6</v>
      </c>
      <c r="C8" s="24"/>
      <c r="D8" s="24"/>
      <c r="E8" s="24"/>
      <c r="F8" s="24"/>
      <c r="G8" s="24"/>
      <c r="H8" s="24"/>
      <c r="I8" s="24"/>
      <c r="J8" s="24"/>
      <c r="K8" s="24"/>
      <c r="L8" s="24"/>
      <c r="M8" s="24"/>
      <c r="N8" s="24"/>
      <c r="O8" s="24"/>
      <c r="P8" s="25"/>
      <c r="Q8" s="26"/>
      <c r="R8" s="23" t="s">
        <v>7</v>
      </c>
      <c r="S8" s="24"/>
      <c r="T8" s="24"/>
      <c r="U8" s="24"/>
      <c r="V8" s="24"/>
      <c r="W8" s="24"/>
      <c r="X8" s="24"/>
      <c r="Y8" s="24"/>
      <c r="Z8" s="24"/>
      <c r="AA8" s="24"/>
      <c r="AB8" s="24"/>
      <c r="AC8" s="24"/>
      <c r="AD8" s="24"/>
      <c r="AE8" s="24"/>
      <c r="AF8" s="24"/>
      <c r="AG8" s="24"/>
      <c r="AH8" s="24"/>
      <c r="AI8" s="24"/>
      <c r="AJ8" s="24"/>
      <c r="AK8" s="24"/>
      <c r="AL8" s="24"/>
      <c r="AM8" s="24"/>
      <c r="AN8" s="24"/>
      <c r="AO8" s="25"/>
      <c r="AP8" s="27"/>
      <c r="AQ8" s="23" t="s">
        <v>8</v>
      </c>
      <c r="AR8" s="24"/>
      <c r="AS8" s="24"/>
      <c r="AT8" s="24"/>
      <c r="AU8" s="24"/>
      <c r="AV8" s="24"/>
      <c r="AW8" s="24"/>
      <c r="AX8" s="24"/>
      <c r="AY8" s="24"/>
      <c r="AZ8" s="24"/>
      <c r="BA8" s="24"/>
      <c r="BB8" s="25"/>
      <c r="BC8" s="28"/>
    </row>
    <row r="9" ht="13.5" customHeight="1">
      <c r="A9" s="29"/>
      <c r="B9" s="30"/>
      <c r="C9" s="31"/>
      <c r="D9" s="31"/>
      <c r="E9" s="31"/>
      <c r="F9" s="31"/>
      <c r="G9" s="31"/>
      <c r="H9" s="31"/>
      <c r="I9" s="31"/>
      <c r="J9" s="31"/>
      <c r="K9" s="31"/>
      <c r="L9" s="31"/>
      <c r="M9" s="31"/>
      <c r="N9" s="31"/>
      <c r="O9" s="31"/>
      <c r="P9" s="32"/>
      <c r="Q9" s="26"/>
      <c r="R9" s="30"/>
      <c r="S9" s="31"/>
      <c r="T9" s="31"/>
      <c r="U9" s="31"/>
      <c r="V9" s="31"/>
      <c r="W9" s="31"/>
      <c r="X9" s="31"/>
      <c r="Y9" s="31"/>
      <c r="Z9" s="31"/>
      <c r="AA9" s="31"/>
      <c r="AB9" s="31"/>
      <c r="AC9" s="31"/>
      <c r="AD9" s="31"/>
      <c r="AE9" s="31"/>
      <c r="AF9" s="31"/>
      <c r="AG9" s="31"/>
      <c r="AH9" s="31"/>
      <c r="AI9" s="31"/>
      <c r="AJ9" s="31"/>
      <c r="AK9" s="31"/>
      <c r="AL9" s="31"/>
      <c r="AM9" s="31"/>
      <c r="AN9" s="31"/>
      <c r="AO9" s="32"/>
      <c r="AP9" s="27"/>
      <c r="AQ9" s="30"/>
      <c r="AR9" s="31"/>
      <c r="AS9" s="31"/>
      <c r="AT9" s="31"/>
      <c r="AU9" s="31"/>
      <c r="AV9" s="31"/>
      <c r="AW9" s="31"/>
      <c r="AX9" s="31"/>
      <c r="AY9" s="31"/>
      <c r="AZ9" s="31"/>
      <c r="BA9" s="31"/>
      <c r="BB9" s="32"/>
      <c r="BC9" s="28"/>
    </row>
    <row r="10" ht="13.5" customHeight="1">
      <c r="A10" s="22"/>
      <c r="B10" s="33" t="s">
        <v>9</v>
      </c>
      <c r="C10" s="34"/>
      <c r="D10" s="35"/>
      <c r="E10" s="36"/>
      <c r="F10" s="34"/>
      <c r="G10" s="34"/>
      <c r="H10" s="34"/>
      <c r="I10" s="34"/>
      <c r="J10" s="34"/>
      <c r="K10" s="34"/>
      <c r="L10" s="34"/>
      <c r="M10" s="34"/>
      <c r="N10" s="34"/>
      <c r="O10" s="34"/>
      <c r="P10" s="35"/>
      <c r="Q10" s="26"/>
      <c r="R10" s="37" t="s">
        <v>10</v>
      </c>
      <c r="S10" s="24"/>
      <c r="T10" s="24"/>
      <c r="U10" s="25"/>
      <c r="V10" s="38"/>
      <c r="W10" s="25"/>
      <c r="X10" s="39">
        <f>Int(DIVIDE(V10,2))</f>
        <v>0</v>
      </c>
      <c r="Y10" s="35"/>
      <c r="Z10" s="40" t="s">
        <v>11</v>
      </c>
      <c r="AA10" s="24"/>
      <c r="AB10" s="24"/>
      <c r="AC10" s="25"/>
      <c r="AD10" s="38"/>
      <c r="AE10" s="25"/>
      <c r="AF10" s="39">
        <f>Int(DIVIDE(AD10,2))</f>
        <v>0</v>
      </c>
      <c r="AG10" s="35"/>
      <c r="AH10" s="40" t="s">
        <v>12</v>
      </c>
      <c r="AI10" s="24"/>
      <c r="AJ10" s="24"/>
      <c r="AK10" s="25"/>
      <c r="AL10" s="38"/>
      <c r="AM10" s="25"/>
      <c r="AN10" s="39">
        <f>Int(DIVIDE(AL10,2))</f>
        <v>0</v>
      </c>
      <c r="AO10" s="35"/>
      <c r="AP10" s="28"/>
      <c r="AQ10" s="290"/>
      <c r="BB10" s="15"/>
      <c r="BC10" s="3"/>
    </row>
    <row r="11" ht="13.5" customHeight="1">
      <c r="A11" s="22"/>
      <c r="B11" s="33" t="s">
        <v>13</v>
      </c>
      <c r="C11" s="34"/>
      <c r="D11" s="35"/>
      <c r="E11" s="42"/>
      <c r="F11" s="34"/>
      <c r="G11" s="34"/>
      <c r="H11" s="34"/>
      <c r="I11" s="34"/>
      <c r="J11" s="34"/>
      <c r="K11" s="34"/>
      <c r="L11" s="34"/>
      <c r="M11" s="34"/>
      <c r="N11" s="34"/>
      <c r="O11" s="34"/>
      <c r="P11" s="35"/>
      <c r="Q11" s="26"/>
      <c r="R11" s="30"/>
      <c r="S11" s="31"/>
      <c r="T11" s="31"/>
      <c r="U11" s="32"/>
      <c r="V11" s="30"/>
      <c r="W11" s="32"/>
      <c r="X11" s="43">
        <f>int(DIVIDE(V10,5))</f>
        <v>0</v>
      </c>
      <c r="Y11" s="35"/>
      <c r="Z11" s="30"/>
      <c r="AA11" s="31"/>
      <c r="AB11" s="31"/>
      <c r="AC11" s="32"/>
      <c r="AD11" s="30"/>
      <c r="AE11" s="32"/>
      <c r="AF11" s="43">
        <f>int(DIVIDE(AD10,5))</f>
        <v>0</v>
      </c>
      <c r="AG11" s="35"/>
      <c r="AH11" s="30"/>
      <c r="AI11" s="31"/>
      <c r="AJ11" s="31"/>
      <c r="AK11" s="32"/>
      <c r="AL11" s="30"/>
      <c r="AM11" s="32"/>
      <c r="AN11" s="43">
        <f>int(DIVIDE(AL10,5))</f>
        <v>0</v>
      </c>
      <c r="AO11" s="35"/>
      <c r="AP11" s="28"/>
      <c r="AQ11" s="9"/>
      <c r="BB11" s="15"/>
      <c r="BC11" s="2"/>
    </row>
    <row r="12" ht="13.5" customHeight="1">
      <c r="A12" s="22"/>
      <c r="B12" s="44" t="s">
        <v>14</v>
      </c>
      <c r="C12" s="34"/>
      <c r="D12" s="35"/>
      <c r="E12" s="45" t="s">
        <v>164</v>
      </c>
      <c r="J12" s="46" t="s">
        <v>16</v>
      </c>
      <c r="K12" s="35"/>
      <c r="L12" s="36"/>
      <c r="M12" s="34"/>
      <c r="N12" s="34"/>
      <c r="O12" s="34"/>
      <c r="P12" s="35"/>
      <c r="Q12" s="26"/>
      <c r="R12" s="37" t="s">
        <v>17</v>
      </c>
      <c r="S12" s="24"/>
      <c r="T12" s="24"/>
      <c r="U12" s="25"/>
      <c r="V12" s="38"/>
      <c r="W12" s="25"/>
      <c r="X12" s="39">
        <f>Int(DIVIDE(V12,2))</f>
        <v>0</v>
      </c>
      <c r="Y12" s="35"/>
      <c r="Z12" s="37" t="s">
        <v>18</v>
      </c>
      <c r="AA12" s="24"/>
      <c r="AB12" s="24"/>
      <c r="AC12" s="25"/>
      <c r="AD12" s="38"/>
      <c r="AE12" s="25"/>
      <c r="AF12" s="39">
        <f>Int(DIVIDE(AD12,2))</f>
        <v>0</v>
      </c>
      <c r="AG12" s="35"/>
      <c r="AH12" s="40" t="s">
        <v>19</v>
      </c>
      <c r="AI12" s="24"/>
      <c r="AJ12" s="24"/>
      <c r="AK12" s="25"/>
      <c r="AL12" s="38"/>
      <c r="AM12" s="25"/>
      <c r="AN12" s="39">
        <f>Int(DIVIDE(AL12,2))</f>
        <v>0</v>
      </c>
      <c r="AO12" s="35"/>
      <c r="AP12" s="28"/>
      <c r="AQ12" s="9"/>
      <c r="BB12" s="15"/>
      <c r="BC12" s="3"/>
    </row>
    <row r="13" ht="13.5" customHeight="1">
      <c r="A13" s="22"/>
      <c r="B13" s="33" t="s">
        <v>20</v>
      </c>
      <c r="C13" s="34"/>
      <c r="D13" s="35"/>
      <c r="E13" s="47"/>
      <c r="F13" s="34"/>
      <c r="G13" s="34"/>
      <c r="H13" s="34"/>
      <c r="I13" s="35"/>
      <c r="J13" s="48" t="s">
        <v>21</v>
      </c>
      <c r="K13" s="35"/>
      <c r="L13" s="36"/>
      <c r="M13" s="34"/>
      <c r="N13" s="34"/>
      <c r="O13" s="34"/>
      <c r="P13" s="35"/>
      <c r="Q13" s="26"/>
      <c r="R13" s="30"/>
      <c r="S13" s="31"/>
      <c r="T13" s="31"/>
      <c r="U13" s="32"/>
      <c r="V13" s="30"/>
      <c r="W13" s="32"/>
      <c r="X13" s="43">
        <f>int(DIVIDE(V12,5))</f>
        <v>0</v>
      </c>
      <c r="Y13" s="35"/>
      <c r="Z13" s="30"/>
      <c r="AA13" s="31"/>
      <c r="AB13" s="31"/>
      <c r="AC13" s="32"/>
      <c r="AD13" s="30"/>
      <c r="AE13" s="32"/>
      <c r="AF13" s="43">
        <f>int(DIVIDE(AD12,5))</f>
        <v>0</v>
      </c>
      <c r="AG13" s="35"/>
      <c r="AH13" s="30"/>
      <c r="AI13" s="31"/>
      <c r="AJ13" s="31"/>
      <c r="AK13" s="32"/>
      <c r="AL13" s="30"/>
      <c r="AM13" s="32"/>
      <c r="AN13" s="43">
        <f>int(DIVIDE(AL12,5))</f>
        <v>0</v>
      </c>
      <c r="AO13" s="35"/>
      <c r="AP13" s="28"/>
      <c r="AQ13" s="9"/>
      <c r="BB13" s="15"/>
      <c r="BC13" s="3"/>
    </row>
    <row r="14" ht="13.5" customHeight="1">
      <c r="A14" s="22"/>
      <c r="B14" s="33" t="s">
        <v>22</v>
      </c>
      <c r="C14" s="34"/>
      <c r="D14" s="35"/>
      <c r="E14" s="47"/>
      <c r="F14" s="34"/>
      <c r="G14" s="34"/>
      <c r="H14" s="34"/>
      <c r="I14" s="35"/>
      <c r="J14" s="48" t="s">
        <v>23</v>
      </c>
      <c r="K14" s="35"/>
      <c r="L14" s="36"/>
      <c r="M14" s="34"/>
      <c r="N14" s="34"/>
      <c r="O14" s="34"/>
      <c r="P14" s="35"/>
      <c r="Q14" s="26"/>
      <c r="R14" s="37" t="s">
        <v>24</v>
      </c>
      <c r="S14" s="24"/>
      <c r="T14" s="24"/>
      <c r="U14" s="25"/>
      <c r="V14" s="38"/>
      <c r="W14" s="25"/>
      <c r="X14" s="49">
        <f>Int(DIVIDE(V14,2))</f>
        <v>0</v>
      </c>
      <c r="Y14" s="35"/>
      <c r="Z14" s="40" t="s">
        <v>25</v>
      </c>
      <c r="AA14" s="24"/>
      <c r="AB14" s="24"/>
      <c r="AC14" s="25"/>
      <c r="AD14" s="38"/>
      <c r="AE14" s="25"/>
      <c r="AF14" s="49">
        <f>Int(DIVIDE(AD14,2))</f>
        <v>0</v>
      </c>
      <c r="AG14" s="35"/>
      <c r="AH14" s="37" t="s">
        <v>26</v>
      </c>
      <c r="AI14" s="24"/>
      <c r="AJ14" s="24"/>
      <c r="AK14" s="25"/>
      <c r="AL14" s="38"/>
      <c r="AM14" s="25"/>
      <c r="AN14" s="49">
        <f>Int(DIVIDE(AL14,2))</f>
        <v>0</v>
      </c>
      <c r="AO14" s="35"/>
      <c r="AP14" s="28"/>
      <c r="AQ14" s="9"/>
      <c r="BB14" s="15"/>
      <c r="BC14" s="3"/>
    </row>
    <row r="15" ht="13.5" customHeight="1">
      <c r="A15" s="22"/>
      <c r="B15" s="33" t="s">
        <v>27</v>
      </c>
      <c r="C15" s="34"/>
      <c r="D15" s="35"/>
      <c r="E15" s="47"/>
      <c r="F15" s="34"/>
      <c r="G15" s="34"/>
      <c r="H15" s="34"/>
      <c r="I15" s="35"/>
      <c r="J15" s="48" t="s">
        <v>28</v>
      </c>
      <c r="K15" s="35"/>
      <c r="L15" s="36"/>
      <c r="M15" s="34"/>
      <c r="N15" s="34"/>
      <c r="O15" s="34"/>
      <c r="P15" s="35"/>
      <c r="Q15" s="26"/>
      <c r="R15" s="30"/>
      <c r="S15" s="31"/>
      <c r="T15" s="31"/>
      <c r="U15" s="32"/>
      <c r="V15" s="30"/>
      <c r="W15" s="32"/>
      <c r="X15" s="50">
        <f>int(DIVIDE(V14,5))</f>
        <v>0</v>
      </c>
      <c r="Y15" s="35"/>
      <c r="Z15" s="30"/>
      <c r="AA15" s="31"/>
      <c r="AB15" s="31"/>
      <c r="AC15" s="32"/>
      <c r="AD15" s="30"/>
      <c r="AE15" s="32"/>
      <c r="AF15" s="50">
        <f>int(DIVIDE(AD14,5))</f>
        <v>0</v>
      </c>
      <c r="AG15" s="35"/>
      <c r="AH15" s="30"/>
      <c r="AI15" s="31"/>
      <c r="AJ15" s="31"/>
      <c r="AK15" s="32"/>
      <c r="AL15" s="30"/>
      <c r="AM15" s="32"/>
      <c r="AN15" s="50">
        <f>int(DIVIDE(AL14,5))</f>
        <v>0</v>
      </c>
      <c r="AO15" s="35"/>
      <c r="AP15" s="28"/>
      <c r="AQ15" s="9"/>
      <c r="BB15" s="15"/>
      <c r="BC15" s="3"/>
    </row>
    <row r="16" ht="13.5" customHeight="1">
      <c r="A16" s="2"/>
      <c r="B16" s="51"/>
      <c r="C16" s="51"/>
      <c r="D16" s="51"/>
      <c r="E16" s="51"/>
      <c r="F16" s="51"/>
      <c r="G16" s="51"/>
      <c r="H16" s="51"/>
      <c r="I16" s="51"/>
      <c r="J16" s="51"/>
      <c r="K16" s="51"/>
      <c r="L16" s="51"/>
      <c r="M16" s="51"/>
      <c r="N16" s="51"/>
      <c r="O16" s="51"/>
      <c r="P16" s="51"/>
      <c r="Q16" s="52"/>
      <c r="R16" s="51"/>
      <c r="S16" s="51"/>
      <c r="T16" s="51"/>
      <c r="U16" s="51"/>
      <c r="V16" s="51"/>
      <c r="W16" s="51"/>
      <c r="X16" s="51"/>
      <c r="Y16" s="51"/>
      <c r="Z16" s="51"/>
      <c r="AA16" s="51"/>
      <c r="AB16" s="51"/>
      <c r="AC16" s="53"/>
      <c r="AD16" s="53"/>
      <c r="AE16" s="53"/>
      <c r="AF16" s="53"/>
      <c r="AG16" s="53"/>
      <c r="AH16" s="53"/>
      <c r="AI16" s="53"/>
      <c r="AJ16" s="53"/>
      <c r="AK16" s="53"/>
      <c r="AL16" s="53"/>
      <c r="AM16" s="53"/>
      <c r="AN16" s="53"/>
      <c r="AO16" s="53"/>
      <c r="AP16" s="3"/>
      <c r="AQ16" s="9"/>
      <c r="BB16" s="15"/>
      <c r="BC16" s="3"/>
    </row>
    <row r="17" ht="13.5" customHeight="1">
      <c r="A17" s="22"/>
      <c r="B17" s="54" t="s">
        <v>29</v>
      </c>
      <c r="C17" s="5"/>
      <c r="D17" s="5"/>
      <c r="E17" s="5"/>
      <c r="F17" s="5"/>
      <c r="G17" s="5"/>
      <c r="H17" s="5"/>
      <c r="I17" s="5"/>
      <c r="J17" s="5"/>
      <c r="K17" s="5"/>
      <c r="L17" s="5"/>
      <c r="M17" s="5"/>
      <c r="N17" s="55"/>
      <c r="O17" s="56" t="s">
        <v>30</v>
      </c>
      <c r="P17" s="5"/>
      <c r="Q17" s="5"/>
      <c r="R17" s="5"/>
      <c r="S17" s="5"/>
      <c r="T17" s="57">
        <f>IF(E12="간호사", AL12*4,
IF(E12="갱 보스", AL12*2+AD12*2,
IF(E12="건달", AL12*2+MAX(V10*2,AD10*2),
IF(E12="건 몰", AL12*2+AD12*2,
IF(E12="건축가", AL12*4,
IF(E12="경관", AL12*2+MAX(V10*2,AD10*2),
IF(E12="고고학자", AL12*4,
IF(E12="곡예사", AL12*2+AD10*2,
IF(E12="골동품상", AL12*4,
IF(E12="골동품 연구가", AL12*4,
IF(E12="과학자", AL12*4,
IF(E12="광부", AL12*2+MAX(V10*2,AD10*2),
IF(E12="광신자", AL12*2+MAX(AD12*2,AL10*2),
IF(E12="교수", AL12*4,
IF(E12="교주", AL12*2+AD12*2,
IF(E12="기술자", AL12*4,
IF(E12="기자", AL12*4,
IF(E12="깡패", AL12*2+V10*2,
IF(E12="노조 활동가", AL12*4,
IF(E12="농부", AL12*2+MAX(V10*2,AD10*2),
IF(E12="단독 범죄자", AL12*2+MAX(AD10*2,AD12*2),
IF(E12="대학생", AL12*4,
IF(E12="도둑", AL12*2+AD10*2,
IF(E12="도박사", AL12*2+MAX(AD10*2,AD12*2),
IF(E12="등반가", AL12*2+MAX(V10*2,AD10*2),
IF(E12="디자이너", AL12*4,
IF(E12="디프로그래머", AL12*4,
IF(E12="딜레탕트", AL12*2+AD12*2,
IF(E12="떠돌이", AL12*2+MAX(AD10*2,AD12*2),
IF(E12="리포터", AL12*4,
IF(E12="매춘부", AL12*2+AD12*2,
IF(E12="맹수사냥꾼", AL12*2+MAX(V10*2,AD10*2),
IF(E12="미술가", AL12*2+MAX(AD10*2,AL10*2),
IF(E12="밀수꾼", AL12*2+MAX(AD10*2,AD12*2),
IF(E12="밀주업자", AL12*2+V10*2,
IF(E12="바텐더", AL12*2+AD12*2,
IF(E12="박물관 큐레이터", AL12*4,
IF(E12="배우", AL12*2+AD12*2,
IF(E12="벌목꾼", AL12*2+MAX(V10*2,AD10*2),
IF(E12="법의학자", AL12*4,
IF(E12="변호사", AL12*4,
IF(E12="병사", AL12*2+MAX(V10*2,AD10*2),
IF(E12="병원 보조원", AL12*2+V10*2,
IF(E12="복서/레슬러", AL12*2+V10*2,
IF(E12="부랑자", AL12*2+MAX(AD12*2,V10*2,AD10*2),
IF(E12="부족민", AL12*2+MAX(V10*2,AD10*2),
IF(E12="부하 조직원", AL12*2+MAX(V10*2,AD10*2),
IF(E12="비서", AL12*2+MAX(AD10*2,AD12*2),
IF(E12="비숙련공", AL12*2+MAX(V10*2,AD10*2),
IF(E12="비행사", AL12*4,
IF(E12="사립탐정", AL12*2+MAX(V10*2,AD10*2),
IF(E12="사무원", AL12*4,
IF(E12="사서", AL12*4,
IF(E12="사육사", AL12*4,
IF(E12="사진가", AL12*4,
IF(E12="사진기자", AL12*4,
IF(E12="서적상", AL12*4,
IF(E12="선교사", AL12*2+AD12*2,
IF(E12="선원", AL12*2+MAX(V10*2,AD10*2),
IF(E12="선출직 공무원", AL12*2+AD12*2,
IF(E12="성직자", AL12*4,
IF(E12="소방관", AL12*2+MAX(V10*2,AD10*2),
IF(E12="수병", AL12*2+MAX(V10*2,AD10*2),
IF(E12="스턴트맨", AL12*2+MAX(V10*2,AD10*2),
IF(E12="스턴트우먼", AL12*2+MAX(V10*2,AD10*2),
IF(E12="스파이", AL12*2+MAX(AD10*2,AD12*2),
IF(E12="신비학자", AL12*4,
IF(E12="신사/숙녀", AL12*2+AD12*2,
IF(E12="심령학자", AL12*4,
IF(E12="심리학자", AL12*4,
IF(E12="약사", AL12*4,
IF(E12="엔지니어", AL12*4,
IF(E12="연구실 조수", AL12*4,
IF(E12="연구자", AL12*4,
IF(E12="연방 요원", AL12*4,
IF(E12="연예인", AL12*2+AD12*2,
IF(E12="연주자", AL12*2+MAX(AD10*2,AD12*2),
IF(E12="외신 기자", AL12*4,
IF(E12="운동선수", AL12*2+MAX(V10*2,AD10*2),
IF(E12="운전사", AL12*2+MAX(V10*2,AD10*2),
IF(E12="웨이터", AL12*2+MAX(AD10*2,AD12*2),
IF(E12="웨이트리스", AL12*2+MAX(AD10*2,AD12*2),
IF(E12="위조업자", AL12*4,
IF(E12="은행강도", AL12*2+MAX(V10*2,AD10*2),
IF(E12="의사", AL12*4,
IF(E12="인턴", AL12*4,
IF(E12="자객", AL12*2+MAX(V10*2,AD10*2),
IF(E12="자연 애호가", ,
IF(E12="작가", AL12*4,
IF(E12="잠수부", AL12*2+AD10*2,
IF(E12="장교", AL12*2+MAX(V10*2,AD10*2),
IF(E12="장물아비", AL12*2+AD12*2,
IF(E12="장의사", AL12*4,
IF(E12="장인", AL12*2+AD10*2,
IF(E12="전속 기사", AL12*2+AD10*2,
IF(E12="점장", AL12*2+MAX(AD10*2,AD12*2),
IF(E12="정신감정사", AL12*4,
IF(E12="정신과 의사", AL12*4,
IF(E12="정신병원 직원", AL12*2+MAX(V10*2,AD10*2),
IF(E12="정신분석가", AL12*4,
IF(E12="조련사", AL12*2+MAX(AD12*2,AL10*2),
IF(E12="조종사", AL12*2+AD10*2,
IF(E12="중상급 관리자", AL12*4,
IF(E12="집사", AL12*4,
IF(E12="카우걸/카우보이", AL12*2+MAX(V10*2,AD10*2),
IF(E12="컴퓨터 테크니션", AL12*4,
IF(E12="탐광인", AL12*2+MAX(V10*2,AD10*2),
IF(E12="탐험가", AL12*2+MAX(AD12*2,V10*2,AD10*2),
IF(E12="택시 운전사", AL12*2+AD10*2,
IF(E12="판매원", AL12*2+AD12*2,
IF(E12="판사", AL12*4,
IF(E12="편집자", AL12*4,
IF(E12="폭력배", AL12*2+V10*2,
IF(E12="프로그래머", AL12*4,
IF(E12="하녀", AL12*4,
IF(E12="하인", AL12*4,
IF(E12="해커", AL12*4,
IF(E12="현상금 사냥꾼", AL12*2+MAX(V10*2,AD10*2),
IF(E12="형사", AL12*2+MAX(V10*2,AD10*2),
IF(E12="회계사", AL12*4,
IF(E12="ETC", AL12*4,
IF(E12="회사 탐정", AL12*2+MAX(V10*2,AD10*2),"0"))))))))))))))))))))))))))))))))))))))))))))))))))))))))))))))))))))))))))))))))))))))))))))))))))))))))))))))))))))))))))</f>
        <v>0</v>
      </c>
      <c r="U17" s="5"/>
      <c r="V17" s="5"/>
      <c r="W17" s="7"/>
      <c r="X17" s="56" t="s">
        <v>31</v>
      </c>
      <c r="Y17" s="5"/>
      <c r="Z17" s="5"/>
      <c r="AA17" s="5"/>
      <c r="AB17" s="5"/>
      <c r="AC17" s="57">
        <f>(AD14*2)</f>
        <v>0</v>
      </c>
      <c r="AD17" s="5"/>
      <c r="AE17" s="5"/>
      <c r="AF17" s="5"/>
      <c r="AG17" s="7"/>
      <c r="AH17" s="56" t="s">
        <v>32</v>
      </c>
      <c r="AI17" s="5"/>
      <c r="AJ17" s="5"/>
      <c r="AK17" s="5"/>
      <c r="AL17" s="57">
        <f>(SUM(T17,AC17))-(SUM(H19:H36,R19:R36,AB19:AB36,AL19:AL36))+AY61+AB19</f>
        <v>0</v>
      </c>
      <c r="AM17" s="5"/>
      <c r="AN17" s="5"/>
      <c r="AO17" s="7"/>
      <c r="AP17" s="28"/>
      <c r="AQ17" s="9"/>
      <c r="BB17" s="15"/>
      <c r="BC17" s="3"/>
    </row>
    <row r="18" ht="13.5" customHeight="1">
      <c r="A18" s="22"/>
      <c r="B18" s="10"/>
      <c r="C18" s="11"/>
      <c r="D18" s="11"/>
      <c r="E18" s="11"/>
      <c r="F18" s="11"/>
      <c r="G18" s="11"/>
      <c r="H18" s="11"/>
      <c r="I18" s="11"/>
      <c r="J18" s="11"/>
      <c r="K18" s="11"/>
      <c r="L18" s="11"/>
      <c r="M18" s="11"/>
      <c r="N18" s="58"/>
      <c r="O18" s="10"/>
      <c r="P18" s="11"/>
      <c r="Q18" s="11"/>
      <c r="R18" s="11"/>
      <c r="S18" s="11"/>
      <c r="T18" s="59"/>
      <c r="U18" s="11"/>
      <c r="V18" s="11"/>
      <c r="W18" s="12"/>
      <c r="X18" s="10"/>
      <c r="Y18" s="11"/>
      <c r="Z18" s="11"/>
      <c r="AA18" s="11"/>
      <c r="AB18" s="11"/>
      <c r="AC18" s="59"/>
      <c r="AD18" s="11"/>
      <c r="AE18" s="11"/>
      <c r="AF18" s="11"/>
      <c r="AG18" s="12"/>
      <c r="AH18" s="10"/>
      <c r="AI18" s="11"/>
      <c r="AJ18" s="11"/>
      <c r="AK18" s="11"/>
      <c r="AL18" s="59"/>
      <c r="AM18" s="11"/>
      <c r="AN18" s="11"/>
      <c r="AO18" s="12"/>
      <c r="AP18" s="60"/>
      <c r="AQ18" s="9"/>
      <c r="BB18" s="15"/>
      <c r="BC18" s="3"/>
    </row>
    <row r="19" ht="16.5" customHeight="1">
      <c r="A19" s="22"/>
      <c r="B19" s="291" t="s">
        <v>33</v>
      </c>
      <c r="C19" s="62" t="s">
        <v>34</v>
      </c>
      <c r="D19" s="63"/>
      <c r="E19" s="63"/>
      <c r="F19" s="64"/>
      <c r="G19" s="65">
        <v>25.0</v>
      </c>
      <c r="H19" s="66"/>
      <c r="I19" s="67">
        <f t="shared" ref="I19:I36" si="1">SUM(G19,H19)</f>
        <v>25</v>
      </c>
      <c r="J19" s="68">
        <f>int(DIVIDE(I19,2))</f>
        <v>12</v>
      </c>
      <c r="K19" s="69">
        <f t="shared" ref="K19:K36" si="2">int(DIVIDE(I19,5))</f>
        <v>5</v>
      </c>
      <c r="L19" s="70" t="s">
        <v>33</v>
      </c>
      <c r="M19" s="71" t="s">
        <v>35</v>
      </c>
      <c r="N19" s="63"/>
      <c r="O19" s="63"/>
      <c r="P19" s="64"/>
      <c r="Q19" s="65">
        <v>0.0</v>
      </c>
      <c r="R19" s="72"/>
      <c r="S19" s="67">
        <f t="shared" ref="S19:S36" si="3">SUM(Q19,R19)</f>
        <v>0</v>
      </c>
      <c r="T19" s="73">
        <f t="shared" ref="T19:T36" si="4">Int(DIVIDE(S19,2))</f>
        <v>0</v>
      </c>
      <c r="U19" s="74">
        <f t="shared" ref="U19:U36" si="5">int(DIVIDE(S19,5))</f>
        <v>0</v>
      </c>
      <c r="V19" s="70" t="s">
        <v>33</v>
      </c>
      <c r="W19" s="71" t="s">
        <v>36</v>
      </c>
      <c r="X19" s="63"/>
      <c r="Y19" s="63"/>
      <c r="Z19" s="64"/>
      <c r="AA19" s="65">
        <v>0.0</v>
      </c>
      <c r="AB19" s="292"/>
      <c r="AC19" s="67">
        <f t="shared" ref="AC19:AC36" si="6">SUM(AA19,AB19)</f>
        <v>0</v>
      </c>
      <c r="AD19" s="73">
        <f t="shared" ref="AD19:AD36" si="7">Int(DIVIDE(AC19,2))</f>
        <v>0</v>
      </c>
      <c r="AE19" s="74">
        <f t="shared" ref="AE19:AE36" si="8">int(DIVIDE(AC19,5))</f>
        <v>0</v>
      </c>
      <c r="AF19" s="70" t="s">
        <v>33</v>
      </c>
      <c r="AG19" s="71" t="s">
        <v>37</v>
      </c>
      <c r="AH19" s="63"/>
      <c r="AI19" s="63"/>
      <c r="AJ19" s="64"/>
      <c r="AK19" s="76">
        <v>1.0</v>
      </c>
      <c r="AL19" s="77"/>
      <c r="AM19" s="78">
        <f t="shared" ref="AM19:AM36" si="9">SUM(AK19,AL19)</f>
        <v>1</v>
      </c>
      <c r="AN19" s="68">
        <f t="shared" ref="AN19:AN36" si="10">Int(DIVIDE(AM19,2))</f>
        <v>0</v>
      </c>
      <c r="AO19" s="79">
        <f t="shared" ref="AO19:AO36" si="11">int(DIVIDE(AM19,5))</f>
        <v>0</v>
      </c>
      <c r="AP19" s="60"/>
      <c r="AQ19" s="10"/>
      <c r="AR19" s="11"/>
      <c r="AS19" s="11"/>
      <c r="AT19" s="11"/>
      <c r="AU19" s="11"/>
      <c r="AV19" s="11"/>
      <c r="AW19" s="11"/>
      <c r="AX19" s="11"/>
      <c r="AY19" s="11"/>
      <c r="AZ19" s="11"/>
      <c r="BA19" s="11"/>
      <c r="BB19" s="12"/>
      <c r="BC19" s="3"/>
    </row>
    <row r="20" ht="16.5" customHeight="1">
      <c r="A20" s="22"/>
      <c r="B20" s="100" t="s">
        <v>33</v>
      </c>
      <c r="C20" s="81" t="s">
        <v>38</v>
      </c>
      <c r="D20" s="82"/>
      <c r="E20" s="82"/>
      <c r="F20" s="83"/>
      <c r="G20" s="84">
        <v>20.0</v>
      </c>
      <c r="H20" s="85"/>
      <c r="I20" s="86">
        <f t="shared" si="1"/>
        <v>20</v>
      </c>
      <c r="J20" s="87">
        <f t="shared" ref="J20:J22" si="12">Int(DIVIDE(I20,2))</f>
        <v>10</v>
      </c>
      <c r="K20" s="88">
        <f t="shared" si="2"/>
        <v>4</v>
      </c>
      <c r="L20" s="89" t="s">
        <v>33</v>
      </c>
      <c r="M20" s="90" t="s">
        <v>39</v>
      </c>
      <c r="N20" s="82"/>
      <c r="O20" s="82"/>
      <c r="P20" s="83"/>
      <c r="Q20" s="84">
        <v>5.0</v>
      </c>
      <c r="R20" s="91"/>
      <c r="S20" s="86">
        <f t="shared" si="3"/>
        <v>5</v>
      </c>
      <c r="T20" s="92">
        <f t="shared" si="4"/>
        <v>2</v>
      </c>
      <c r="U20" s="93">
        <f t="shared" si="5"/>
        <v>1</v>
      </c>
      <c r="V20" s="94" t="s">
        <v>33</v>
      </c>
      <c r="W20" s="90" t="s">
        <v>40</v>
      </c>
      <c r="X20" s="82"/>
      <c r="Y20" s="82"/>
      <c r="Z20" s="83"/>
      <c r="AA20" s="84">
        <v>5.0</v>
      </c>
      <c r="AB20" s="85"/>
      <c r="AC20" s="86">
        <f t="shared" si="6"/>
        <v>5</v>
      </c>
      <c r="AD20" s="92">
        <f t="shared" si="7"/>
        <v>2</v>
      </c>
      <c r="AE20" s="93">
        <f t="shared" si="8"/>
        <v>1</v>
      </c>
      <c r="AF20" s="89" t="s">
        <v>33</v>
      </c>
      <c r="AG20" s="90" t="s">
        <v>41</v>
      </c>
      <c r="AH20" s="82"/>
      <c r="AI20" s="82"/>
      <c r="AJ20" s="83"/>
      <c r="AK20" s="95">
        <v>30.0</v>
      </c>
      <c r="AL20" s="85"/>
      <c r="AM20" s="96">
        <f t="shared" si="9"/>
        <v>30</v>
      </c>
      <c r="AN20" s="87">
        <f t="shared" si="10"/>
        <v>15</v>
      </c>
      <c r="AO20" s="97">
        <f t="shared" si="11"/>
        <v>6</v>
      </c>
      <c r="AP20" s="28"/>
      <c r="AQ20" s="98"/>
      <c r="AR20" s="98"/>
      <c r="AS20" s="98"/>
      <c r="AT20" s="98"/>
      <c r="AU20" s="98"/>
      <c r="AV20" s="98"/>
      <c r="AW20" s="98"/>
      <c r="AX20" s="98"/>
      <c r="AY20" s="98"/>
      <c r="AZ20" s="98"/>
      <c r="BA20" s="98"/>
      <c r="BB20" s="98"/>
      <c r="BC20" s="3"/>
    </row>
    <row r="21" ht="16.5" customHeight="1">
      <c r="A21" s="22"/>
      <c r="B21" s="100" t="s">
        <v>33</v>
      </c>
      <c r="C21" s="81" t="s">
        <v>42</v>
      </c>
      <c r="D21" s="82"/>
      <c r="E21" s="82"/>
      <c r="F21" s="83"/>
      <c r="G21" s="84">
        <v>20.0</v>
      </c>
      <c r="H21" s="85"/>
      <c r="I21" s="86">
        <f t="shared" si="1"/>
        <v>20</v>
      </c>
      <c r="J21" s="87">
        <f t="shared" si="12"/>
        <v>10</v>
      </c>
      <c r="K21" s="88">
        <f t="shared" si="2"/>
        <v>4</v>
      </c>
      <c r="L21" s="89" t="s">
        <v>33</v>
      </c>
      <c r="M21" s="90" t="s">
        <v>43</v>
      </c>
      <c r="N21" s="82"/>
      <c r="O21" s="82"/>
      <c r="P21" s="83"/>
      <c r="Q21" s="84">
        <v>10.0</v>
      </c>
      <c r="R21" s="91"/>
      <c r="S21" s="86">
        <f t="shared" si="3"/>
        <v>10</v>
      </c>
      <c r="T21" s="92">
        <f t="shared" si="4"/>
        <v>5</v>
      </c>
      <c r="U21" s="93">
        <f t="shared" si="5"/>
        <v>2</v>
      </c>
      <c r="V21" s="89" t="s">
        <v>33</v>
      </c>
      <c r="W21" s="90" t="s">
        <v>44</v>
      </c>
      <c r="X21" s="82"/>
      <c r="Y21" s="82"/>
      <c r="Z21" s="83"/>
      <c r="AA21" s="84">
        <v>1.0</v>
      </c>
      <c r="AB21" s="91"/>
      <c r="AC21" s="86">
        <f t="shared" si="6"/>
        <v>1</v>
      </c>
      <c r="AD21" s="92">
        <f t="shared" si="7"/>
        <v>0</v>
      </c>
      <c r="AE21" s="93">
        <f t="shared" si="8"/>
        <v>0</v>
      </c>
      <c r="AF21" s="89" t="s">
        <v>33</v>
      </c>
      <c r="AG21" s="90" t="s">
        <v>45</v>
      </c>
      <c r="AH21" s="82"/>
      <c r="AI21" s="82"/>
      <c r="AJ21" s="83"/>
      <c r="AK21" s="95">
        <v>10.0</v>
      </c>
      <c r="AL21" s="91"/>
      <c r="AM21" s="96">
        <f t="shared" si="9"/>
        <v>10</v>
      </c>
      <c r="AN21" s="87">
        <f t="shared" si="10"/>
        <v>5</v>
      </c>
      <c r="AO21" s="97">
        <f t="shared" si="11"/>
        <v>2</v>
      </c>
      <c r="AP21" s="99"/>
      <c r="AQ21" s="54" t="s">
        <v>46</v>
      </c>
      <c r="AR21" s="5"/>
      <c r="AS21" s="5"/>
      <c r="AT21" s="5"/>
      <c r="AU21" s="5"/>
      <c r="AV21" s="5"/>
      <c r="AW21" s="5"/>
      <c r="AX21" s="5"/>
      <c r="AY21" s="5"/>
      <c r="AZ21" s="5"/>
      <c r="BA21" s="5"/>
      <c r="BB21" s="7"/>
      <c r="BC21" s="3"/>
    </row>
    <row r="22" ht="16.5" customHeight="1">
      <c r="A22" s="22"/>
      <c r="B22" s="100" t="s">
        <v>33</v>
      </c>
      <c r="C22" s="81" t="s">
        <v>47</v>
      </c>
      <c r="D22" s="82"/>
      <c r="E22" s="82"/>
      <c r="F22" s="83"/>
      <c r="G22" s="84">
        <v>5.0</v>
      </c>
      <c r="H22" s="85"/>
      <c r="I22" s="86">
        <f t="shared" si="1"/>
        <v>5</v>
      </c>
      <c r="J22" s="87">
        <f t="shared" si="12"/>
        <v>2</v>
      </c>
      <c r="K22" s="88">
        <f t="shared" si="2"/>
        <v>1</v>
      </c>
      <c r="L22" s="89" t="s">
        <v>33</v>
      </c>
      <c r="M22" s="102" t="s">
        <v>48</v>
      </c>
      <c r="N22" s="82"/>
      <c r="O22" s="82"/>
      <c r="P22" s="83"/>
      <c r="Q22" s="84">
        <v>1.0</v>
      </c>
      <c r="R22" s="85"/>
      <c r="S22" s="86">
        <f t="shared" si="3"/>
        <v>1</v>
      </c>
      <c r="T22" s="92">
        <f t="shared" si="4"/>
        <v>0</v>
      </c>
      <c r="U22" s="93">
        <f t="shared" si="5"/>
        <v>0</v>
      </c>
      <c r="V22" s="89" t="s">
        <v>33</v>
      </c>
      <c r="W22" s="90" t="s">
        <v>49</v>
      </c>
      <c r="X22" s="82"/>
      <c r="Y22" s="82"/>
      <c r="Z22" s="83"/>
      <c r="AA22" s="84">
        <v>10.0</v>
      </c>
      <c r="AB22" s="85"/>
      <c r="AC22" s="86">
        <f t="shared" si="6"/>
        <v>10</v>
      </c>
      <c r="AD22" s="92">
        <f t="shared" si="7"/>
        <v>5</v>
      </c>
      <c r="AE22" s="93">
        <f t="shared" si="8"/>
        <v>2</v>
      </c>
      <c r="AF22" s="89" t="s">
        <v>33</v>
      </c>
      <c r="AG22" s="90" t="s">
        <v>50</v>
      </c>
      <c r="AH22" s="82"/>
      <c r="AI22" s="82"/>
      <c r="AJ22" s="83"/>
      <c r="AK22" s="95">
        <v>20.0</v>
      </c>
      <c r="AL22" s="85"/>
      <c r="AM22" s="96">
        <f t="shared" si="9"/>
        <v>20</v>
      </c>
      <c r="AN22" s="87">
        <f t="shared" si="10"/>
        <v>10</v>
      </c>
      <c r="AO22" s="97">
        <f t="shared" si="11"/>
        <v>4</v>
      </c>
      <c r="AP22" s="28"/>
      <c r="AQ22" s="10"/>
      <c r="AR22" s="11"/>
      <c r="AS22" s="11"/>
      <c r="AT22" s="11"/>
      <c r="AU22" s="11"/>
      <c r="AV22" s="11"/>
      <c r="AW22" s="11"/>
      <c r="AX22" s="11"/>
      <c r="AY22" s="11"/>
      <c r="AZ22" s="11"/>
      <c r="BA22" s="11"/>
      <c r="BB22" s="12"/>
      <c r="BC22" s="3"/>
    </row>
    <row r="23" ht="16.5" customHeight="1">
      <c r="A23" s="22"/>
      <c r="B23" s="100" t="s">
        <v>33</v>
      </c>
      <c r="C23" s="81" t="s">
        <v>51</v>
      </c>
      <c r="D23" s="82"/>
      <c r="E23" s="82"/>
      <c r="F23" s="83"/>
      <c r="G23" s="84">
        <v>1.0</v>
      </c>
      <c r="H23" s="85"/>
      <c r="I23" s="86">
        <f t="shared" si="1"/>
        <v>1</v>
      </c>
      <c r="J23" s="87">
        <f>int(DIVIDE(I23,2))</f>
        <v>0</v>
      </c>
      <c r="K23" s="88">
        <f t="shared" si="2"/>
        <v>0</v>
      </c>
      <c r="L23" s="89" t="s">
        <v>33</v>
      </c>
      <c r="M23" s="103"/>
      <c r="N23" s="82"/>
      <c r="O23" s="82"/>
      <c r="P23" s="83"/>
      <c r="Q23" s="84"/>
      <c r="R23" s="91"/>
      <c r="S23" s="86">
        <f t="shared" si="3"/>
        <v>0</v>
      </c>
      <c r="T23" s="92">
        <f t="shared" si="4"/>
        <v>0</v>
      </c>
      <c r="U23" s="93">
        <f t="shared" si="5"/>
        <v>0</v>
      </c>
      <c r="V23" s="89" t="s">
        <v>33</v>
      </c>
      <c r="W23" s="90" t="s">
        <v>52</v>
      </c>
      <c r="X23" s="82"/>
      <c r="Y23" s="82"/>
      <c r="Z23" s="83"/>
      <c r="AA23" s="84">
        <v>15.0</v>
      </c>
      <c r="AB23" s="91"/>
      <c r="AC23" s="86">
        <f t="shared" si="6"/>
        <v>15</v>
      </c>
      <c r="AD23" s="92">
        <f t="shared" si="7"/>
        <v>7</v>
      </c>
      <c r="AE23" s="93">
        <f t="shared" si="8"/>
        <v>3</v>
      </c>
      <c r="AF23" s="89" t="s">
        <v>33</v>
      </c>
      <c r="AG23" s="90" t="s">
        <v>53</v>
      </c>
      <c r="AH23" s="82"/>
      <c r="AI23" s="82"/>
      <c r="AJ23" s="83"/>
      <c r="AK23" s="95">
        <v>20.0</v>
      </c>
      <c r="AL23" s="85"/>
      <c r="AM23" s="96">
        <f t="shared" si="9"/>
        <v>20</v>
      </c>
      <c r="AN23" s="87">
        <f t="shared" si="10"/>
        <v>10</v>
      </c>
      <c r="AO23" s="97">
        <f t="shared" si="11"/>
        <v>4</v>
      </c>
      <c r="AP23" s="28"/>
      <c r="AQ23" s="104" t="s">
        <v>54</v>
      </c>
      <c r="AR23" s="105"/>
      <c r="AS23" s="105"/>
      <c r="AT23" s="105"/>
      <c r="AU23" s="105"/>
      <c r="AV23" s="105"/>
      <c r="AW23" s="106">
        <f>if((V10+V14)&lt;=64,-2,if((V10+V14)&lt;=84,-1,if((V10+V14)&lt;=124,0,if((V10+V14)&lt;=164,"+1D4",if((V10+V14)&lt;=204,"+1D6",if((V10+V14)&lt;=284,"+2D6",if((V10+V14)&lt;=20364,"+3D6",if((V10+V14)&lt;=444,"+4D6",if((V10+V14)&lt;=524,"+5D6")))))))))
</f>
        <v>-2</v>
      </c>
      <c r="AX23" s="105"/>
      <c r="AY23" s="105"/>
      <c r="AZ23" s="105"/>
      <c r="BA23" s="105"/>
      <c r="BB23" s="107"/>
      <c r="BC23" s="3"/>
    </row>
    <row r="24" ht="16.5" customHeight="1">
      <c r="A24" s="22"/>
      <c r="B24" s="100" t="s">
        <v>33</v>
      </c>
      <c r="C24" s="81" t="s">
        <v>55</v>
      </c>
      <c r="D24" s="82"/>
      <c r="E24" s="82"/>
      <c r="F24" s="83"/>
      <c r="G24" s="84">
        <v>10.0</v>
      </c>
      <c r="H24" s="85"/>
      <c r="I24" s="86">
        <f t="shared" si="1"/>
        <v>10</v>
      </c>
      <c r="J24" s="87">
        <f t="shared" ref="J24:J26" si="13">Int(DIVIDE(I24,2))</f>
        <v>5</v>
      </c>
      <c r="K24" s="88">
        <f t="shared" si="2"/>
        <v>2</v>
      </c>
      <c r="L24" s="89" t="s">
        <v>33</v>
      </c>
      <c r="M24" s="103"/>
      <c r="N24" s="82"/>
      <c r="O24" s="82"/>
      <c r="P24" s="83"/>
      <c r="Q24" s="84"/>
      <c r="R24" s="91"/>
      <c r="S24" s="86">
        <f t="shared" si="3"/>
        <v>0</v>
      </c>
      <c r="T24" s="92">
        <f t="shared" si="4"/>
        <v>0</v>
      </c>
      <c r="U24" s="93">
        <f t="shared" si="5"/>
        <v>0</v>
      </c>
      <c r="V24" s="89" t="s">
        <v>33</v>
      </c>
      <c r="W24" s="90" t="s">
        <v>56</v>
      </c>
      <c r="X24" s="82"/>
      <c r="Y24" s="82"/>
      <c r="Z24" s="83"/>
      <c r="AA24" s="84">
        <v>15.0</v>
      </c>
      <c r="AB24" s="85"/>
      <c r="AC24" s="86">
        <f t="shared" si="6"/>
        <v>15</v>
      </c>
      <c r="AD24" s="92">
        <f t="shared" si="7"/>
        <v>7</v>
      </c>
      <c r="AE24" s="93">
        <f t="shared" si="8"/>
        <v>3</v>
      </c>
      <c r="AF24" s="89" t="s">
        <v>33</v>
      </c>
      <c r="AG24" s="90" t="s">
        <v>57</v>
      </c>
      <c r="AH24" s="82"/>
      <c r="AI24" s="82"/>
      <c r="AJ24" s="83"/>
      <c r="AK24" s="95">
        <v>20.0</v>
      </c>
      <c r="AL24" s="85"/>
      <c r="AM24" s="96">
        <f t="shared" si="9"/>
        <v>20</v>
      </c>
      <c r="AN24" s="87">
        <f t="shared" si="10"/>
        <v>10</v>
      </c>
      <c r="AO24" s="97">
        <f t="shared" si="11"/>
        <v>4</v>
      </c>
      <c r="AP24" s="28"/>
      <c r="AQ24" s="104" t="s">
        <v>58</v>
      </c>
      <c r="AR24" s="105"/>
      <c r="AS24" s="105"/>
      <c r="AT24" s="105"/>
      <c r="AU24" s="105"/>
      <c r="AV24" s="105"/>
      <c r="AW24" s="106">
        <f>if((V10+V14)&lt;=64,-2,if((V10+V14)&lt;=84,-1,if((V10+V14)&lt;=124,0,if((V10+V14)&lt;=164,"+1",if((V10+V14)&lt;=204,"+2",if((V10+V14)&lt;=284,"+3",if((V10+V14)&lt;=20364,"+4",if((V10+V14)&lt;=444,"+5",if((V10+V14)&lt;=524,"+6")))))))))</f>
        <v>-2</v>
      </c>
      <c r="AX24" s="105"/>
      <c r="AY24" s="105"/>
      <c r="AZ24" s="105"/>
      <c r="BA24" s="105"/>
      <c r="BB24" s="107"/>
      <c r="BC24" s="3"/>
    </row>
    <row r="25" ht="16.5" customHeight="1">
      <c r="A25" s="22"/>
      <c r="B25" s="100" t="s">
        <v>33</v>
      </c>
      <c r="C25" s="81" t="s">
        <v>59</v>
      </c>
      <c r="D25" s="82"/>
      <c r="E25" s="82"/>
      <c r="F25" s="83"/>
      <c r="G25" s="84">
        <v>10.0</v>
      </c>
      <c r="H25" s="91"/>
      <c r="I25" s="86">
        <f t="shared" si="1"/>
        <v>10</v>
      </c>
      <c r="J25" s="87">
        <f t="shared" si="13"/>
        <v>5</v>
      </c>
      <c r="K25" s="88">
        <f t="shared" si="2"/>
        <v>2</v>
      </c>
      <c r="L25" s="89" t="s">
        <v>33</v>
      </c>
      <c r="M25" s="90" t="s">
        <v>60</v>
      </c>
      <c r="N25" s="82"/>
      <c r="O25" s="82"/>
      <c r="P25" s="83"/>
      <c r="Q25" s="84">
        <v>5.0</v>
      </c>
      <c r="R25" s="85"/>
      <c r="S25" s="86">
        <f t="shared" si="3"/>
        <v>5</v>
      </c>
      <c r="T25" s="92">
        <f t="shared" si="4"/>
        <v>2</v>
      </c>
      <c r="U25" s="93">
        <f t="shared" si="5"/>
        <v>1</v>
      </c>
      <c r="V25" s="89" t="s">
        <v>33</v>
      </c>
      <c r="W25" s="90" t="s">
        <v>61</v>
      </c>
      <c r="X25" s="82"/>
      <c r="Y25" s="82"/>
      <c r="Z25" s="83"/>
      <c r="AA25" s="84">
        <v>5.0</v>
      </c>
      <c r="AB25" s="85"/>
      <c r="AC25" s="86">
        <f t="shared" si="6"/>
        <v>5</v>
      </c>
      <c r="AD25" s="92">
        <f t="shared" si="7"/>
        <v>2</v>
      </c>
      <c r="AE25" s="93">
        <f t="shared" si="8"/>
        <v>1</v>
      </c>
      <c r="AF25" s="89" t="s">
        <v>33</v>
      </c>
      <c r="AG25" s="90" t="s">
        <v>62</v>
      </c>
      <c r="AH25" s="82"/>
      <c r="AI25" s="82"/>
      <c r="AJ25" s="83"/>
      <c r="AK25" s="95">
        <f>Int(DIVIDE(AD10,2))</f>
        <v>0</v>
      </c>
      <c r="AL25" s="91"/>
      <c r="AM25" s="96">
        <f t="shared" si="9"/>
        <v>0</v>
      </c>
      <c r="AN25" s="87">
        <f t="shared" si="10"/>
        <v>0</v>
      </c>
      <c r="AO25" s="97">
        <f t="shared" si="11"/>
        <v>0</v>
      </c>
      <c r="AP25" s="60"/>
      <c r="AQ25" s="104" t="s">
        <v>62</v>
      </c>
      <c r="AR25" s="105"/>
      <c r="AS25" s="105"/>
      <c r="AT25" s="105"/>
      <c r="AU25" s="105"/>
      <c r="AV25" s="105"/>
      <c r="AW25" s="106">
        <f>Int(DIVIDE(AD10,2))</f>
        <v>0</v>
      </c>
      <c r="AX25" s="105"/>
      <c r="AY25" s="108">
        <f>int(AW25/2)</f>
        <v>0</v>
      </c>
      <c r="AZ25" s="105"/>
      <c r="BA25" s="109">
        <f>int(AW25/5)</f>
        <v>0</v>
      </c>
      <c r="BB25" s="107"/>
      <c r="BC25" s="3"/>
    </row>
    <row r="26" ht="16.5" customHeight="1">
      <c r="A26" s="22"/>
      <c r="B26" s="100" t="s">
        <v>33</v>
      </c>
      <c r="C26" s="81" t="s">
        <v>63</v>
      </c>
      <c r="D26" s="82"/>
      <c r="E26" s="82"/>
      <c r="F26" s="83"/>
      <c r="G26" s="84">
        <v>20.0</v>
      </c>
      <c r="H26" s="85"/>
      <c r="I26" s="86">
        <f t="shared" si="1"/>
        <v>20</v>
      </c>
      <c r="J26" s="87">
        <f t="shared" si="13"/>
        <v>10</v>
      </c>
      <c r="K26" s="88">
        <f t="shared" si="2"/>
        <v>4</v>
      </c>
      <c r="L26" s="89" t="s">
        <v>33</v>
      </c>
      <c r="M26" s="90" t="s">
        <v>64</v>
      </c>
      <c r="N26" s="82"/>
      <c r="O26" s="82"/>
      <c r="P26" s="83"/>
      <c r="Q26" s="84">
        <v>1.0</v>
      </c>
      <c r="R26" s="91"/>
      <c r="S26" s="86">
        <f t="shared" si="3"/>
        <v>1</v>
      </c>
      <c r="T26" s="92">
        <f t="shared" si="4"/>
        <v>0</v>
      </c>
      <c r="U26" s="93">
        <f t="shared" si="5"/>
        <v>0</v>
      </c>
      <c r="V26" s="89" t="s">
        <v>33</v>
      </c>
      <c r="W26" s="90" t="s">
        <v>65</v>
      </c>
      <c r="X26" s="82"/>
      <c r="Y26" s="82"/>
      <c r="Z26" s="83"/>
      <c r="AA26" s="84">
        <v>10.0</v>
      </c>
      <c r="AB26" s="91"/>
      <c r="AC26" s="86">
        <f t="shared" si="6"/>
        <v>10</v>
      </c>
      <c r="AD26" s="92">
        <f t="shared" si="7"/>
        <v>5</v>
      </c>
      <c r="AE26" s="93">
        <f t="shared" si="8"/>
        <v>2</v>
      </c>
      <c r="AF26" s="89" t="s">
        <v>33</v>
      </c>
      <c r="AG26" s="90" t="s">
        <v>66</v>
      </c>
      <c r="AH26" s="82"/>
      <c r="AI26" s="82"/>
      <c r="AJ26" s="83"/>
      <c r="AK26" s="95">
        <v>5.0</v>
      </c>
      <c r="AL26" s="85"/>
      <c r="AM26" s="96">
        <f t="shared" si="9"/>
        <v>5</v>
      </c>
      <c r="AN26" s="87">
        <f t="shared" si="10"/>
        <v>2</v>
      </c>
      <c r="AO26" s="97">
        <f t="shared" si="11"/>
        <v>1</v>
      </c>
      <c r="AP26" s="60"/>
      <c r="AQ26" s="110" t="s">
        <v>67</v>
      </c>
      <c r="AR26" s="105"/>
      <c r="AS26" s="105"/>
      <c r="AT26" s="105"/>
      <c r="AU26" s="105"/>
      <c r="AV26" s="107"/>
      <c r="AW26" s="111">
        <f>IF(AND(V10&gt;V14,AD10&gt;V14),if(int(divide(L13,10))&gt;=4,12-int(divide(L13,10)),9),if(and(V10&lt;V14,AD10&lt;V14),if(int(divide(L13,10))&gt;=4,10-int(divide(L13,10)),7),if(int(divide(L13,10))&gt;=4,11-int(divide(L13,10)),8)))</f>
        <v>8</v>
      </c>
      <c r="AX26" s="105"/>
      <c r="AY26" s="105"/>
      <c r="AZ26" s="105"/>
      <c r="BA26" s="105"/>
      <c r="BB26" s="107"/>
      <c r="BC26" s="3"/>
    </row>
    <row r="27" ht="16.5" customHeight="1">
      <c r="A27" s="22"/>
      <c r="B27" s="100" t="s">
        <v>33</v>
      </c>
      <c r="C27" s="81" t="s">
        <v>68</v>
      </c>
      <c r="D27" s="82"/>
      <c r="E27" s="82"/>
      <c r="F27" s="83"/>
      <c r="G27" s="84">
        <v>1.0</v>
      </c>
      <c r="H27" s="91"/>
      <c r="I27" s="86">
        <f t="shared" si="1"/>
        <v>1</v>
      </c>
      <c r="J27" s="87">
        <f>int(DIVIDE(I27,2))</f>
        <v>0</v>
      </c>
      <c r="K27" s="88">
        <f t="shared" si="2"/>
        <v>0</v>
      </c>
      <c r="L27" s="89" t="s">
        <v>33</v>
      </c>
      <c r="M27" s="90" t="s">
        <v>69</v>
      </c>
      <c r="N27" s="82"/>
      <c r="O27" s="82"/>
      <c r="P27" s="83"/>
      <c r="Q27" s="84">
        <v>5.0</v>
      </c>
      <c r="R27" s="91"/>
      <c r="S27" s="86">
        <f t="shared" si="3"/>
        <v>5</v>
      </c>
      <c r="T27" s="92">
        <f t="shared" si="4"/>
        <v>2</v>
      </c>
      <c r="U27" s="93">
        <f t="shared" si="5"/>
        <v>1</v>
      </c>
      <c r="V27" s="89" t="s">
        <v>33</v>
      </c>
      <c r="W27" s="103" t="str">
        <f>"모국어"&amp;IF(ISBLANK(L14),"",":"&amp;L14)</f>
        <v>모국어</v>
      </c>
      <c r="X27" s="82"/>
      <c r="Y27" s="82"/>
      <c r="Z27" s="83"/>
      <c r="AA27" s="84">
        <f>(AL12*1)</f>
        <v>0</v>
      </c>
      <c r="AB27" s="91"/>
      <c r="AC27" s="86">
        <f t="shared" si="6"/>
        <v>0</v>
      </c>
      <c r="AD27" s="92">
        <f t="shared" si="7"/>
        <v>0</v>
      </c>
      <c r="AE27" s="93">
        <f t="shared" si="8"/>
        <v>0</v>
      </c>
      <c r="AF27" s="89" t="s">
        <v>33</v>
      </c>
      <c r="AG27" s="90" t="s">
        <v>70</v>
      </c>
      <c r="AH27" s="82"/>
      <c r="AI27" s="82"/>
      <c r="AJ27" s="83"/>
      <c r="AK27" s="95">
        <v>20.0</v>
      </c>
      <c r="AL27" s="91"/>
      <c r="AM27" s="96">
        <f t="shared" si="9"/>
        <v>20</v>
      </c>
      <c r="AN27" s="87">
        <f t="shared" si="10"/>
        <v>10</v>
      </c>
      <c r="AO27" s="97">
        <f t="shared" si="11"/>
        <v>4</v>
      </c>
      <c r="AP27" s="60"/>
      <c r="AQ27" s="112" t="s">
        <v>71</v>
      </c>
      <c r="AR27" s="5"/>
      <c r="AS27" s="5"/>
      <c r="AT27" s="7"/>
      <c r="AU27" s="113"/>
      <c r="AV27" s="5"/>
      <c r="AW27" s="5"/>
      <c r="AX27" s="7"/>
      <c r="AY27" s="114" t="s">
        <v>72</v>
      </c>
      <c r="AZ27" s="105"/>
      <c r="BA27" s="105"/>
      <c r="BB27" s="107"/>
      <c r="BC27" s="3"/>
    </row>
    <row r="28" ht="16.5" customHeight="1">
      <c r="A28" s="22"/>
      <c r="B28" s="100" t="s">
        <v>33</v>
      </c>
      <c r="C28" s="115" t="s">
        <v>73</v>
      </c>
      <c r="D28" s="82"/>
      <c r="E28" s="82"/>
      <c r="F28" s="83"/>
      <c r="G28" s="84">
        <v>1.0</v>
      </c>
      <c r="H28" s="91"/>
      <c r="I28" s="86">
        <f t="shared" si="1"/>
        <v>1</v>
      </c>
      <c r="J28" s="87">
        <f t="shared" ref="J28:J29" si="14">Int(DIVIDE(I28,2))</f>
        <v>0</v>
      </c>
      <c r="K28" s="88">
        <f t="shared" si="2"/>
        <v>0</v>
      </c>
      <c r="L28" s="89" t="s">
        <v>33</v>
      </c>
      <c r="M28" s="90" t="s">
        <v>74</v>
      </c>
      <c r="N28" s="82"/>
      <c r="O28" s="82"/>
      <c r="P28" s="83"/>
      <c r="Q28" s="84">
        <v>1.0</v>
      </c>
      <c r="R28" s="91"/>
      <c r="S28" s="86">
        <f t="shared" si="3"/>
        <v>1</v>
      </c>
      <c r="T28" s="92">
        <f t="shared" si="4"/>
        <v>0</v>
      </c>
      <c r="U28" s="93">
        <f t="shared" si="5"/>
        <v>0</v>
      </c>
      <c r="V28" s="89" t="s">
        <v>33</v>
      </c>
      <c r="W28" s="103" t="s">
        <v>75</v>
      </c>
      <c r="X28" s="82"/>
      <c r="Y28" s="82"/>
      <c r="Z28" s="83"/>
      <c r="AA28" s="84">
        <v>1.0</v>
      </c>
      <c r="AB28" s="91"/>
      <c r="AC28" s="86">
        <f t="shared" si="6"/>
        <v>1</v>
      </c>
      <c r="AD28" s="92">
        <f t="shared" si="7"/>
        <v>0</v>
      </c>
      <c r="AE28" s="93">
        <f t="shared" si="8"/>
        <v>0</v>
      </c>
      <c r="AF28" s="89" t="s">
        <v>33</v>
      </c>
      <c r="AG28" s="90" t="s">
        <v>76</v>
      </c>
      <c r="AH28" s="82"/>
      <c r="AI28" s="82"/>
      <c r="AJ28" s="83"/>
      <c r="AK28" s="95">
        <v>10.0</v>
      </c>
      <c r="AL28" s="85"/>
      <c r="AM28" s="96">
        <f t="shared" si="9"/>
        <v>10</v>
      </c>
      <c r="AN28" s="87">
        <f t="shared" si="10"/>
        <v>5</v>
      </c>
      <c r="AO28" s="97">
        <f t="shared" si="11"/>
        <v>2</v>
      </c>
      <c r="AP28" s="60"/>
      <c r="AQ28" s="10"/>
      <c r="AR28" s="11"/>
      <c r="AS28" s="11"/>
      <c r="AT28" s="12"/>
      <c r="AU28" s="10"/>
      <c r="AV28" s="11"/>
      <c r="AW28" s="11"/>
      <c r="AX28" s="12"/>
      <c r="AY28" s="116">
        <f>Int((V14+V12)/10)</f>
        <v>0</v>
      </c>
      <c r="AZ28" s="105"/>
      <c r="BA28" s="105"/>
      <c r="BB28" s="107"/>
      <c r="BC28" s="3"/>
    </row>
    <row r="29" ht="16.5" customHeight="1">
      <c r="A29" s="22"/>
      <c r="B29" s="100" t="s">
        <v>33</v>
      </c>
      <c r="C29" s="117"/>
      <c r="D29" s="82"/>
      <c r="E29" s="82"/>
      <c r="F29" s="83"/>
      <c r="G29" s="118"/>
      <c r="H29" s="85"/>
      <c r="I29" s="86">
        <f t="shared" si="1"/>
        <v>0</v>
      </c>
      <c r="J29" s="87">
        <f t="shared" si="14"/>
        <v>0</v>
      </c>
      <c r="K29" s="88">
        <f t="shared" si="2"/>
        <v>0</v>
      </c>
      <c r="L29" s="89" t="s">
        <v>33</v>
      </c>
      <c r="M29" s="90" t="s">
        <v>77</v>
      </c>
      <c r="N29" s="82"/>
      <c r="O29" s="82"/>
      <c r="P29" s="83"/>
      <c r="Q29" s="84">
        <v>5.0</v>
      </c>
      <c r="R29" s="91"/>
      <c r="S29" s="86">
        <f t="shared" si="3"/>
        <v>5</v>
      </c>
      <c r="T29" s="92">
        <f t="shared" si="4"/>
        <v>2</v>
      </c>
      <c r="U29" s="93">
        <f t="shared" si="5"/>
        <v>1</v>
      </c>
      <c r="V29" s="89" t="s">
        <v>33</v>
      </c>
      <c r="W29" s="103"/>
      <c r="X29" s="82"/>
      <c r="Y29" s="82"/>
      <c r="Z29" s="83"/>
      <c r="AA29" s="84"/>
      <c r="AB29" s="91"/>
      <c r="AC29" s="86">
        <f t="shared" si="6"/>
        <v>0</v>
      </c>
      <c r="AD29" s="92">
        <f t="shared" si="7"/>
        <v>0</v>
      </c>
      <c r="AE29" s="93">
        <f t="shared" si="8"/>
        <v>0</v>
      </c>
      <c r="AF29" s="89" t="s">
        <v>33</v>
      </c>
      <c r="AG29" s="90" t="s">
        <v>78</v>
      </c>
      <c r="AH29" s="82"/>
      <c r="AI29" s="82"/>
      <c r="AJ29" s="83"/>
      <c r="AK29" s="95">
        <v>1.0</v>
      </c>
      <c r="AL29" s="91"/>
      <c r="AM29" s="96">
        <f t="shared" si="9"/>
        <v>1</v>
      </c>
      <c r="AN29" s="87">
        <f t="shared" si="10"/>
        <v>0</v>
      </c>
      <c r="AO29" s="97">
        <f t="shared" si="11"/>
        <v>0</v>
      </c>
      <c r="AP29" s="28"/>
      <c r="AQ29" s="119" t="s">
        <v>79</v>
      </c>
      <c r="AR29" s="5"/>
      <c r="AS29" s="5"/>
      <c r="AT29" s="7"/>
      <c r="AU29" s="113"/>
      <c r="AV29" s="5"/>
      <c r="AW29" s="5"/>
      <c r="AX29" s="7"/>
      <c r="AY29" s="120" t="s">
        <v>80</v>
      </c>
      <c r="AZ29" s="105"/>
      <c r="BA29" s="105"/>
      <c r="BB29" s="107"/>
      <c r="BC29" s="3"/>
    </row>
    <row r="30" ht="16.5" customHeight="1">
      <c r="A30" s="22"/>
      <c r="B30" s="100" t="s">
        <v>33</v>
      </c>
      <c r="C30" s="81" t="s">
        <v>81</v>
      </c>
      <c r="D30" s="82"/>
      <c r="E30" s="82"/>
      <c r="F30" s="83"/>
      <c r="G30" s="95">
        <v>10.0</v>
      </c>
      <c r="H30" s="91"/>
      <c r="I30" s="86">
        <f t="shared" si="1"/>
        <v>10</v>
      </c>
      <c r="J30" s="87">
        <f>int(DIVIDE(I30,2))</f>
        <v>5</v>
      </c>
      <c r="K30" s="88">
        <f t="shared" si="2"/>
        <v>2</v>
      </c>
      <c r="L30" s="89" t="s">
        <v>33</v>
      </c>
      <c r="M30" s="90" t="s">
        <v>82</v>
      </c>
      <c r="N30" s="82"/>
      <c r="O30" s="82"/>
      <c r="P30" s="83"/>
      <c r="Q30" s="84">
        <v>5.0</v>
      </c>
      <c r="R30" s="85"/>
      <c r="S30" s="86">
        <f t="shared" si="3"/>
        <v>5</v>
      </c>
      <c r="T30" s="92">
        <f t="shared" si="4"/>
        <v>2</v>
      </c>
      <c r="U30" s="93">
        <f t="shared" si="5"/>
        <v>1</v>
      </c>
      <c r="V30" s="89" t="s">
        <v>33</v>
      </c>
      <c r="W30" s="90" t="s">
        <v>83</v>
      </c>
      <c r="X30" s="82"/>
      <c r="Y30" s="82"/>
      <c r="Z30" s="83"/>
      <c r="AA30" s="95">
        <v>20.0</v>
      </c>
      <c r="AB30" s="85"/>
      <c r="AC30" s="96">
        <f t="shared" si="6"/>
        <v>20</v>
      </c>
      <c r="AD30" s="87">
        <f t="shared" si="7"/>
        <v>10</v>
      </c>
      <c r="AE30" s="88">
        <f t="shared" si="8"/>
        <v>4</v>
      </c>
      <c r="AF30" s="89" t="s">
        <v>33</v>
      </c>
      <c r="AG30" s="103" t="s">
        <v>84</v>
      </c>
      <c r="AH30" s="82"/>
      <c r="AI30" s="82"/>
      <c r="AJ30" s="83"/>
      <c r="AK30" s="95">
        <v>20.0</v>
      </c>
      <c r="AL30" s="91"/>
      <c r="AM30" s="86">
        <f t="shared" si="9"/>
        <v>20</v>
      </c>
      <c r="AN30" s="92">
        <f t="shared" si="10"/>
        <v>10</v>
      </c>
      <c r="AO30" s="122">
        <f t="shared" si="11"/>
        <v>4</v>
      </c>
      <c r="AP30" s="28"/>
      <c r="AQ30" s="10"/>
      <c r="AR30" s="11"/>
      <c r="AS30" s="11"/>
      <c r="AT30" s="12"/>
      <c r="AU30" s="10"/>
      <c r="AV30" s="11"/>
      <c r="AW30" s="11"/>
      <c r="AX30" s="12"/>
      <c r="AY30" s="123">
        <f>int(AL10/5)</f>
        <v>0</v>
      </c>
      <c r="AZ30" s="105"/>
      <c r="BA30" s="105"/>
      <c r="BB30" s="107"/>
      <c r="BC30" s="3"/>
    </row>
    <row r="31" ht="16.5" customHeight="1">
      <c r="A31" s="22"/>
      <c r="B31" s="100" t="s">
        <v>33</v>
      </c>
      <c r="C31" s="81" t="s">
        <v>85</v>
      </c>
      <c r="D31" s="82"/>
      <c r="E31" s="82"/>
      <c r="F31" s="83"/>
      <c r="G31" s="95">
        <v>10.0</v>
      </c>
      <c r="H31" s="91"/>
      <c r="I31" s="86">
        <f t="shared" si="1"/>
        <v>10</v>
      </c>
      <c r="J31" s="87">
        <f t="shared" ref="J31:J36" si="15">Int(DIVIDE(I31,2))</f>
        <v>5</v>
      </c>
      <c r="K31" s="88">
        <f t="shared" si="2"/>
        <v>2</v>
      </c>
      <c r="L31" s="89" t="s">
        <v>33</v>
      </c>
      <c r="M31" s="90"/>
      <c r="N31" s="82"/>
      <c r="O31" s="82"/>
      <c r="P31" s="83"/>
      <c r="Q31" s="84"/>
      <c r="R31" s="91"/>
      <c r="S31" s="86">
        <f t="shared" si="3"/>
        <v>0</v>
      </c>
      <c r="T31" s="92">
        <f t="shared" si="4"/>
        <v>0</v>
      </c>
      <c r="U31" s="93">
        <f t="shared" si="5"/>
        <v>0</v>
      </c>
      <c r="V31" s="89" t="s">
        <v>33</v>
      </c>
      <c r="W31" s="103" t="s">
        <v>86</v>
      </c>
      <c r="X31" s="82"/>
      <c r="Y31" s="82"/>
      <c r="Z31" s="83"/>
      <c r="AA31" s="95">
        <v>25.0</v>
      </c>
      <c r="AB31" s="85"/>
      <c r="AC31" s="96">
        <f t="shared" si="6"/>
        <v>25</v>
      </c>
      <c r="AD31" s="87">
        <f t="shared" si="7"/>
        <v>12</v>
      </c>
      <c r="AE31" s="88">
        <f t="shared" si="8"/>
        <v>5</v>
      </c>
      <c r="AF31" s="89" t="s">
        <v>33</v>
      </c>
      <c r="AG31" s="103" t="s">
        <v>87</v>
      </c>
      <c r="AH31" s="82"/>
      <c r="AI31" s="82"/>
      <c r="AJ31" s="83"/>
      <c r="AK31" s="95">
        <v>25.0</v>
      </c>
      <c r="AL31" s="91"/>
      <c r="AM31" s="86">
        <f t="shared" si="9"/>
        <v>25</v>
      </c>
      <c r="AN31" s="92">
        <f t="shared" si="10"/>
        <v>12</v>
      </c>
      <c r="AO31" s="122">
        <f t="shared" si="11"/>
        <v>5</v>
      </c>
      <c r="AP31" s="28"/>
      <c r="AQ31" s="124" t="s">
        <v>88</v>
      </c>
      <c r="AR31" s="5"/>
      <c r="AS31" s="5"/>
      <c r="AT31" s="7"/>
      <c r="AU31" s="113"/>
      <c r="AV31" s="5"/>
      <c r="AW31" s="5"/>
      <c r="AX31" s="7"/>
      <c r="AY31" s="125" t="s">
        <v>89</v>
      </c>
      <c r="AZ31" s="107"/>
      <c r="BA31" s="125" t="s">
        <v>90</v>
      </c>
      <c r="BB31" s="107"/>
      <c r="BC31" s="3"/>
    </row>
    <row r="32" ht="16.5" customHeight="1">
      <c r="A32" s="22"/>
      <c r="B32" s="100" t="s">
        <v>33</v>
      </c>
      <c r="C32" s="81" t="s">
        <v>91</v>
      </c>
      <c r="D32" s="82"/>
      <c r="E32" s="82"/>
      <c r="F32" s="83"/>
      <c r="G32" s="95">
        <v>5.0</v>
      </c>
      <c r="H32" s="85"/>
      <c r="I32" s="86">
        <f t="shared" si="1"/>
        <v>5</v>
      </c>
      <c r="J32" s="87">
        <f t="shared" si="15"/>
        <v>2</v>
      </c>
      <c r="K32" s="88">
        <f t="shared" si="2"/>
        <v>1</v>
      </c>
      <c r="L32" s="89" t="s">
        <v>33</v>
      </c>
      <c r="M32" s="126" t="s">
        <v>92</v>
      </c>
      <c r="N32" s="82"/>
      <c r="O32" s="82"/>
      <c r="P32" s="83"/>
      <c r="Q32" s="95">
        <v>1.0</v>
      </c>
      <c r="R32" s="91"/>
      <c r="S32" s="86">
        <f t="shared" si="3"/>
        <v>1</v>
      </c>
      <c r="T32" s="92">
        <f t="shared" si="4"/>
        <v>0</v>
      </c>
      <c r="U32" s="93">
        <f t="shared" si="5"/>
        <v>0</v>
      </c>
      <c r="V32" s="89" t="s">
        <v>33</v>
      </c>
      <c r="W32" s="103" t="s">
        <v>93</v>
      </c>
      <c r="X32" s="82"/>
      <c r="Y32" s="82"/>
      <c r="Z32" s="83"/>
      <c r="AA32" s="95">
        <v>20.0</v>
      </c>
      <c r="AB32" s="91"/>
      <c r="AC32" s="96">
        <f t="shared" si="6"/>
        <v>20</v>
      </c>
      <c r="AD32" s="87">
        <f t="shared" si="7"/>
        <v>10</v>
      </c>
      <c r="AE32" s="88">
        <f t="shared" si="8"/>
        <v>4</v>
      </c>
      <c r="AF32" s="89" t="s">
        <v>33</v>
      </c>
      <c r="AG32" s="103" t="s">
        <v>94</v>
      </c>
      <c r="AH32" s="82"/>
      <c r="AI32" s="82"/>
      <c r="AJ32" s="83"/>
      <c r="AK32" s="95">
        <v>15.0</v>
      </c>
      <c r="AL32" s="91"/>
      <c r="AM32" s="86">
        <f t="shared" si="9"/>
        <v>15</v>
      </c>
      <c r="AN32" s="92">
        <f t="shared" si="10"/>
        <v>7</v>
      </c>
      <c r="AO32" s="122">
        <f t="shared" si="11"/>
        <v>3</v>
      </c>
      <c r="AP32" s="28"/>
      <c r="AQ32" s="10"/>
      <c r="AR32" s="11"/>
      <c r="AS32" s="11"/>
      <c r="AT32" s="12"/>
      <c r="AU32" s="10"/>
      <c r="AV32" s="11"/>
      <c r="AW32" s="11"/>
      <c r="AX32" s="12"/>
      <c r="AY32" s="127" t="str">
        <f>IF(AL10=0,"자동",MIN(AL10,BA32))</f>
        <v>자동</v>
      </c>
      <c r="AZ32" s="107"/>
      <c r="BA32" s="127">
        <f>99-AB19</f>
        <v>99</v>
      </c>
      <c r="BB32" s="107"/>
      <c r="BC32" s="3"/>
    </row>
    <row r="33" ht="16.5" customHeight="1">
      <c r="A33" s="22"/>
      <c r="B33" s="100" t="s">
        <v>33</v>
      </c>
      <c r="C33" s="81"/>
      <c r="D33" s="82"/>
      <c r="E33" s="82"/>
      <c r="F33" s="83"/>
      <c r="G33" s="84"/>
      <c r="H33" s="91"/>
      <c r="I33" s="86">
        <f t="shared" si="1"/>
        <v>0</v>
      </c>
      <c r="J33" s="87">
        <f t="shared" si="15"/>
        <v>0</v>
      </c>
      <c r="K33" s="88">
        <f t="shared" si="2"/>
        <v>0</v>
      </c>
      <c r="L33" s="89" t="s">
        <v>33</v>
      </c>
      <c r="M33" s="126" t="s">
        <v>95</v>
      </c>
      <c r="N33" s="82"/>
      <c r="O33" s="82"/>
      <c r="P33" s="83"/>
      <c r="Q33" s="95">
        <v>5.0</v>
      </c>
      <c r="R33" s="91"/>
      <c r="S33" s="86">
        <f t="shared" si="3"/>
        <v>5</v>
      </c>
      <c r="T33" s="92">
        <f t="shared" si="4"/>
        <v>2</v>
      </c>
      <c r="U33" s="93">
        <f t="shared" si="5"/>
        <v>1</v>
      </c>
      <c r="V33" s="89" t="s">
        <v>33</v>
      </c>
      <c r="W33" s="103" t="s">
        <v>96</v>
      </c>
      <c r="X33" s="82"/>
      <c r="Y33" s="82"/>
      <c r="Z33" s="83"/>
      <c r="AA33" s="95">
        <v>15.0</v>
      </c>
      <c r="AB33" s="91"/>
      <c r="AC33" s="96">
        <f t="shared" si="6"/>
        <v>15</v>
      </c>
      <c r="AD33" s="87">
        <f t="shared" si="7"/>
        <v>7</v>
      </c>
      <c r="AE33" s="88">
        <f t="shared" si="8"/>
        <v>3</v>
      </c>
      <c r="AF33" s="89" t="s">
        <v>33</v>
      </c>
      <c r="AG33" s="103" t="s">
        <v>97</v>
      </c>
      <c r="AH33" s="82"/>
      <c r="AI33" s="82"/>
      <c r="AJ33" s="83"/>
      <c r="AK33" s="95">
        <v>10.0</v>
      </c>
      <c r="AL33" s="91"/>
      <c r="AM33" s="86">
        <f t="shared" si="9"/>
        <v>10</v>
      </c>
      <c r="AN33" s="92">
        <f t="shared" si="10"/>
        <v>5</v>
      </c>
      <c r="AO33" s="122">
        <f t="shared" si="11"/>
        <v>2</v>
      </c>
      <c r="AP33" s="28"/>
      <c r="AQ33" s="128" t="s">
        <v>98</v>
      </c>
      <c r="AR33" s="5"/>
      <c r="AS33" s="5"/>
      <c r="AT33" s="7"/>
      <c r="AU33" s="129" t="s">
        <v>33</v>
      </c>
      <c r="AV33" s="7"/>
      <c r="AW33" s="130" t="s">
        <v>99</v>
      </c>
      <c r="AX33" s="5"/>
      <c r="AY33" s="5"/>
      <c r="AZ33" s="7"/>
      <c r="BA33" s="131" t="s">
        <v>33</v>
      </c>
      <c r="BB33" s="7"/>
      <c r="BC33" s="3"/>
    </row>
    <row r="34" ht="16.5" customHeight="1">
      <c r="A34" s="22"/>
      <c r="B34" s="100" t="s">
        <v>33</v>
      </c>
      <c r="C34" s="81"/>
      <c r="D34" s="82"/>
      <c r="E34" s="82"/>
      <c r="F34" s="83"/>
      <c r="G34" s="84"/>
      <c r="H34" s="91"/>
      <c r="I34" s="86">
        <f t="shared" si="1"/>
        <v>0</v>
      </c>
      <c r="J34" s="87">
        <f t="shared" si="15"/>
        <v>0</v>
      </c>
      <c r="K34" s="88">
        <f t="shared" si="2"/>
        <v>0</v>
      </c>
      <c r="L34" s="89" t="s">
        <v>33</v>
      </c>
      <c r="M34" s="126" t="s">
        <v>100</v>
      </c>
      <c r="N34" s="82"/>
      <c r="O34" s="82"/>
      <c r="P34" s="83"/>
      <c r="Q34" s="95">
        <v>1.0</v>
      </c>
      <c r="R34" s="91"/>
      <c r="S34" s="86">
        <f t="shared" si="3"/>
        <v>1</v>
      </c>
      <c r="T34" s="92">
        <f t="shared" si="4"/>
        <v>0</v>
      </c>
      <c r="U34" s="93">
        <f t="shared" si="5"/>
        <v>0</v>
      </c>
      <c r="V34" s="89" t="s">
        <v>33</v>
      </c>
      <c r="W34" s="103" t="s">
        <v>101</v>
      </c>
      <c r="X34" s="82"/>
      <c r="Y34" s="82"/>
      <c r="Z34" s="83"/>
      <c r="AA34" s="95">
        <v>20.0</v>
      </c>
      <c r="AB34" s="91"/>
      <c r="AC34" s="96">
        <f t="shared" si="6"/>
        <v>20</v>
      </c>
      <c r="AD34" s="87">
        <f t="shared" si="7"/>
        <v>10</v>
      </c>
      <c r="AE34" s="88">
        <f t="shared" si="8"/>
        <v>4</v>
      </c>
      <c r="AF34" s="89" t="s">
        <v>33</v>
      </c>
      <c r="AG34" s="103" t="s">
        <v>102</v>
      </c>
      <c r="AH34" s="82"/>
      <c r="AI34" s="82"/>
      <c r="AJ34" s="83"/>
      <c r="AK34" s="95">
        <v>15.0</v>
      </c>
      <c r="AL34" s="91"/>
      <c r="AM34" s="86">
        <f t="shared" si="9"/>
        <v>15</v>
      </c>
      <c r="AN34" s="92">
        <f t="shared" si="10"/>
        <v>7</v>
      </c>
      <c r="AO34" s="122">
        <f t="shared" si="11"/>
        <v>3</v>
      </c>
      <c r="AP34" s="28"/>
      <c r="AQ34" s="10"/>
      <c r="AR34" s="11"/>
      <c r="AS34" s="11"/>
      <c r="AT34" s="12"/>
      <c r="AU34" s="10"/>
      <c r="AV34" s="12"/>
      <c r="AW34" s="10"/>
      <c r="AX34" s="11"/>
      <c r="AY34" s="11"/>
      <c r="AZ34" s="12"/>
      <c r="BA34" s="10"/>
      <c r="BB34" s="12"/>
      <c r="BC34" s="3"/>
    </row>
    <row r="35" ht="16.5" customHeight="1">
      <c r="A35" s="22"/>
      <c r="B35" s="100" t="s">
        <v>33</v>
      </c>
      <c r="C35" s="132" t="s">
        <v>103</v>
      </c>
      <c r="D35" s="82"/>
      <c r="E35" s="82"/>
      <c r="F35" s="83"/>
      <c r="G35" s="84">
        <v>1.0</v>
      </c>
      <c r="H35" s="91"/>
      <c r="I35" s="86">
        <f t="shared" si="1"/>
        <v>1</v>
      </c>
      <c r="J35" s="87">
        <f t="shared" si="15"/>
        <v>0</v>
      </c>
      <c r="K35" s="88">
        <f t="shared" si="2"/>
        <v>0</v>
      </c>
      <c r="L35" s="89" t="s">
        <v>33</v>
      </c>
      <c r="M35" s="126" t="s">
        <v>104</v>
      </c>
      <c r="N35" s="82"/>
      <c r="O35" s="82"/>
      <c r="P35" s="83"/>
      <c r="Q35" s="95">
        <v>1.0</v>
      </c>
      <c r="R35" s="91"/>
      <c r="S35" s="86">
        <f t="shared" si="3"/>
        <v>1</v>
      </c>
      <c r="T35" s="92">
        <f t="shared" si="4"/>
        <v>0</v>
      </c>
      <c r="U35" s="93">
        <f t="shared" si="5"/>
        <v>0</v>
      </c>
      <c r="V35" s="89" t="s">
        <v>33</v>
      </c>
      <c r="W35" s="103" t="s">
        <v>105</v>
      </c>
      <c r="X35" s="82"/>
      <c r="Y35" s="82"/>
      <c r="Z35" s="83"/>
      <c r="AA35" s="95">
        <v>5.0</v>
      </c>
      <c r="AB35" s="91"/>
      <c r="AC35" s="96">
        <f t="shared" si="6"/>
        <v>5</v>
      </c>
      <c r="AD35" s="87">
        <f t="shared" si="7"/>
        <v>2</v>
      </c>
      <c r="AE35" s="88">
        <f t="shared" si="8"/>
        <v>1</v>
      </c>
      <c r="AF35" s="89" t="s">
        <v>33</v>
      </c>
      <c r="AG35" s="103" t="s">
        <v>106</v>
      </c>
      <c r="AH35" s="82"/>
      <c r="AI35" s="82"/>
      <c r="AJ35" s="83"/>
      <c r="AK35" s="95">
        <v>10.0</v>
      </c>
      <c r="AL35" s="91"/>
      <c r="AM35" s="96">
        <f t="shared" si="9"/>
        <v>10</v>
      </c>
      <c r="AN35" s="87">
        <f t="shared" si="10"/>
        <v>5</v>
      </c>
      <c r="AO35" s="97">
        <f t="shared" si="11"/>
        <v>2</v>
      </c>
      <c r="AP35" s="28"/>
      <c r="AQ35" s="133" t="s">
        <v>107</v>
      </c>
      <c r="AR35" s="5"/>
      <c r="AS35" s="5"/>
      <c r="AT35" s="7"/>
      <c r="AU35" s="134" t="s">
        <v>33</v>
      </c>
      <c r="AV35" s="7"/>
      <c r="AW35" s="135" t="s">
        <v>108</v>
      </c>
      <c r="AX35" s="5"/>
      <c r="AY35" s="5"/>
      <c r="AZ35" s="7"/>
      <c r="BA35" s="136" t="s">
        <v>33</v>
      </c>
      <c r="BB35" s="7"/>
      <c r="BC35" s="3"/>
    </row>
    <row r="36" ht="16.5" customHeight="1">
      <c r="A36" s="22"/>
      <c r="B36" s="137" t="s">
        <v>33</v>
      </c>
      <c r="C36" s="138" t="s">
        <v>109</v>
      </c>
      <c r="D36" s="139"/>
      <c r="E36" s="139"/>
      <c r="F36" s="140"/>
      <c r="G36" s="141">
        <v>1.0</v>
      </c>
      <c r="H36" s="142"/>
      <c r="I36" s="143">
        <f t="shared" si="1"/>
        <v>1</v>
      </c>
      <c r="J36" s="144">
        <f t="shared" si="15"/>
        <v>0</v>
      </c>
      <c r="K36" s="145">
        <f t="shared" si="2"/>
        <v>0</v>
      </c>
      <c r="L36" s="146" t="s">
        <v>33</v>
      </c>
      <c r="M36" s="147" t="s">
        <v>110</v>
      </c>
      <c r="N36" s="139"/>
      <c r="O36" s="139"/>
      <c r="P36" s="140"/>
      <c r="Q36" s="148">
        <v>1.0</v>
      </c>
      <c r="R36" s="142"/>
      <c r="S36" s="143">
        <f t="shared" si="3"/>
        <v>1</v>
      </c>
      <c r="T36" s="149">
        <f t="shared" si="4"/>
        <v>0</v>
      </c>
      <c r="U36" s="150">
        <f t="shared" si="5"/>
        <v>0</v>
      </c>
      <c r="V36" s="146" t="s">
        <v>33</v>
      </c>
      <c r="W36" s="151" t="s">
        <v>111</v>
      </c>
      <c r="X36" s="139"/>
      <c r="Y36" s="139"/>
      <c r="Z36" s="140"/>
      <c r="AA36" s="141">
        <v>10.0</v>
      </c>
      <c r="AB36" s="142"/>
      <c r="AC36" s="143">
        <f t="shared" si="6"/>
        <v>10</v>
      </c>
      <c r="AD36" s="149">
        <f t="shared" si="7"/>
        <v>5</v>
      </c>
      <c r="AE36" s="150">
        <f t="shared" si="8"/>
        <v>2</v>
      </c>
      <c r="AF36" s="146" t="s">
        <v>33</v>
      </c>
      <c r="AG36" s="151" t="s">
        <v>112</v>
      </c>
      <c r="AH36" s="139"/>
      <c r="AI36" s="139"/>
      <c r="AJ36" s="140"/>
      <c r="AK36" s="148">
        <v>10.0</v>
      </c>
      <c r="AL36" s="142"/>
      <c r="AM36" s="152">
        <f t="shared" si="9"/>
        <v>10</v>
      </c>
      <c r="AN36" s="144">
        <f t="shared" si="10"/>
        <v>5</v>
      </c>
      <c r="AO36" s="153">
        <f t="shared" si="11"/>
        <v>2</v>
      </c>
      <c r="AP36" s="28"/>
      <c r="AQ36" s="10"/>
      <c r="AR36" s="11"/>
      <c r="AS36" s="11"/>
      <c r="AT36" s="12"/>
      <c r="AU36" s="10"/>
      <c r="AV36" s="12"/>
      <c r="AW36" s="10"/>
      <c r="AX36" s="11"/>
      <c r="AY36" s="11"/>
      <c r="AZ36" s="12"/>
      <c r="BA36" s="10"/>
      <c r="BB36" s="12"/>
      <c r="BC36" s="3"/>
    </row>
    <row r="37" ht="15.0" customHeight="1">
      <c r="A37" s="2"/>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3"/>
      <c r="AD37" s="53"/>
      <c r="AE37" s="53"/>
      <c r="AF37" s="53"/>
      <c r="AG37" s="53"/>
      <c r="AH37" s="53"/>
      <c r="AI37" s="53"/>
      <c r="AJ37" s="53"/>
      <c r="AK37" s="53"/>
      <c r="AL37" s="53"/>
      <c r="AM37" s="53"/>
      <c r="AN37" s="53"/>
      <c r="AO37" s="53"/>
      <c r="AP37" s="3"/>
      <c r="AQ37" s="8"/>
      <c r="AR37" s="8"/>
      <c r="AS37" s="8"/>
      <c r="AT37" s="8"/>
      <c r="AU37" s="8"/>
      <c r="AV37" s="8"/>
      <c r="AW37" s="8"/>
      <c r="AX37" s="8"/>
      <c r="AY37" s="8"/>
      <c r="AZ37" s="8"/>
      <c r="BA37" s="8"/>
      <c r="BB37" s="8"/>
      <c r="BC37" s="3"/>
    </row>
    <row r="38" ht="13.5" customHeight="1">
      <c r="A38" s="22"/>
      <c r="B38" s="23" t="s">
        <v>113</v>
      </c>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5"/>
      <c r="AP38" s="28"/>
      <c r="AQ38" s="154" t="s">
        <v>15</v>
      </c>
      <c r="AR38" s="5"/>
      <c r="AS38" s="5"/>
      <c r="AT38" s="5"/>
      <c r="AU38" s="5"/>
      <c r="AV38" s="5"/>
      <c r="AW38" s="5"/>
      <c r="AX38" s="5"/>
      <c r="AY38" s="5"/>
      <c r="AZ38" s="5"/>
      <c r="BA38" s="5"/>
      <c r="BB38" s="7"/>
      <c r="BC38" s="3"/>
    </row>
    <row r="39" ht="13.5" customHeight="1">
      <c r="A39" s="22"/>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2"/>
      <c r="AP39" s="28"/>
      <c r="AQ39" s="10"/>
      <c r="AR39" s="11"/>
      <c r="AS39" s="11"/>
      <c r="AT39" s="11"/>
      <c r="AU39" s="11"/>
      <c r="AV39" s="11"/>
      <c r="AW39" s="11"/>
      <c r="AX39" s="11"/>
      <c r="AY39" s="11"/>
      <c r="AZ39" s="11"/>
      <c r="BA39" s="11"/>
      <c r="BB39" s="12"/>
      <c r="BC39" s="3"/>
    </row>
    <row r="40" ht="13.5" customHeight="1">
      <c r="A40" s="22"/>
      <c r="B40" s="155" t="s">
        <v>113</v>
      </c>
      <c r="C40" s="34"/>
      <c r="D40" s="34"/>
      <c r="E40" s="34"/>
      <c r="F40" s="34"/>
      <c r="G40" s="34"/>
      <c r="H40" s="34"/>
      <c r="I40" s="35"/>
      <c r="J40" s="155" t="s">
        <v>114</v>
      </c>
      <c r="K40" s="34"/>
      <c r="L40" s="35"/>
      <c r="M40" s="155" t="s">
        <v>115</v>
      </c>
      <c r="N40" s="34"/>
      <c r="O40" s="35"/>
      <c r="P40" s="155" t="s">
        <v>116</v>
      </c>
      <c r="Q40" s="34"/>
      <c r="R40" s="35"/>
      <c r="S40" s="155" t="s">
        <v>117</v>
      </c>
      <c r="T40" s="34"/>
      <c r="U40" s="34"/>
      <c r="V40" s="34"/>
      <c r="W40" s="34"/>
      <c r="X40" s="35"/>
      <c r="Y40" s="155" t="s">
        <v>118</v>
      </c>
      <c r="Z40" s="34"/>
      <c r="AA40" s="34"/>
      <c r="AB40" s="35"/>
      <c r="AC40" s="155" t="s">
        <v>119</v>
      </c>
      <c r="AD40" s="34"/>
      <c r="AE40" s="34"/>
      <c r="AF40" s="34"/>
      <c r="AG40" s="35"/>
      <c r="AH40" s="155" t="s">
        <v>120</v>
      </c>
      <c r="AI40" s="34"/>
      <c r="AJ40" s="34"/>
      <c r="AK40" s="35"/>
      <c r="AL40" s="155" t="s">
        <v>121</v>
      </c>
      <c r="AM40" s="34"/>
      <c r="AN40" s="34"/>
      <c r="AO40" s="35"/>
      <c r="AP40" s="28"/>
      <c r="AQ40" s="156"/>
      <c r="AR40" s="157"/>
      <c r="AS40" s="157"/>
      <c r="AT40" s="157"/>
      <c r="AU40" s="157"/>
      <c r="AV40" s="157"/>
      <c r="AW40" s="157"/>
      <c r="AX40" s="157"/>
      <c r="AY40" s="157"/>
      <c r="AZ40" s="157"/>
      <c r="BA40" s="157"/>
      <c r="BB40" s="158"/>
      <c r="BC40" s="3"/>
    </row>
    <row r="41" ht="13.5" customHeight="1">
      <c r="A41" s="2"/>
      <c r="B41" s="159" t="s">
        <v>122</v>
      </c>
      <c r="I41" s="160"/>
      <c r="J41" s="161">
        <v>25.0</v>
      </c>
      <c r="M41" s="161">
        <f t="shared" ref="M41:M47" si="16">Int(DIVIDE(J41,2))</f>
        <v>12</v>
      </c>
      <c r="O41" s="160"/>
      <c r="P41" s="161">
        <f t="shared" ref="P41:P47" si="17">Int(DIVIDE(J41,5))</f>
        <v>5</v>
      </c>
      <c r="R41" s="160"/>
      <c r="S41" s="162" t="s">
        <v>123</v>
      </c>
      <c r="X41" s="160"/>
      <c r="Y41" s="161" t="s">
        <v>124</v>
      </c>
      <c r="AB41" s="160"/>
      <c r="AC41" s="161">
        <v>1.0</v>
      </c>
      <c r="AG41" s="160"/>
      <c r="AH41" s="161" t="s">
        <v>124</v>
      </c>
      <c r="AK41" s="160"/>
      <c r="AL41" s="161" t="s">
        <v>124</v>
      </c>
      <c r="AO41" s="15"/>
      <c r="AP41" s="3"/>
      <c r="AQ41" s="163" t="str">
        <f>IF(S19=0,"무일푼, 노숙.",(IF(AND(1&lt;=S19,10&gt;S19),"가난, 최소한의 재산만 소유.",IF(AND(10&lt;=S19,50&gt;S19),"보통, 적당히 안락한 생활.",(IF(AND(50&lt;=S19,90&gt;S19),"부유, 약간의 사치 가능.",(IF(AND(90&lt;=S19,99&gt;S19),"자산가, 막대한 부와 사치.",(IF(S19=99,"갑부, 돈은 문제가 되지 않는 수준."))))))))))</f>
        <v>무일푼, 노숙.</v>
      </c>
      <c r="AR41" s="164"/>
      <c r="AS41" s="164"/>
      <c r="AT41" s="164"/>
      <c r="AU41" s="164"/>
      <c r="AV41" s="164"/>
      <c r="AW41" s="164"/>
      <c r="AX41" s="164"/>
      <c r="AY41" s="164"/>
      <c r="AZ41" s="164"/>
      <c r="BA41" s="164"/>
      <c r="BB41" s="165"/>
      <c r="BC41" s="3"/>
    </row>
    <row r="42" ht="13.5" customHeight="1">
      <c r="A42" s="22"/>
      <c r="B42" s="166"/>
      <c r="C42" s="167"/>
      <c r="D42" s="167"/>
      <c r="E42" s="167"/>
      <c r="F42" s="167"/>
      <c r="G42" s="167"/>
      <c r="H42" s="167"/>
      <c r="I42" s="168"/>
      <c r="J42" s="169"/>
      <c r="K42" s="167"/>
      <c r="L42" s="168"/>
      <c r="M42" s="170">
        <f t="shared" si="16"/>
        <v>0</v>
      </c>
      <c r="N42" s="167"/>
      <c r="O42" s="168"/>
      <c r="P42" s="170">
        <f t="shared" si="17"/>
        <v>0</v>
      </c>
      <c r="Q42" s="167"/>
      <c r="R42" s="168"/>
      <c r="S42" s="171"/>
      <c r="T42" s="167"/>
      <c r="U42" s="167"/>
      <c r="V42" s="167"/>
      <c r="W42" s="167"/>
      <c r="X42" s="168"/>
      <c r="Y42" s="169"/>
      <c r="Z42" s="167"/>
      <c r="AA42" s="167"/>
      <c r="AB42" s="168"/>
      <c r="AC42" s="169"/>
      <c r="AD42" s="167"/>
      <c r="AE42" s="167"/>
      <c r="AF42" s="167"/>
      <c r="AG42" s="168"/>
      <c r="AH42" s="169"/>
      <c r="AI42" s="167"/>
      <c r="AJ42" s="167"/>
      <c r="AK42" s="168"/>
      <c r="AL42" s="169"/>
      <c r="AM42" s="167"/>
      <c r="AN42" s="167"/>
      <c r="AO42" s="172"/>
      <c r="AP42" s="28"/>
      <c r="AQ42" s="163" t="str">
        <f>IF(V10=0,"서있거나 컵을 들 힘조차 없음.",(IF(AND(1&lt;=V10,30&gt;V10),"힘없고 허약한 사람.",IF(AND(30&lt;=V10,70&gt;V10),"평균적 근력의 소유자.",(IF(AND(70&lt;=V10,85&gt;V10),"근력이 좋은 사람.",(IF(AND(85&lt;=V10,99&gt;V10),"보기 드물게 강한 사람.",(IF(V10=99,"인간의 한계에 다다른 강한 근력."))))))))))</f>
        <v>서있거나 컵을 들 힘조차 없음.</v>
      </c>
      <c r="AR42" s="164"/>
      <c r="AS42" s="164"/>
      <c r="AT42" s="164"/>
      <c r="AU42" s="164"/>
      <c r="AV42" s="164"/>
      <c r="AW42" s="164"/>
      <c r="AX42" s="164"/>
      <c r="AY42" s="164"/>
      <c r="AZ42" s="164"/>
      <c r="BA42" s="164"/>
      <c r="BB42" s="165"/>
      <c r="BC42" s="3"/>
    </row>
    <row r="43" ht="13.5" customHeight="1">
      <c r="A43" s="22"/>
      <c r="B43" s="173"/>
      <c r="C43" s="167"/>
      <c r="D43" s="167"/>
      <c r="E43" s="167"/>
      <c r="F43" s="167"/>
      <c r="G43" s="167"/>
      <c r="H43" s="167"/>
      <c r="I43" s="168"/>
      <c r="J43" s="169"/>
      <c r="K43" s="167"/>
      <c r="L43" s="168"/>
      <c r="M43" s="170">
        <f t="shared" si="16"/>
        <v>0</v>
      </c>
      <c r="N43" s="167"/>
      <c r="O43" s="168"/>
      <c r="P43" s="170">
        <f t="shared" si="17"/>
        <v>0</v>
      </c>
      <c r="Q43" s="167"/>
      <c r="R43" s="168"/>
      <c r="S43" s="169"/>
      <c r="T43" s="167"/>
      <c r="U43" s="167"/>
      <c r="V43" s="167"/>
      <c r="W43" s="167"/>
      <c r="X43" s="168"/>
      <c r="Y43" s="169"/>
      <c r="Z43" s="167"/>
      <c r="AA43" s="167"/>
      <c r="AB43" s="168"/>
      <c r="AC43" s="169"/>
      <c r="AD43" s="167"/>
      <c r="AE43" s="167"/>
      <c r="AF43" s="167"/>
      <c r="AG43" s="168"/>
      <c r="AH43" s="169"/>
      <c r="AI43" s="167"/>
      <c r="AJ43" s="167"/>
      <c r="AK43" s="168"/>
      <c r="AL43" s="169"/>
      <c r="AM43" s="167"/>
      <c r="AN43" s="167"/>
      <c r="AO43" s="172"/>
      <c r="AP43" s="28"/>
      <c r="AQ43" s="163" t="str">
        <f>IF(V12=0,"산 송장.",(IF(AND(1&lt;=V12,10&gt;V12),"병자. 혼자 움직일 수 없음.",(IF(AND(10&lt;=V12,30&gt;V12),"건강 나쁨. 면역력이 아주 약하다.",IF(AND(30&lt;=V12,70&gt;V12),"평균적으로 건강한 사람.",(IF(AND(70&lt;=V12,99&gt;V12),"잔병치레 없는 수준의 건강함.",(IF(V12=99,"철의 인간, 엄청나게 건강."))))))))))</f>
        <v>산 송장.</v>
      </c>
      <c r="AR43" s="164"/>
      <c r="AS43" s="164"/>
      <c r="AT43" s="164"/>
      <c r="AU43" s="164"/>
      <c r="AV43" s="164"/>
      <c r="AW43" s="164"/>
      <c r="AX43" s="164"/>
      <c r="AY43" s="164"/>
      <c r="AZ43" s="164"/>
      <c r="BA43" s="164"/>
      <c r="BB43" s="165"/>
      <c r="BC43" s="3"/>
    </row>
    <row r="44" ht="13.5" customHeight="1">
      <c r="A44" s="22"/>
      <c r="B44" s="173"/>
      <c r="C44" s="167"/>
      <c r="D44" s="167"/>
      <c r="E44" s="167"/>
      <c r="F44" s="167"/>
      <c r="G44" s="167"/>
      <c r="H44" s="167"/>
      <c r="I44" s="168"/>
      <c r="J44" s="169"/>
      <c r="K44" s="167"/>
      <c r="L44" s="168"/>
      <c r="M44" s="174">
        <f t="shared" si="16"/>
        <v>0</v>
      </c>
      <c r="N44" s="167"/>
      <c r="O44" s="168"/>
      <c r="P44" s="174">
        <f t="shared" si="17"/>
        <v>0</v>
      </c>
      <c r="Q44" s="167"/>
      <c r="R44" s="168"/>
      <c r="S44" s="169"/>
      <c r="T44" s="167"/>
      <c r="U44" s="167"/>
      <c r="V44" s="167"/>
      <c r="W44" s="167"/>
      <c r="X44" s="168"/>
      <c r="Y44" s="169"/>
      <c r="Z44" s="167"/>
      <c r="AA44" s="167"/>
      <c r="AB44" s="168"/>
      <c r="AC44" s="169"/>
      <c r="AD44" s="167"/>
      <c r="AE44" s="167"/>
      <c r="AF44" s="167"/>
      <c r="AG44" s="168"/>
      <c r="AH44" s="169"/>
      <c r="AI44" s="167"/>
      <c r="AJ44" s="167"/>
      <c r="AK44" s="168"/>
      <c r="AL44" s="169"/>
      <c r="AM44" s="167"/>
      <c r="AN44" s="167"/>
      <c r="AO44" s="172"/>
      <c r="AP44" s="28"/>
      <c r="AQ44" s="163" t="str">
        <f>IF(AL12=0,"갓난아기 수준의 교육.",(IF(AND(1&lt;=AL12,30&gt;AL12),"제대로 된 교육을 받지 못했다.",IF(AND(30&lt;=AL12,70&gt;AL12),"평균적인 수준의 교육을 받음.",(IF(AND(70&lt;=AL12,85&gt;AL12),"대졸 수준 이상의 교육을 받음.",(IF(AND(85&lt;=AL12,99&gt;AL12),"교육받은 분야의 전문가.",(IF(AL12=99,"세계적으로 저명한 엘리트."))))))))))</f>
        <v>갓난아기 수준의 교육.</v>
      </c>
      <c r="AR44" s="164"/>
      <c r="AS44" s="164"/>
      <c r="AT44" s="164"/>
      <c r="AU44" s="164"/>
      <c r="AV44" s="164"/>
      <c r="AW44" s="164"/>
      <c r="AX44" s="164"/>
      <c r="AY44" s="164"/>
      <c r="AZ44" s="164"/>
      <c r="BA44" s="164"/>
      <c r="BB44" s="165"/>
      <c r="BC44" s="3"/>
    </row>
    <row r="45" ht="13.5" customHeight="1">
      <c r="A45" s="22"/>
      <c r="B45" s="173"/>
      <c r="C45" s="167"/>
      <c r="D45" s="167"/>
      <c r="E45" s="167"/>
      <c r="F45" s="167"/>
      <c r="G45" s="167"/>
      <c r="H45" s="167"/>
      <c r="I45" s="168"/>
      <c r="J45" s="169"/>
      <c r="K45" s="167"/>
      <c r="L45" s="168"/>
      <c r="M45" s="174">
        <f t="shared" si="16"/>
        <v>0</v>
      </c>
      <c r="N45" s="167"/>
      <c r="O45" s="168"/>
      <c r="P45" s="174">
        <f t="shared" si="17"/>
        <v>0</v>
      </c>
      <c r="Q45" s="167"/>
      <c r="R45" s="168"/>
      <c r="S45" s="169"/>
      <c r="T45" s="167"/>
      <c r="U45" s="167"/>
      <c r="V45" s="167"/>
      <c r="W45" s="167"/>
      <c r="X45" s="168"/>
      <c r="Y45" s="169"/>
      <c r="Z45" s="167"/>
      <c r="AA45" s="167"/>
      <c r="AB45" s="168"/>
      <c r="AC45" s="169"/>
      <c r="AD45" s="167"/>
      <c r="AE45" s="167"/>
      <c r="AF45" s="167"/>
      <c r="AG45" s="168"/>
      <c r="AH45" s="169"/>
      <c r="AI45" s="167"/>
      <c r="AJ45" s="167"/>
      <c r="AK45" s="168"/>
      <c r="AL45" s="169"/>
      <c r="AM45" s="167"/>
      <c r="AN45" s="167"/>
      <c r="AO45" s="172"/>
      <c r="AP45" s="28"/>
      <c r="AQ45" s="163" t="str">
        <f>IF(AD10=0,"도움이 없이는 움직일 수 없다.",(IF(AND(1&lt;=AD10,30&gt;AD10),"느리고 덤벙대며 둔하다.",IF(AND(30&lt;=AD10,70&gt;AD10),"일반 사람의 민첩성.",(IF(AND(70&lt;=AD10,85&gt;AD10),"민첩하고 반응속도가 빠른 사람.",(IF(AND(85&lt;=AD10,99&gt;AD10),"국가대표 체조 선수 수준의 민첩성.",(IF(AD10=99,"세계 최고 민첩성의 소유자."))))))))))</f>
        <v>도움이 없이는 움직일 수 없다.</v>
      </c>
      <c r="AR45" s="164"/>
      <c r="AS45" s="164"/>
      <c r="AT45" s="164"/>
      <c r="AU45" s="164"/>
      <c r="AV45" s="164"/>
      <c r="AW45" s="164"/>
      <c r="AX45" s="164"/>
      <c r="AY45" s="164"/>
      <c r="AZ45" s="164"/>
      <c r="BA45" s="164"/>
      <c r="BB45" s="165"/>
      <c r="BC45" s="3"/>
    </row>
    <row r="46" ht="13.5" customHeight="1">
      <c r="A46" s="22"/>
      <c r="B46" s="173"/>
      <c r="C46" s="167"/>
      <c r="D46" s="167"/>
      <c r="E46" s="167"/>
      <c r="F46" s="167"/>
      <c r="G46" s="167"/>
      <c r="H46" s="167"/>
      <c r="I46" s="168"/>
      <c r="J46" s="169"/>
      <c r="K46" s="167"/>
      <c r="L46" s="168"/>
      <c r="M46" s="174">
        <f t="shared" si="16"/>
        <v>0</v>
      </c>
      <c r="N46" s="167"/>
      <c r="O46" s="168"/>
      <c r="P46" s="174">
        <f t="shared" si="17"/>
        <v>0</v>
      </c>
      <c r="Q46" s="167"/>
      <c r="R46" s="168"/>
      <c r="S46" s="169"/>
      <c r="T46" s="167"/>
      <c r="U46" s="167"/>
      <c r="V46" s="167"/>
      <c r="W46" s="167"/>
      <c r="X46" s="168"/>
      <c r="Y46" s="169"/>
      <c r="Z46" s="167"/>
      <c r="AA46" s="167"/>
      <c r="AB46" s="168"/>
      <c r="AC46" s="169"/>
      <c r="AD46" s="167"/>
      <c r="AE46" s="167"/>
      <c r="AF46" s="167"/>
      <c r="AG46" s="168"/>
      <c r="AH46" s="169"/>
      <c r="AI46" s="167"/>
      <c r="AJ46" s="167"/>
      <c r="AK46" s="168"/>
      <c r="AL46" s="169"/>
      <c r="AM46" s="167"/>
      <c r="AN46" s="167"/>
      <c r="AO46" s="172"/>
      <c r="AP46" s="28"/>
      <c r="AQ46" s="163" t="str">
        <f>IF(AD14=0,"주변의 아무 것도 이해하지 못함.",(IF(AND(1&lt;=AD14,30&gt;AD14),"배우는 것이 느림, 기초적 학습만 가능.",IF(AND(30&lt;=AD14,70&gt;AD14),"보통 사람의 아이큐.",(IF(AND(70&lt;=AD14,85&gt;AD14),"재치가 있고 머리회전이 빠르다.",(IF(AND(85&lt;=AD14,99&gt;AD14),"머리가 좋아 다양한 지식을 가지고 있다.",(IF(AD14=99,"아인슈타인 수준의 두뇌."))))))))))</f>
        <v>주변의 아무 것도 이해하지 못함.</v>
      </c>
      <c r="AR46" s="164"/>
      <c r="AS46" s="164"/>
      <c r="AT46" s="164"/>
      <c r="AU46" s="164"/>
      <c r="AV46" s="164"/>
      <c r="AW46" s="164"/>
      <c r="AX46" s="164"/>
      <c r="AY46" s="164"/>
      <c r="AZ46" s="164"/>
      <c r="BA46" s="164"/>
      <c r="BB46" s="165"/>
      <c r="BC46" s="3"/>
    </row>
    <row r="47" ht="13.5" customHeight="1">
      <c r="A47" s="22"/>
      <c r="B47" s="175"/>
      <c r="C47" s="176"/>
      <c r="D47" s="176"/>
      <c r="E47" s="176"/>
      <c r="F47" s="176"/>
      <c r="G47" s="176"/>
      <c r="H47" s="176"/>
      <c r="I47" s="177"/>
      <c r="J47" s="178"/>
      <c r="K47" s="176"/>
      <c r="L47" s="177"/>
      <c r="M47" s="179">
        <f t="shared" si="16"/>
        <v>0</v>
      </c>
      <c r="N47" s="176"/>
      <c r="O47" s="177"/>
      <c r="P47" s="179">
        <f t="shared" si="17"/>
        <v>0</v>
      </c>
      <c r="Q47" s="176"/>
      <c r="R47" s="177"/>
      <c r="S47" s="178"/>
      <c r="T47" s="176"/>
      <c r="U47" s="176"/>
      <c r="V47" s="176"/>
      <c r="W47" s="176"/>
      <c r="X47" s="177"/>
      <c r="Y47" s="178"/>
      <c r="Z47" s="176"/>
      <c r="AA47" s="176"/>
      <c r="AB47" s="177"/>
      <c r="AC47" s="178"/>
      <c r="AD47" s="176"/>
      <c r="AE47" s="176"/>
      <c r="AF47" s="176"/>
      <c r="AG47" s="177"/>
      <c r="AH47" s="178"/>
      <c r="AI47" s="176"/>
      <c r="AJ47" s="176"/>
      <c r="AK47" s="177"/>
      <c r="AL47" s="178"/>
      <c r="AM47" s="176"/>
      <c r="AN47" s="176"/>
      <c r="AO47" s="180"/>
      <c r="AP47" s="28"/>
      <c r="AQ47" s="163" t="str">
        <f>IF(AL10=0,"어떠한 의지도 의욕도 없는 사람.",(IF(AND(1&lt;=AL10,30&gt;AL10),"의지가 약하고 남들에게 곧잘 휘둘림.",IF(AND(30&lt;=AL10,70&gt;AL10),"보통 사람의 의지를 가졌다.",(IF(AND(70&lt;=AL10,85&gt;AL10),"의지가 강한 사람.",(IF(AND(85&lt;=AL10,99&gt;AL10),"아주 높은 정신력, 영적 감이 있을 수도.",(IF(AL10=99,"철의 의지. 이세계와 깊게 연관됨."))))))))))</f>
        <v>어떠한 의지도 의욕도 없는 사람.</v>
      </c>
      <c r="AR47" s="164"/>
      <c r="AS47" s="164"/>
      <c r="AT47" s="164"/>
      <c r="AU47" s="164"/>
      <c r="AV47" s="164"/>
      <c r="AW47" s="164"/>
      <c r="AX47" s="164"/>
      <c r="AY47" s="164"/>
      <c r="AZ47" s="164"/>
      <c r="BA47" s="164"/>
      <c r="BB47" s="165"/>
      <c r="BC47" s="3"/>
    </row>
    <row r="48" ht="13.5" customHeight="1">
      <c r="A48" s="22"/>
      <c r="B48" s="181" t="s">
        <v>125</v>
      </c>
      <c r="C48" s="24"/>
      <c r="D48" s="24"/>
      <c r="E48" s="24"/>
      <c r="F48" s="24"/>
      <c r="G48" s="24"/>
      <c r="H48" s="24"/>
      <c r="I48" s="24"/>
      <c r="J48" s="24"/>
      <c r="K48" s="24"/>
      <c r="L48" s="24"/>
      <c r="M48" s="24"/>
      <c r="N48" s="24"/>
      <c r="O48" s="24"/>
      <c r="P48" s="24"/>
      <c r="Q48" s="24"/>
      <c r="R48" s="24"/>
      <c r="S48" s="24"/>
      <c r="T48" s="24"/>
      <c r="U48" s="182"/>
      <c r="V48" s="183" t="s">
        <v>126</v>
      </c>
      <c r="W48" s="24"/>
      <c r="X48" s="24"/>
      <c r="Y48" s="24"/>
      <c r="Z48" s="24"/>
      <c r="AA48" s="24"/>
      <c r="AB48" s="24"/>
      <c r="AC48" s="24"/>
      <c r="AD48" s="24"/>
      <c r="AE48" s="24"/>
      <c r="AF48" s="24"/>
      <c r="AG48" s="24"/>
      <c r="AH48" s="24"/>
      <c r="AI48" s="24"/>
      <c r="AJ48" s="24"/>
      <c r="AK48" s="24"/>
      <c r="AL48" s="24"/>
      <c r="AM48" s="24"/>
      <c r="AN48" s="24"/>
      <c r="AO48" s="182"/>
      <c r="AP48" s="28"/>
      <c r="AQ48" s="184"/>
      <c r="AR48" s="185"/>
      <c r="AS48" s="185"/>
      <c r="AT48" s="185"/>
      <c r="AU48" s="185"/>
      <c r="AV48" s="185"/>
      <c r="AW48" s="185"/>
      <c r="AX48" s="185"/>
      <c r="AY48" s="185"/>
      <c r="AZ48" s="185"/>
      <c r="BA48" s="185"/>
      <c r="BB48" s="186"/>
      <c r="BC48" s="3"/>
    </row>
    <row r="49" ht="13.5" customHeight="1">
      <c r="A49" s="22"/>
      <c r="B49" s="30"/>
      <c r="C49" s="31"/>
      <c r="D49" s="31"/>
      <c r="E49" s="31"/>
      <c r="F49" s="31"/>
      <c r="G49" s="31"/>
      <c r="H49" s="31"/>
      <c r="I49" s="31"/>
      <c r="J49" s="31"/>
      <c r="K49" s="31"/>
      <c r="L49" s="31"/>
      <c r="M49" s="31"/>
      <c r="N49" s="31"/>
      <c r="O49" s="31"/>
      <c r="P49" s="31"/>
      <c r="Q49" s="31"/>
      <c r="R49" s="31"/>
      <c r="S49" s="31"/>
      <c r="T49" s="31"/>
      <c r="U49" s="189"/>
      <c r="V49" s="188"/>
      <c r="W49" s="31"/>
      <c r="X49" s="31"/>
      <c r="Y49" s="31"/>
      <c r="Z49" s="31"/>
      <c r="AA49" s="31"/>
      <c r="AB49" s="31"/>
      <c r="AC49" s="31"/>
      <c r="AD49" s="31"/>
      <c r="AE49" s="31"/>
      <c r="AF49" s="31"/>
      <c r="AG49" s="31"/>
      <c r="AH49" s="31"/>
      <c r="AI49" s="31"/>
      <c r="AJ49" s="31"/>
      <c r="AK49" s="31"/>
      <c r="AL49" s="31"/>
      <c r="AM49" s="31"/>
      <c r="AN49" s="31"/>
      <c r="AO49" s="189"/>
      <c r="AP49" s="28"/>
      <c r="AQ49" s="293" t="s">
        <v>127</v>
      </c>
      <c r="AR49" s="294"/>
      <c r="AS49" s="294"/>
      <c r="AT49" s="294"/>
      <c r="AU49" s="294"/>
      <c r="AV49" s="294"/>
      <c r="AW49" s="294"/>
      <c r="AX49" s="294"/>
      <c r="AY49" s="294"/>
      <c r="AZ49" s="294"/>
      <c r="BA49" s="294"/>
      <c r="BB49" s="295"/>
      <c r="BC49" s="3"/>
    </row>
    <row r="50" ht="64.5" customHeight="1">
      <c r="A50" s="22"/>
      <c r="B50" s="296" t="str">
        <f>if(or(U49&gt;10,U49&lt;0),"",
if(U49=1,"가장 높은 기능과 관련된 물건",
if(U49=2,"직업에 필수적인 물건",
if(U49=3,"어린 시절 추억의 물건",
if(U49=4,"중요한 사람의 유품",
if(U49=5,"중요한 사람에게서 받은 물건",
if(U49=6,"수집품",
if(U49=7,"출처가 불분명한 물건",
if(U49=8,"스포츠용품",
if(U49=9,"무기",
if(U49=10,"아끼는 동물",
"")))))))))))</f>
        <v/>
      </c>
      <c r="C50" s="5"/>
      <c r="D50" s="5"/>
      <c r="E50" s="5"/>
      <c r="F50" s="297"/>
      <c r="G50" s="298"/>
      <c r="H50" s="5"/>
      <c r="I50" s="5"/>
      <c r="J50" s="5"/>
      <c r="K50" s="297"/>
      <c r="L50" s="298"/>
      <c r="M50" s="5"/>
      <c r="N50" s="5"/>
      <c r="O50" s="5"/>
      <c r="P50" s="297"/>
      <c r="Q50" s="298"/>
      <c r="R50" s="5"/>
      <c r="S50" s="5"/>
      <c r="T50" s="5"/>
      <c r="U50" s="299"/>
      <c r="V50" s="300" t="str">
        <f>if(or(AO49&gt;10,AO49&lt;0),"잘못된 숫자를 넣으셨습니다.",
if(AO49=1,"부모",
if(AO49=2,"조부모",
if(AO49=3,"형제자매",
if(AO49=4,"자식",
if(AO49=5,"파트너",
if(AO49=6,"존경하는 스승",
if(AO49=7,"친구",
if(AO49=8,"유명인, 우상, 영웅",
if(AO49=9,"동료 탐사자",
if(AO49=10,"NPC",
"")))))))))))</f>
        <v/>
      </c>
      <c r="W50" s="5"/>
      <c r="X50" s="5"/>
      <c r="Y50" s="5"/>
      <c r="Z50" s="297"/>
      <c r="AA50" s="301"/>
      <c r="AB50" s="5"/>
      <c r="AC50" s="5"/>
      <c r="AD50" s="5"/>
      <c r="AE50" s="297"/>
      <c r="AF50" s="301"/>
      <c r="AG50" s="5"/>
      <c r="AH50" s="5"/>
      <c r="AI50" s="5"/>
      <c r="AJ50" s="297"/>
      <c r="AK50" s="301"/>
      <c r="AL50" s="5"/>
      <c r="AM50" s="5"/>
      <c r="AN50" s="5"/>
      <c r="AO50" s="7"/>
      <c r="AP50" s="28"/>
      <c r="AQ50" s="9"/>
      <c r="BB50" s="302"/>
      <c r="BC50" s="3"/>
    </row>
    <row r="51" ht="8.25" customHeight="1">
      <c r="A51" s="22"/>
      <c r="B51" s="303"/>
      <c r="C51" s="304"/>
      <c r="D51" s="304"/>
      <c r="E51" s="304"/>
      <c r="F51" s="305"/>
      <c r="G51" s="306"/>
      <c r="H51" s="304"/>
      <c r="I51" s="304"/>
      <c r="J51" s="304"/>
      <c r="K51" s="305"/>
      <c r="L51" s="306"/>
      <c r="M51" s="304"/>
      <c r="N51" s="304"/>
      <c r="O51" s="304"/>
      <c r="P51" s="305"/>
      <c r="Q51" s="306"/>
      <c r="R51" s="304"/>
      <c r="S51" s="304"/>
      <c r="T51" s="304"/>
      <c r="U51" s="307"/>
      <c r="V51" s="304"/>
      <c r="W51" s="304"/>
      <c r="X51" s="304"/>
      <c r="Y51" s="304"/>
      <c r="Z51" s="305"/>
      <c r="AA51" s="306"/>
      <c r="AB51" s="304"/>
      <c r="AC51" s="304"/>
      <c r="AD51" s="304"/>
      <c r="AE51" s="305"/>
      <c r="AF51" s="306"/>
      <c r="AG51" s="304"/>
      <c r="AH51" s="304"/>
      <c r="AI51" s="304"/>
      <c r="AJ51" s="305"/>
      <c r="AK51" s="306"/>
      <c r="AL51" s="304"/>
      <c r="AM51" s="304"/>
      <c r="AN51" s="304"/>
      <c r="AO51" s="308"/>
      <c r="AP51" s="28"/>
      <c r="AQ51" s="9"/>
      <c r="BB51" s="302"/>
      <c r="BC51" s="3"/>
    </row>
    <row r="52" ht="26.25" customHeight="1">
      <c r="A52" s="22"/>
      <c r="B52" s="309"/>
      <c r="C52" s="310"/>
      <c r="D52" s="310"/>
      <c r="E52" s="310"/>
      <c r="F52" s="311"/>
      <c r="G52" s="312"/>
      <c r="H52" s="310"/>
      <c r="I52" s="310"/>
      <c r="J52" s="310"/>
      <c r="K52" s="311"/>
      <c r="L52" s="312"/>
      <c r="M52" s="310"/>
      <c r="N52" s="310"/>
      <c r="O52" s="310"/>
      <c r="P52" s="311"/>
      <c r="Q52" s="312"/>
      <c r="R52" s="310"/>
      <c r="S52" s="310"/>
      <c r="T52" s="310"/>
      <c r="U52" s="313"/>
      <c r="V52" s="314"/>
      <c r="W52" s="310"/>
      <c r="X52" s="310"/>
      <c r="Y52" s="310"/>
      <c r="Z52" s="311"/>
      <c r="AA52" s="315"/>
      <c r="AB52" s="310"/>
      <c r="AC52" s="310"/>
      <c r="AD52" s="310"/>
      <c r="AE52" s="311"/>
      <c r="AF52" s="315"/>
      <c r="AG52" s="310"/>
      <c r="AH52" s="310"/>
      <c r="AI52" s="310"/>
      <c r="AJ52" s="311"/>
      <c r="AK52" s="315"/>
      <c r="AL52" s="310"/>
      <c r="AM52" s="310"/>
      <c r="AN52" s="310"/>
      <c r="AO52" s="316"/>
      <c r="AP52" s="28"/>
      <c r="AQ52" s="9"/>
      <c r="BB52" s="302"/>
      <c r="BC52" s="3"/>
    </row>
    <row r="53" ht="49.5" customHeight="1">
      <c r="A53" s="22"/>
      <c r="B53" s="303"/>
      <c r="C53" s="304"/>
      <c r="D53" s="304"/>
      <c r="E53" s="304"/>
      <c r="F53" s="305"/>
      <c r="G53" s="306"/>
      <c r="H53" s="304"/>
      <c r="I53" s="304"/>
      <c r="J53" s="304"/>
      <c r="K53" s="305"/>
      <c r="L53" s="306"/>
      <c r="M53" s="304"/>
      <c r="N53" s="304"/>
      <c r="O53" s="304"/>
      <c r="P53" s="305"/>
      <c r="Q53" s="306"/>
      <c r="R53" s="304"/>
      <c r="S53" s="304"/>
      <c r="T53" s="304"/>
      <c r="U53" s="307"/>
      <c r="V53" s="304"/>
      <c r="W53" s="304"/>
      <c r="X53" s="304"/>
      <c r="Y53" s="304"/>
      <c r="Z53" s="305"/>
      <c r="AA53" s="306"/>
      <c r="AB53" s="304"/>
      <c r="AC53" s="304"/>
      <c r="AD53" s="304"/>
      <c r="AE53" s="305"/>
      <c r="AF53" s="306"/>
      <c r="AG53" s="304"/>
      <c r="AH53" s="304"/>
      <c r="AI53" s="304"/>
      <c r="AJ53" s="305"/>
      <c r="AK53" s="306"/>
      <c r="AL53" s="304"/>
      <c r="AM53" s="304"/>
      <c r="AN53" s="304"/>
      <c r="AO53" s="308"/>
      <c r="AP53" s="28"/>
      <c r="AQ53" s="9"/>
      <c r="BB53" s="302"/>
      <c r="BC53" s="3"/>
    </row>
    <row r="54" ht="47.25" customHeight="1">
      <c r="A54" s="22"/>
      <c r="B54" s="309"/>
      <c r="C54" s="310"/>
      <c r="D54" s="310"/>
      <c r="E54" s="310"/>
      <c r="F54" s="311"/>
      <c r="G54" s="312"/>
      <c r="H54" s="310"/>
      <c r="I54" s="310"/>
      <c r="J54" s="310"/>
      <c r="K54" s="311"/>
      <c r="L54" s="312"/>
      <c r="M54" s="310"/>
      <c r="N54" s="310"/>
      <c r="O54" s="310"/>
      <c r="P54" s="311"/>
      <c r="Q54" s="312"/>
      <c r="R54" s="310"/>
      <c r="S54" s="310"/>
      <c r="T54" s="310"/>
      <c r="U54" s="313"/>
      <c r="V54" s="314"/>
      <c r="W54" s="310"/>
      <c r="X54" s="310"/>
      <c r="Y54" s="310"/>
      <c r="Z54" s="311"/>
      <c r="AA54" s="315"/>
      <c r="AB54" s="310"/>
      <c r="AC54" s="310"/>
      <c r="AD54" s="310"/>
      <c r="AE54" s="311"/>
      <c r="AF54" s="315"/>
      <c r="AG54" s="310"/>
      <c r="AH54" s="310"/>
      <c r="AI54" s="310"/>
      <c r="AJ54" s="311"/>
      <c r="AK54" s="315"/>
      <c r="AL54" s="310"/>
      <c r="AM54" s="310"/>
      <c r="AN54" s="310"/>
      <c r="AO54" s="316"/>
      <c r="AP54" s="28"/>
      <c r="AQ54" s="10"/>
      <c r="AR54" s="11"/>
      <c r="AS54" s="11"/>
      <c r="AT54" s="11"/>
      <c r="AU54" s="11"/>
      <c r="AV54" s="11"/>
      <c r="AW54" s="11"/>
      <c r="AX54" s="11"/>
      <c r="AY54" s="11"/>
      <c r="AZ54" s="11"/>
      <c r="BA54" s="11"/>
      <c r="BB54" s="317"/>
      <c r="BC54" s="3"/>
    </row>
    <row r="55" ht="30.75" customHeight="1">
      <c r="A55" s="22"/>
      <c r="B55" s="303"/>
      <c r="C55" s="304"/>
      <c r="D55" s="304"/>
      <c r="E55" s="304"/>
      <c r="F55" s="305"/>
      <c r="G55" s="306"/>
      <c r="H55" s="304"/>
      <c r="I55" s="304"/>
      <c r="J55" s="304"/>
      <c r="K55" s="305"/>
      <c r="L55" s="306"/>
      <c r="M55" s="304"/>
      <c r="N55" s="304"/>
      <c r="O55" s="304"/>
      <c r="P55" s="305"/>
      <c r="Q55" s="306"/>
      <c r="R55" s="304"/>
      <c r="S55" s="304"/>
      <c r="T55" s="304"/>
      <c r="U55" s="307"/>
      <c r="V55" s="304"/>
      <c r="W55" s="304"/>
      <c r="X55" s="304"/>
      <c r="Y55" s="304"/>
      <c r="Z55" s="305"/>
      <c r="AA55" s="306"/>
      <c r="AB55" s="304"/>
      <c r="AC55" s="304"/>
      <c r="AD55" s="304"/>
      <c r="AE55" s="305"/>
      <c r="AF55" s="306"/>
      <c r="AG55" s="304"/>
      <c r="AH55" s="304"/>
      <c r="AI55" s="304"/>
      <c r="AJ55" s="305"/>
      <c r="AK55" s="306"/>
      <c r="AL55" s="304"/>
      <c r="AM55" s="304"/>
      <c r="AN55" s="304"/>
      <c r="AO55" s="308"/>
      <c r="AP55" s="28"/>
      <c r="AQ55" s="318" t="str">
        <f>if(or(BB49&gt;10,BB49&lt;0),"잘못된 숫자를 넣으셨습니다.",
if(BB49=1,"인심이 좋습니다.",
if(BB49=2,"동물의 친구입니다.",
if(BB49=3,"몽상가입니다.",
if(BB49=4,"쾌락주의자입니다.",
if(BB49=5,"과감한 승부사입니다.",
if(BB49=6,"유능한 요리사입니다.",
if(BB49=7,"바람둥이입니다.",
if(BB49=8,"충직합니다.",
if(BB49=9,"평판이 좋습니다.",
if(BB49=10,"야심가입니다.", "당신의 성격은 무엇인가요?")))))))))))</f>
        <v>당신의 성격은 무엇인가요?</v>
      </c>
      <c r="AR55" s="294"/>
      <c r="AS55" s="294"/>
      <c r="AT55" s="294"/>
      <c r="AU55" s="294"/>
      <c r="AV55" s="294"/>
      <c r="AW55" s="294"/>
      <c r="AX55" s="294"/>
      <c r="AY55" s="294"/>
      <c r="AZ55" s="294"/>
      <c r="BA55" s="294"/>
      <c r="BB55" s="294"/>
      <c r="BC55" s="3"/>
    </row>
    <row r="56" ht="22.5" customHeight="1">
      <c r="A56" s="22"/>
      <c r="B56" s="309"/>
      <c r="C56" s="310"/>
      <c r="D56" s="310"/>
      <c r="E56" s="310"/>
      <c r="F56" s="311"/>
      <c r="G56" s="312"/>
      <c r="H56" s="310"/>
      <c r="I56" s="310"/>
      <c r="J56" s="310"/>
      <c r="K56" s="311"/>
      <c r="L56" s="312"/>
      <c r="M56" s="310"/>
      <c r="N56" s="310"/>
      <c r="O56" s="310"/>
      <c r="P56" s="311"/>
      <c r="Q56" s="312"/>
      <c r="R56" s="310"/>
      <c r="S56" s="310"/>
      <c r="T56" s="310"/>
      <c r="U56" s="313"/>
      <c r="V56" s="314"/>
      <c r="W56" s="310"/>
      <c r="X56" s="310"/>
      <c r="Y56" s="310"/>
      <c r="Z56" s="311"/>
      <c r="AA56" s="315"/>
      <c r="AB56" s="310"/>
      <c r="AC56" s="310"/>
      <c r="AD56" s="310"/>
      <c r="AE56" s="311"/>
      <c r="AF56" s="315"/>
      <c r="AG56" s="310"/>
      <c r="AH56" s="310"/>
      <c r="AI56" s="310"/>
      <c r="AJ56" s="311"/>
      <c r="AK56" s="315"/>
      <c r="AL56" s="310"/>
      <c r="AM56" s="310"/>
      <c r="AN56" s="310"/>
      <c r="AO56" s="316"/>
      <c r="AP56" s="28"/>
      <c r="AQ56" s="9"/>
      <c r="BC56" s="3"/>
    </row>
    <row r="57" ht="62.25" customHeight="1">
      <c r="A57" s="22"/>
      <c r="B57" s="303"/>
      <c r="C57" s="304"/>
      <c r="D57" s="304"/>
      <c r="E57" s="304"/>
      <c r="F57" s="305"/>
      <c r="G57" s="306"/>
      <c r="H57" s="304"/>
      <c r="I57" s="304"/>
      <c r="J57" s="304"/>
      <c r="K57" s="305"/>
      <c r="L57" s="306"/>
      <c r="M57" s="304"/>
      <c r="N57" s="304"/>
      <c r="O57" s="304"/>
      <c r="P57" s="305"/>
      <c r="Q57" s="306"/>
      <c r="R57" s="304"/>
      <c r="S57" s="304"/>
      <c r="T57" s="304"/>
      <c r="U57" s="307"/>
      <c r="V57" s="304"/>
      <c r="W57" s="304"/>
      <c r="X57" s="304"/>
      <c r="Y57" s="304"/>
      <c r="Z57" s="305"/>
      <c r="AA57" s="306"/>
      <c r="AB57" s="304"/>
      <c r="AC57" s="304"/>
      <c r="AD57" s="304"/>
      <c r="AE57" s="305"/>
      <c r="AF57" s="306"/>
      <c r="AG57" s="304"/>
      <c r="AH57" s="304"/>
      <c r="AI57" s="304"/>
      <c r="AJ57" s="305"/>
      <c r="AK57" s="306"/>
      <c r="AL57" s="304"/>
      <c r="AM57" s="304"/>
      <c r="AN57" s="304"/>
      <c r="AO57" s="308"/>
      <c r="AP57" s="28"/>
      <c r="AQ57" s="9"/>
      <c r="BC57" s="3"/>
    </row>
    <row r="58" ht="61.5" customHeight="1">
      <c r="A58" s="22"/>
      <c r="B58" s="309"/>
      <c r="C58" s="310"/>
      <c r="D58" s="310"/>
      <c r="E58" s="310"/>
      <c r="F58" s="311"/>
      <c r="G58" s="312"/>
      <c r="H58" s="310"/>
      <c r="I58" s="310"/>
      <c r="J58" s="310"/>
      <c r="K58" s="311"/>
      <c r="L58" s="312"/>
      <c r="M58" s="310"/>
      <c r="N58" s="310"/>
      <c r="O58" s="310"/>
      <c r="P58" s="311"/>
      <c r="Q58" s="312"/>
      <c r="R58" s="310"/>
      <c r="S58" s="310"/>
      <c r="T58" s="310"/>
      <c r="U58" s="313"/>
      <c r="V58" s="314"/>
      <c r="W58" s="310"/>
      <c r="X58" s="310"/>
      <c r="Y58" s="310"/>
      <c r="Z58" s="311"/>
      <c r="AA58" s="315"/>
      <c r="AB58" s="310"/>
      <c r="AC58" s="310"/>
      <c r="AD58" s="310"/>
      <c r="AE58" s="311"/>
      <c r="AF58" s="315"/>
      <c r="AG58" s="310"/>
      <c r="AH58" s="310"/>
      <c r="AI58" s="310"/>
      <c r="AJ58" s="311"/>
      <c r="AK58" s="315"/>
      <c r="AL58" s="310"/>
      <c r="AM58" s="310"/>
      <c r="AN58" s="310"/>
      <c r="AO58" s="316"/>
      <c r="AP58" s="28"/>
      <c r="AQ58" s="10"/>
      <c r="AR58" s="11"/>
      <c r="AS58" s="11"/>
      <c r="AT58" s="11"/>
      <c r="AU58" s="11"/>
      <c r="AV58" s="11"/>
      <c r="AW58" s="11"/>
      <c r="AX58" s="11"/>
      <c r="AY58" s="11"/>
      <c r="AZ58" s="11"/>
      <c r="BA58" s="11"/>
      <c r="BB58" s="11"/>
      <c r="BC58" s="3"/>
    </row>
    <row r="59" ht="13.5" customHeight="1">
      <c r="A59" s="22"/>
      <c r="B59" s="303"/>
      <c r="C59" s="304"/>
      <c r="D59" s="304"/>
      <c r="E59" s="304"/>
      <c r="F59" s="305"/>
      <c r="G59" s="306"/>
      <c r="H59" s="304"/>
      <c r="I59" s="304"/>
      <c r="J59" s="304"/>
      <c r="K59" s="305"/>
      <c r="L59" s="306"/>
      <c r="M59" s="304"/>
      <c r="N59" s="304"/>
      <c r="O59" s="304"/>
      <c r="P59" s="305"/>
      <c r="Q59" s="306"/>
      <c r="R59" s="304"/>
      <c r="S59" s="304"/>
      <c r="T59" s="304"/>
      <c r="U59" s="307"/>
      <c r="V59" s="11"/>
      <c r="W59" s="11"/>
      <c r="X59" s="11"/>
      <c r="Y59" s="11"/>
      <c r="Z59" s="319"/>
      <c r="AA59" s="320"/>
      <c r="AB59" s="11"/>
      <c r="AC59" s="11"/>
      <c r="AD59" s="11"/>
      <c r="AE59" s="319"/>
      <c r="AF59" s="320"/>
      <c r="AG59" s="11"/>
      <c r="AH59" s="11"/>
      <c r="AI59" s="11"/>
      <c r="AJ59" s="319"/>
      <c r="AK59" s="320"/>
      <c r="AL59" s="11"/>
      <c r="AM59" s="11"/>
      <c r="AN59" s="11"/>
      <c r="AO59" s="12"/>
      <c r="AP59" s="28"/>
      <c r="AQ59" s="203" t="s">
        <v>128</v>
      </c>
      <c r="AR59" s="105"/>
      <c r="AS59" s="105"/>
      <c r="AT59" s="105"/>
      <c r="AU59" s="105"/>
      <c r="AV59" s="105"/>
      <c r="AW59" s="105"/>
      <c r="AX59" s="105"/>
      <c r="AY59" s="105"/>
      <c r="AZ59" s="105"/>
      <c r="BA59" s="105"/>
      <c r="BB59" s="191"/>
      <c r="BC59" s="3"/>
    </row>
    <row r="60" ht="13.5" customHeight="1">
      <c r="A60" s="22"/>
      <c r="B60" s="309"/>
      <c r="C60" s="310"/>
      <c r="D60" s="310"/>
      <c r="E60" s="310"/>
      <c r="F60" s="311"/>
      <c r="G60" s="315"/>
      <c r="H60" s="310"/>
      <c r="I60" s="310"/>
      <c r="J60" s="310"/>
      <c r="K60" s="311"/>
      <c r="L60" s="315"/>
      <c r="M60" s="310"/>
      <c r="N60" s="310"/>
      <c r="O60" s="310"/>
      <c r="P60" s="311"/>
      <c r="Q60" s="315"/>
      <c r="R60" s="310"/>
      <c r="S60" s="310"/>
      <c r="T60" s="310"/>
      <c r="U60" s="313"/>
      <c r="V60" s="321" t="s">
        <v>129</v>
      </c>
      <c r="W60" s="105"/>
      <c r="X60" s="105"/>
      <c r="Y60" s="105"/>
      <c r="Z60" s="105"/>
      <c r="AA60" s="105"/>
      <c r="AB60" s="105"/>
      <c r="AC60" s="105"/>
      <c r="AD60" s="105"/>
      <c r="AE60" s="105"/>
      <c r="AF60" s="105"/>
      <c r="AG60" s="105"/>
      <c r="AH60" s="105"/>
      <c r="AI60" s="105"/>
      <c r="AJ60" s="105"/>
      <c r="AK60" s="105"/>
      <c r="AL60" s="105"/>
      <c r="AM60" s="105"/>
      <c r="AN60" s="107"/>
      <c r="AO60" s="211"/>
      <c r="AP60" s="28"/>
      <c r="AQ60" s="212" t="str">
        <f>if(or(BB59&gt;10,BB59&lt;0),"잘못된 숫자를 넣으셨습니다.",
if(BB59=1,"숭배하고 기도하는 초월적인 존재가 있습니다.",
if(BB59=2,"인류는 종교 없이도 잘 살 수 있습니다.",
if(BB59=3,"과학이 모든 것의 해답입니다.",
if(BB59=4,"운명을 극적으로 믿습니다.",
if(BB59=5,"사회단체 또는 비밀 단체에 소속되어 있습니다.",
if(BB59=6,"사회에 뿌리 뽑아야 할 악이 있습니다.",
if(BB59=7,"오컬트를 믿습니다.",
if(BB59=8,"세상만사에 관심이 많습니다.",
if(BB59=9,"돈이 권력이고 세속적인 욕심이 강합니다.",
if(BB59=10,"운동가 또는 활동가로 활약하고 있습니다.",
"당신의 사상이나 신념은 무엇인가요?")))))))))))</f>
        <v>당신의 사상이나 신념은 무엇인가요?</v>
      </c>
      <c r="AR60" s="185"/>
      <c r="AS60" s="185"/>
      <c r="AT60" s="185"/>
      <c r="AU60" s="185"/>
      <c r="AV60" s="185"/>
      <c r="AW60" s="185"/>
      <c r="AX60" s="185"/>
      <c r="AY60" s="185"/>
      <c r="AZ60" s="185"/>
      <c r="BA60" s="185"/>
      <c r="BB60" s="185"/>
      <c r="BC60" s="3"/>
    </row>
    <row r="61" ht="56.25" customHeight="1">
      <c r="A61" s="22"/>
      <c r="B61" s="10"/>
      <c r="C61" s="11"/>
      <c r="D61" s="11"/>
      <c r="E61" s="11"/>
      <c r="F61" s="319"/>
      <c r="G61" s="320"/>
      <c r="H61" s="11"/>
      <c r="I61" s="11"/>
      <c r="J61" s="11"/>
      <c r="K61" s="319"/>
      <c r="L61" s="320"/>
      <c r="M61" s="11"/>
      <c r="N61" s="11"/>
      <c r="O61" s="11"/>
      <c r="P61" s="319"/>
      <c r="Q61" s="320"/>
      <c r="R61" s="11"/>
      <c r="S61" s="11"/>
      <c r="T61" s="11"/>
      <c r="U61" s="322"/>
      <c r="V61" s="323" t="str">
        <f>if(or(AO60&gt;10,AO60&lt;0),"잘못된 숫자를 넣으셨습니다.",
if(AO60=1,"갚을 은혜가 있습니다.",
if(AO60=2,"배운 것이 있습니다.",
if(AO60=3,"삶에 의미를 주었습니다.",
if(AO60=4,"잘못한 것이 있어서 속죄하려고 합니다.",
if(AO60=5,"공유한 경험이 있습니다.",
if(AO60=6,"인정을 받고 싶습니다.",
if(AO60=7,"동경하고 숭배합니다.",
if(AO60=8,"회한(두고두고 후회함)이 있습니다.",
if(AO60=9,"자신이 그 사람보다 나은 인간임을 증명하고 싶습니다.",
if(AO60=10,"해를 끼친 사람에게 복수하고 싶습니다.",
"왜 그 사람을 중요하게 여기시나요?")))))))))))</f>
        <v>왜 그 사람을 중요하게 여기시나요?</v>
      </c>
      <c r="W61" s="105"/>
      <c r="X61" s="105"/>
      <c r="Y61" s="105"/>
      <c r="Z61" s="105"/>
      <c r="AA61" s="105"/>
      <c r="AB61" s="105"/>
      <c r="AC61" s="105"/>
      <c r="AD61" s="105"/>
      <c r="AE61" s="105"/>
      <c r="AF61" s="105"/>
      <c r="AG61" s="105"/>
      <c r="AH61" s="105"/>
      <c r="AI61" s="105"/>
      <c r="AJ61" s="105"/>
      <c r="AK61" s="105"/>
      <c r="AL61" s="105"/>
      <c r="AM61" s="105"/>
      <c r="AN61" s="105"/>
      <c r="AO61" s="107"/>
      <c r="AP61" s="28"/>
      <c r="AQ61" s="216" t="s">
        <v>130</v>
      </c>
      <c r="AR61" s="105"/>
      <c r="AS61" s="105"/>
      <c r="AT61" s="105"/>
      <c r="AU61" s="105"/>
      <c r="AV61" s="105"/>
      <c r="AW61" s="105"/>
      <c r="AX61" s="107"/>
      <c r="AY61" s="324"/>
      <c r="AZ61" s="105"/>
      <c r="BA61" s="105"/>
      <c r="BB61" s="107"/>
      <c r="BC61" s="3"/>
    </row>
    <row r="62" ht="13.5" customHeight="1">
      <c r="A62" s="2"/>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3"/>
      <c r="AD62" s="53"/>
      <c r="AE62" s="53"/>
      <c r="AF62" s="53"/>
      <c r="AG62" s="53"/>
      <c r="AH62" s="53"/>
      <c r="AI62" s="53"/>
      <c r="AJ62" s="53"/>
      <c r="AK62" s="53"/>
      <c r="AL62" s="53"/>
      <c r="AM62" s="53"/>
      <c r="AN62" s="53"/>
      <c r="AO62" s="53"/>
      <c r="AP62" s="218"/>
      <c r="AQ62" s="218"/>
      <c r="AR62" s="218"/>
      <c r="AS62" s="218"/>
      <c r="AT62" s="218"/>
      <c r="AU62" s="218"/>
      <c r="AV62" s="218"/>
      <c r="AW62" s="218"/>
      <c r="AX62" s="218"/>
      <c r="AY62" s="218"/>
      <c r="AZ62" s="218"/>
      <c r="BA62" s="218"/>
      <c r="BB62" s="218"/>
      <c r="BC62" s="3"/>
    </row>
    <row r="63" ht="15.75" customHeight="1">
      <c r="A63" s="219"/>
      <c r="B63" s="220" t="s">
        <v>131</v>
      </c>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5"/>
      <c r="BC63" s="221"/>
    </row>
    <row r="64" ht="15.75" customHeight="1">
      <c r="A64" s="219"/>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2"/>
      <c r="BC64" s="221"/>
    </row>
    <row r="65" ht="15.75" customHeight="1">
      <c r="A65" s="219"/>
      <c r="B65" s="222" t="s">
        <v>132</v>
      </c>
      <c r="C65" s="24"/>
      <c r="D65" s="24"/>
      <c r="E65" s="24"/>
      <c r="F65" s="24"/>
      <c r="G65" s="24"/>
      <c r="H65" s="24"/>
      <c r="I65" s="24"/>
      <c r="J65" s="24"/>
      <c r="K65" s="24"/>
      <c r="L65" s="24"/>
      <c r="M65" s="24"/>
      <c r="N65" s="24"/>
      <c r="O65" s="24"/>
      <c r="P65" s="24"/>
      <c r="Q65" s="24"/>
      <c r="R65" s="25"/>
      <c r="S65" s="223" t="s">
        <v>127</v>
      </c>
      <c r="T65" s="24"/>
      <c r="U65" s="24"/>
      <c r="V65" s="24"/>
      <c r="W65" s="24"/>
      <c r="X65" s="24"/>
      <c r="Y65" s="24"/>
      <c r="Z65" s="24"/>
      <c r="AA65" s="24"/>
      <c r="AB65" s="24"/>
      <c r="AC65" s="24"/>
      <c r="AD65" s="24"/>
      <c r="AE65" s="24"/>
      <c r="AF65" s="24"/>
      <c r="AG65" s="24"/>
      <c r="AH65" s="24"/>
      <c r="AI65" s="25"/>
      <c r="AJ65" s="222" t="s">
        <v>133</v>
      </c>
      <c r="AK65" s="24"/>
      <c r="AL65" s="24"/>
      <c r="AM65" s="24"/>
      <c r="AN65" s="24"/>
      <c r="AO65" s="24"/>
      <c r="AP65" s="24"/>
      <c r="AQ65" s="24"/>
      <c r="AR65" s="24"/>
      <c r="AS65" s="24"/>
      <c r="AT65" s="24"/>
      <c r="AU65" s="24"/>
      <c r="AV65" s="24"/>
      <c r="AW65" s="24"/>
      <c r="AX65" s="24"/>
      <c r="AY65" s="24"/>
      <c r="AZ65" s="24"/>
      <c r="BA65" s="24"/>
      <c r="BB65" s="25"/>
      <c r="BC65" s="221"/>
    </row>
    <row r="66" ht="15.75" customHeight="1">
      <c r="A66" s="219"/>
      <c r="B66" s="224"/>
      <c r="C66" s="5"/>
      <c r="D66" s="5"/>
      <c r="E66" s="5"/>
      <c r="F66" s="5"/>
      <c r="G66" s="5"/>
      <c r="H66" s="5"/>
      <c r="I66" s="5"/>
      <c r="J66" s="5"/>
      <c r="K66" s="5"/>
      <c r="L66" s="5"/>
      <c r="M66" s="5"/>
      <c r="N66" s="5"/>
      <c r="O66" s="5"/>
      <c r="P66" s="5"/>
      <c r="Q66" s="5"/>
      <c r="R66" s="7"/>
      <c r="S66" s="224"/>
      <c r="T66" s="5"/>
      <c r="U66" s="5"/>
      <c r="V66" s="5"/>
      <c r="W66" s="5"/>
      <c r="X66" s="5"/>
      <c r="Y66" s="5"/>
      <c r="Z66" s="5"/>
      <c r="AA66" s="5"/>
      <c r="AB66" s="5"/>
      <c r="AC66" s="5"/>
      <c r="AD66" s="5"/>
      <c r="AE66" s="5"/>
      <c r="AF66" s="5"/>
      <c r="AG66" s="5"/>
      <c r="AH66" s="5"/>
      <c r="AI66" s="7"/>
      <c r="AJ66" s="224"/>
      <c r="AK66" s="5"/>
      <c r="AL66" s="5"/>
      <c r="AM66" s="5"/>
      <c r="AN66" s="5"/>
      <c r="AO66" s="5"/>
      <c r="AP66" s="5"/>
      <c r="AQ66" s="5"/>
      <c r="AR66" s="5"/>
      <c r="AS66" s="5"/>
      <c r="AT66" s="5"/>
      <c r="AU66" s="5"/>
      <c r="AV66" s="5"/>
      <c r="AW66" s="5"/>
      <c r="AX66" s="5"/>
      <c r="AY66" s="5"/>
      <c r="AZ66" s="5"/>
      <c r="BA66" s="5"/>
      <c r="BB66" s="225"/>
      <c r="BC66" s="226"/>
    </row>
    <row r="67" ht="135.0" customHeight="1">
      <c r="A67" s="219"/>
      <c r="B67" s="9"/>
      <c r="R67" s="15"/>
      <c r="S67" s="9"/>
      <c r="AI67" s="15"/>
      <c r="AJ67" s="9"/>
      <c r="BB67" s="209"/>
      <c r="BC67" s="226"/>
    </row>
    <row r="68" ht="15.75" customHeight="1">
      <c r="A68" s="219"/>
      <c r="B68" s="9"/>
      <c r="R68" s="15"/>
      <c r="S68" s="9"/>
      <c r="AI68" s="15"/>
      <c r="AJ68" s="9"/>
      <c r="BB68" s="209"/>
      <c r="BC68" s="226"/>
    </row>
    <row r="69" ht="15.75" customHeight="1">
      <c r="A69" s="219"/>
      <c r="B69" s="9"/>
      <c r="R69" s="15"/>
      <c r="S69" s="9"/>
      <c r="AI69" s="15"/>
      <c r="AJ69" s="9"/>
      <c r="BB69" s="209"/>
      <c r="BC69" s="226"/>
    </row>
    <row r="70" ht="15.75" customHeight="1">
      <c r="A70" s="219"/>
      <c r="B70" s="10"/>
      <c r="C70" s="11"/>
      <c r="D70" s="11"/>
      <c r="E70" s="11"/>
      <c r="F70" s="11"/>
      <c r="G70" s="11"/>
      <c r="H70" s="11"/>
      <c r="I70" s="11"/>
      <c r="J70" s="11"/>
      <c r="K70" s="11"/>
      <c r="L70" s="11"/>
      <c r="M70" s="11"/>
      <c r="N70" s="11"/>
      <c r="O70" s="11"/>
      <c r="P70" s="11"/>
      <c r="Q70" s="11"/>
      <c r="R70" s="12"/>
      <c r="S70" s="10"/>
      <c r="T70" s="11"/>
      <c r="U70" s="11"/>
      <c r="V70" s="11"/>
      <c r="W70" s="11"/>
      <c r="X70" s="11"/>
      <c r="Y70" s="11"/>
      <c r="Z70" s="11"/>
      <c r="AA70" s="11"/>
      <c r="AB70" s="11"/>
      <c r="AC70" s="11"/>
      <c r="AD70" s="11"/>
      <c r="AE70" s="11"/>
      <c r="AF70" s="11"/>
      <c r="AG70" s="11"/>
      <c r="AH70" s="11"/>
      <c r="AI70" s="12"/>
      <c r="AJ70" s="9"/>
      <c r="BB70" s="209"/>
      <c r="BC70" s="226"/>
    </row>
    <row r="71" ht="15.75" customHeight="1">
      <c r="A71" s="219"/>
      <c r="B71" s="227" t="s">
        <v>134</v>
      </c>
      <c r="C71" s="5"/>
      <c r="D71" s="5"/>
      <c r="E71" s="5"/>
      <c r="F71" s="5"/>
      <c r="G71" s="5"/>
      <c r="H71" s="5"/>
      <c r="I71" s="5"/>
      <c r="J71" s="5"/>
      <c r="K71" s="5"/>
      <c r="L71" s="5"/>
      <c r="M71" s="5"/>
      <c r="N71" s="5"/>
      <c r="O71" s="5"/>
      <c r="P71" s="5"/>
      <c r="Q71" s="7"/>
      <c r="R71" s="228"/>
      <c r="S71" s="229" t="s">
        <v>135</v>
      </c>
      <c r="T71" s="5"/>
      <c r="U71" s="5"/>
      <c r="V71" s="7"/>
      <c r="W71" s="229" t="s">
        <v>136</v>
      </c>
      <c r="X71" s="5"/>
      <c r="Y71" s="5"/>
      <c r="Z71" s="7"/>
      <c r="AA71" s="229" t="s">
        <v>137</v>
      </c>
      <c r="AB71" s="5"/>
      <c r="AC71" s="5"/>
      <c r="AD71" s="7"/>
      <c r="AE71" s="229" t="s">
        <v>138</v>
      </c>
      <c r="AF71" s="5"/>
      <c r="AG71" s="5"/>
      <c r="AH71" s="5"/>
      <c r="AI71" s="7"/>
      <c r="AJ71" s="9"/>
      <c r="BB71" s="209"/>
      <c r="BC71" s="226"/>
    </row>
    <row r="72" ht="15.75" customHeight="1">
      <c r="A72" s="219"/>
      <c r="B72" s="10"/>
      <c r="C72" s="11"/>
      <c r="D72" s="11"/>
      <c r="E72" s="11"/>
      <c r="F72" s="11"/>
      <c r="G72" s="11"/>
      <c r="H72" s="11"/>
      <c r="I72" s="11"/>
      <c r="J72" s="11"/>
      <c r="K72" s="11"/>
      <c r="L72" s="11"/>
      <c r="M72" s="11"/>
      <c r="N72" s="11"/>
      <c r="O72" s="11"/>
      <c r="P72" s="11"/>
      <c r="Q72" s="12"/>
      <c r="R72" s="230"/>
      <c r="S72" s="10"/>
      <c r="T72" s="11"/>
      <c r="U72" s="11"/>
      <c r="V72" s="12"/>
      <c r="W72" s="10"/>
      <c r="X72" s="11"/>
      <c r="Y72" s="11"/>
      <c r="Z72" s="12"/>
      <c r="AA72" s="10"/>
      <c r="AB72" s="11"/>
      <c r="AC72" s="11"/>
      <c r="AD72" s="12"/>
      <c r="AE72" s="10"/>
      <c r="AF72" s="11"/>
      <c r="AG72" s="11"/>
      <c r="AH72" s="11"/>
      <c r="AI72" s="12"/>
      <c r="AJ72" s="9"/>
      <c r="BB72" s="209"/>
      <c r="BC72" s="226"/>
    </row>
    <row r="73" ht="15.75" customHeight="1">
      <c r="A73" s="219"/>
      <c r="B73" s="231" t="str">
        <f>if(or(R72&gt;10,R72&lt;0),"잘못된 숫자를 넣으셨습니다.",
if(R72=1,"배움의 장소",
if(R72=2,"고향",
if(R72=3,"첫사랑을 만난 곳",
if(R72=4,"조용한 명상의 장소",
if(R72=5,"사교의 장소",
if(R72=6,"사상 또는 신앙과 관련된 장소",
if(R72=7,"중요한 사람의 무덤",
if(R72=8,"가족의 집",
if(R72=9,"가장 행복했던 시간을 보낸 곳",
if(R72=10,"직장",
"당신에게 의미있었던 장소는 어딘가요?")))))))))))</f>
        <v>당신에게 의미있었던 장소는 어딘가요?</v>
      </c>
      <c r="C73" s="105"/>
      <c r="D73" s="105"/>
      <c r="E73" s="105"/>
      <c r="F73" s="105"/>
      <c r="G73" s="105"/>
      <c r="H73" s="105"/>
      <c r="I73" s="105"/>
      <c r="J73" s="105"/>
      <c r="K73" s="105"/>
      <c r="L73" s="105"/>
      <c r="M73" s="105"/>
      <c r="N73" s="105"/>
      <c r="O73" s="105"/>
      <c r="P73" s="105"/>
      <c r="Q73" s="105"/>
      <c r="R73" s="107"/>
      <c r="S73" s="231" t="str">
        <f>R19</f>
        <v/>
      </c>
      <c r="T73" s="105"/>
      <c r="U73" s="105"/>
      <c r="V73" s="107"/>
      <c r="W73" s="232">
        <f>if((R19)&lt;=0,(10*1.3),if((R19)&lt;=9,(40*1.3),if((R19)&lt;=49,(200*1.3),if((R19)&lt;=89,(1000*1.3),if((R19)&lt;=98,(5000*1.3),100000)))))</f>
        <v>13</v>
      </c>
      <c r="X73" s="105"/>
      <c r="Y73" s="105"/>
      <c r="Z73" s="107"/>
      <c r="AA73" s="232">
        <f>if((R19)&lt;=0,(10*1.3),if((R19)&lt;=9,(R19*20*1.3),if((R19)&lt;=49,(R19*40*1.3),if((R19)&lt;=89,(R19*100*1.3),if((R19)&lt;=98,(R19*400*1.3),(1000000*1.3))))))</f>
        <v>13</v>
      </c>
      <c r="AB73" s="105"/>
      <c r="AC73" s="105"/>
      <c r="AD73" s="107"/>
      <c r="AE73" s="232" t="str">
        <f>if((R19)&lt;=0,"None",if((R19)&lt;=9,(R19*200*1.3),if((R19)&lt;=49,(R19*1000*1.3),if((R19)&lt;=89,(R19*10000*1.3),if((R19)&lt;=98,(R19*40000*1.3),"$100000000+")))))</f>
        <v>None</v>
      </c>
      <c r="AF73" s="105"/>
      <c r="AG73" s="105"/>
      <c r="AH73" s="105"/>
      <c r="AI73" s="107"/>
      <c r="AJ73" s="188"/>
      <c r="AK73" s="31"/>
      <c r="AL73" s="31"/>
      <c r="AM73" s="31"/>
      <c r="AN73" s="31"/>
      <c r="AO73" s="31"/>
      <c r="AP73" s="31"/>
      <c r="AQ73" s="31"/>
      <c r="AR73" s="31"/>
      <c r="AS73" s="31"/>
      <c r="AT73" s="31"/>
      <c r="AU73" s="31"/>
      <c r="AV73" s="31"/>
      <c r="AW73" s="31"/>
      <c r="AX73" s="31"/>
      <c r="AY73" s="31"/>
      <c r="AZ73" s="31"/>
      <c r="BA73" s="31"/>
      <c r="BB73" s="32"/>
      <c r="BC73" s="226"/>
    </row>
    <row r="74" ht="15.75" customHeight="1">
      <c r="A74" s="234"/>
      <c r="B74" s="235"/>
      <c r="C74" s="235"/>
      <c r="D74" s="235"/>
      <c r="E74" s="235"/>
      <c r="F74" s="235"/>
      <c r="G74" s="235"/>
      <c r="H74" s="235"/>
      <c r="I74" s="235"/>
      <c r="J74" s="235"/>
      <c r="K74" s="235"/>
      <c r="L74" s="235"/>
      <c r="M74" s="235"/>
      <c r="N74" s="235"/>
      <c r="O74" s="235"/>
      <c r="P74" s="235"/>
      <c r="Q74" s="235"/>
      <c r="R74" s="235"/>
      <c r="S74" s="235"/>
      <c r="T74" s="235"/>
      <c r="U74" s="235"/>
      <c r="V74" s="235"/>
      <c r="W74" s="235"/>
      <c r="X74" s="235"/>
      <c r="Y74" s="235"/>
      <c r="Z74" s="235"/>
      <c r="AA74" s="235"/>
      <c r="AB74" s="235"/>
      <c r="AC74" s="235"/>
      <c r="AD74" s="235"/>
      <c r="AE74" s="235"/>
      <c r="AF74" s="235"/>
      <c r="AG74" s="235"/>
      <c r="AH74" s="235"/>
      <c r="AI74" s="235"/>
      <c r="AJ74" s="236"/>
      <c r="AK74" s="237"/>
      <c r="AL74" s="238"/>
      <c r="AM74" s="237"/>
      <c r="AN74" s="237"/>
      <c r="AO74" s="237"/>
      <c r="AP74" s="237"/>
      <c r="AQ74" s="237"/>
      <c r="AR74" s="237"/>
      <c r="AS74" s="237"/>
      <c r="AT74" s="237"/>
      <c r="AU74" s="237"/>
      <c r="AV74" s="237"/>
      <c r="AW74" s="237"/>
      <c r="AX74" s="237"/>
      <c r="AY74" s="237"/>
      <c r="AZ74" s="237"/>
      <c r="BA74" s="237"/>
      <c r="BB74" s="237"/>
      <c r="BC74" s="239"/>
    </row>
    <row r="75" ht="15.75" customHeight="1">
      <c r="A75" s="240"/>
      <c r="B75" s="241" t="s">
        <v>139</v>
      </c>
      <c r="C75" s="24"/>
      <c r="D75" s="24"/>
      <c r="E75" s="24"/>
      <c r="F75" s="24"/>
      <c r="G75" s="24"/>
      <c r="H75" s="24"/>
      <c r="I75" s="24"/>
      <c r="J75" s="24"/>
      <c r="K75" s="24"/>
      <c r="L75" s="24"/>
      <c r="M75" s="25"/>
      <c r="N75" s="242" t="s">
        <v>140</v>
      </c>
      <c r="O75" s="24"/>
      <c r="P75" s="24"/>
      <c r="Q75" s="24"/>
      <c r="R75" s="24"/>
      <c r="S75" s="24"/>
      <c r="T75" s="24"/>
      <c r="U75" s="24"/>
      <c r="V75" s="24"/>
      <c r="W75" s="24"/>
      <c r="X75" s="24"/>
      <c r="Y75" s="25"/>
      <c r="Z75" s="242" t="s">
        <v>141</v>
      </c>
      <c r="AA75" s="24"/>
      <c r="AB75" s="24"/>
      <c r="AC75" s="24"/>
      <c r="AD75" s="24"/>
      <c r="AE75" s="24"/>
      <c r="AF75" s="24"/>
      <c r="AG75" s="24"/>
      <c r="AH75" s="24"/>
      <c r="AI75" s="24"/>
      <c r="AJ75" s="24"/>
      <c r="AK75" s="25"/>
      <c r="AL75" s="242" t="s">
        <v>142</v>
      </c>
      <c r="AM75" s="24"/>
      <c r="AN75" s="24"/>
      <c r="AO75" s="24"/>
      <c r="AP75" s="24"/>
      <c r="AQ75" s="24"/>
      <c r="AR75" s="24"/>
      <c r="AS75" s="24"/>
      <c r="AT75" s="24"/>
      <c r="AU75" s="24"/>
      <c r="AV75" s="24"/>
      <c r="AW75" s="25"/>
      <c r="AX75" s="243"/>
      <c r="AY75" s="244" t="s">
        <v>143</v>
      </c>
      <c r="AZ75" s="24"/>
      <c r="BA75" s="24"/>
      <c r="BB75" s="25"/>
      <c r="BC75" s="245"/>
    </row>
    <row r="76" ht="15.75" customHeight="1">
      <c r="A76" s="246"/>
      <c r="B76" s="247"/>
      <c r="C76" s="11"/>
      <c r="D76" s="11"/>
      <c r="E76" s="11"/>
      <c r="F76" s="11"/>
      <c r="G76" s="11"/>
      <c r="H76" s="11"/>
      <c r="I76" s="11"/>
      <c r="J76" s="11"/>
      <c r="K76" s="11"/>
      <c r="L76" s="11"/>
      <c r="M76" s="248"/>
      <c r="N76" s="10"/>
      <c r="O76" s="11"/>
      <c r="P76" s="11"/>
      <c r="Q76" s="11"/>
      <c r="R76" s="11"/>
      <c r="S76" s="11"/>
      <c r="T76" s="11"/>
      <c r="U76" s="11"/>
      <c r="V76" s="11"/>
      <c r="W76" s="11"/>
      <c r="X76" s="11"/>
      <c r="Y76" s="248"/>
      <c r="Z76" s="10"/>
      <c r="AA76" s="11"/>
      <c r="AB76" s="11"/>
      <c r="AC76" s="11"/>
      <c r="AD76" s="11"/>
      <c r="AE76" s="11"/>
      <c r="AF76" s="11"/>
      <c r="AG76" s="11"/>
      <c r="AH76" s="11"/>
      <c r="AI76" s="11"/>
      <c r="AJ76" s="11"/>
      <c r="AK76" s="248"/>
      <c r="AL76" s="10"/>
      <c r="AM76" s="11"/>
      <c r="AN76" s="11"/>
      <c r="AO76" s="11"/>
      <c r="AP76" s="11"/>
      <c r="AQ76" s="11"/>
      <c r="AR76" s="11"/>
      <c r="AS76" s="11"/>
      <c r="AT76" s="11"/>
      <c r="AU76" s="11"/>
      <c r="AV76" s="11"/>
      <c r="AW76" s="248"/>
      <c r="AX76" s="249"/>
      <c r="AY76" s="250"/>
      <c r="BB76" s="209"/>
      <c r="BC76" s="251"/>
    </row>
    <row r="77" ht="15.75" customHeight="1">
      <c r="A77" s="252"/>
      <c r="B77" s="257"/>
      <c r="C77" s="5"/>
      <c r="D77" s="5"/>
      <c r="E77" s="5"/>
      <c r="F77" s="5"/>
      <c r="G77" s="5"/>
      <c r="H77" s="5"/>
      <c r="I77" s="5"/>
      <c r="J77" s="5"/>
      <c r="K77" s="5"/>
      <c r="L77" s="5"/>
      <c r="M77" s="225"/>
      <c r="N77" s="254"/>
      <c r="O77" s="5"/>
      <c r="P77" s="5"/>
      <c r="Q77" s="5"/>
      <c r="R77" s="5"/>
      <c r="S77" s="5"/>
      <c r="T77" s="5"/>
      <c r="U77" s="5"/>
      <c r="V77" s="5"/>
      <c r="W77" s="5"/>
      <c r="X77" s="5"/>
      <c r="Y77" s="225"/>
      <c r="Z77" s="254"/>
      <c r="AA77" s="5"/>
      <c r="AB77" s="5"/>
      <c r="AC77" s="5"/>
      <c r="AD77" s="5"/>
      <c r="AE77" s="5"/>
      <c r="AF77" s="5"/>
      <c r="AG77" s="5"/>
      <c r="AH77" s="5"/>
      <c r="AI77" s="5"/>
      <c r="AJ77" s="5"/>
      <c r="AK77" s="225"/>
      <c r="AL77" s="254"/>
      <c r="AM77" s="5"/>
      <c r="AN77" s="5"/>
      <c r="AO77" s="5"/>
      <c r="AP77" s="5"/>
      <c r="AQ77" s="5"/>
      <c r="AR77" s="5"/>
      <c r="AS77" s="5"/>
      <c r="AT77" s="5"/>
      <c r="AU77" s="5"/>
      <c r="AV77" s="5"/>
      <c r="AW77" s="225"/>
      <c r="AX77" s="256"/>
      <c r="AY77" s="257"/>
      <c r="AZ77" s="5"/>
      <c r="BA77" s="5"/>
      <c r="BB77" s="225"/>
      <c r="BC77" s="258"/>
    </row>
    <row r="78" ht="15.75" customHeight="1">
      <c r="A78" s="259"/>
      <c r="B78" s="250"/>
      <c r="M78" s="209"/>
      <c r="N78" s="260"/>
      <c r="Y78" s="209"/>
      <c r="Z78" s="260"/>
      <c r="AK78" s="209"/>
      <c r="AL78" s="260"/>
      <c r="AW78" s="209"/>
      <c r="AX78" s="256"/>
      <c r="AY78" s="250"/>
      <c r="BB78" s="209"/>
      <c r="BC78" s="258"/>
    </row>
    <row r="79" ht="15.75" customHeight="1">
      <c r="A79" s="259"/>
      <c r="B79" s="250"/>
      <c r="M79" s="209"/>
      <c r="N79" s="260"/>
      <c r="Y79" s="209"/>
      <c r="Z79" s="260"/>
      <c r="AK79" s="209"/>
      <c r="AL79" s="260"/>
      <c r="AW79" s="209"/>
      <c r="AX79" s="256"/>
      <c r="AY79" s="250"/>
      <c r="BB79" s="209"/>
      <c r="BC79" s="258"/>
    </row>
    <row r="80" ht="15.75" customHeight="1">
      <c r="A80" s="259"/>
      <c r="B80" s="30"/>
      <c r="C80" s="31"/>
      <c r="D80" s="31"/>
      <c r="E80" s="31"/>
      <c r="F80" s="31"/>
      <c r="G80" s="31"/>
      <c r="H80" s="31"/>
      <c r="I80" s="31"/>
      <c r="J80" s="31"/>
      <c r="K80" s="31"/>
      <c r="L80" s="31"/>
      <c r="M80" s="32"/>
      <c r="N80" s="261"/>
      <c r="O80" s="31"/>
      <c r="P80" s="31"/>
      <c r="Q80" s="31"/>
      <c r="R80" s="31"/>
      <c r="S80" s="31"/>
      <c r="T80" s="31"/>
      <c r="U80" s="31"/>
      <c r="V80" s="31"/>
      <c r="W80" s="31"/>
      <c r="X80" s="31"/>
      <c r="Y80" s="32"/>
      <c r="Z80" s="261"/>
      <c r="AA80" s="31"/>
      <c r="AB80" s="31"/>
      <c r="AC80" s="31"/>
      <c r="AD80" s="31"/>
      <c r="AE80" s="31"/>
      <c r="AF80" s="31"/>
      <c r="AG80" s="31"/>
      <c r="AH80" s="31"/>
      <c r="AI80" s="31"/>
      <c r="AJ80" s="31"/>
      <c r="AK80" s="32"/>
      <c r="AL80" s="261"/>
      <c r="AM80" s="31"/>
      <c r="AN80" s="31"/>
      <c r="AO80" s="31"/>
      <c r="AP80" s="31"/>
      <c r="AQ80" s="31"/>
      <c r="AR80" s="31"/>
      <c r="AS80" s="31"/>
      <c r="AT80" s="31"/>
      <c r="AU80" s="31"/>
      <c r="AV80" s="31"/>
      <c r="AW80" s="32"/>
      <c r="AX80" s="262"/>
      <c r="AY80" s="30"/>
      <c r="AZ80" s="31"/>
      <c r="BA80" s="31"/>
      <c r="BB80" s="32"/>
      <c r="BC80" s="258"/>
    </row>
    <row r="81" ht="15.75" customHeight="1">
      <c r="A81" s="263"/>
      <c r="B81" s="264"/>
      <c r="C81" s="265"/>
      <c r="D81" s="265"/>
      <c r="E81" s="265"/>
      <c r="F81" s="265"/>
      <c r="G81" s="265"/>
      <c r="H81" s="265"/>
      <c r="I81" s="265"/>
      <c r="J81" s="265"/>
      <c r="K81" s="265"/>
      <c r="L81" s="265"/>
      <c r="M81" s="265"/>
      <c r="N81" s="265"/>
      <c r="O81" s="265"/>
      <c r="P81" s="265"/>
      <c r="Q81" s="265"/>
      <c r="R81" s="265"/>
      <c r="S81" s="265"/>
      <c r="T81" s="265"/>
      <c r="U81" s="265"/>
      <c r="V81" s="265"/>
      <c r="W81" s="265"/>
      <c r="X81" s="265"/>
      <c r="Y81" s="265"/>
      <c r="Z81" s="265"/>
      <c r="AA81" s="265"/>
      <c r="AB81" s="265"/>
      <c r="AC81" s="265"/>
      <c r="AD81" s="265"/>
      <c r="AE81" s="265"/>
      <c r="AF81" s="265"/>
      <c r="AG81" s="265"/>
      <c r="AH81" s="265"/>
      <c r="AI81" s="265"/>
      <c r="AJ81" s="265"/>
      <c r="AK81" s="265"/>
      <c r="AL81" s="266"/>
      <c r="AM81" s="265"/>
      <c r="AN81" s="265"/>
      <c r="AO81" s="265"/>
      <c r="AP81" s="265"/>
      <c r="AQ81" s="265"/>
      <c r="AR81" s="265"/>
      <c r="AS81" s="265"/>
      <c r="AT81" s="265"/>
      <c r="AU81" s="265"/>
      <c r="AV81" s="265"/>
      <c r="AW81" s="265"/>
      <c r="AX81" s="265"/>
      <c r="AY81" s="265"/>
      <c r="AZ81" s="265"/>
      <c r="BA81" s="265"/>
      <c r="BB81" s="265"/>
      <c r="BC81" s="267"/>
    </row>
    <row r="82" ht="15.75" customHeight="1">
      <c r="A82" s="268"/>
      <c r="B82" s="269" t="s">
        <v>144</v>
      </c>
      <c r="C82" s="24"/>
      <c r="D82" s="24"/>
      <c r="E82" s="270"/>
      <c r="F82" s="271" t="s">
        <v>145</v>
      </c>
      <c r="G82" s="24"/>
      <c r="H82" s="24"/>
      <c r="I82" s="270"/>
      <c r="J82" s="272" t="s">
        <v>146</v>
      </c>
      <c r="K82" s="24"/>
      <c r="L82" s="24"/>
      <c r="M82" s="270"/>
      <c r="N82" s="272" t="s">
        <v>147</v>
      </c>
      <c r="O82" s="24"/>
      <c r="P82" s="24"/>
      <c r="Q82" s="270"/>
      <c r="R82" s="271" t="s">
        <v>148</v>
      </c>
      <c r="S82" s="24"/>
      <c r="T82" s="24"/>
      <c r="U82" s="24"/>
      <c r="V82" s="271" t="s">
        <v>149</v>
      </c>
      <c r="W82" s="24"/>
      <c r="X82" s="24"/>
      <c r="Y82" s="24"/>
      <c r="Z82" s="273" t="s">
        <v>150</v>
      </c>
      <c r="AA82" s="24"/>
      <c r="AB82" s="24"/>
      <c r="AC82" s="24"/>
      <c r="AD82" s="274" t="s">
        <v>151</v>
      </c>
      <c r="AE82" s="24"/>
      <c r="AF82" s="24"/>
      <c r="AG82" s="270"/>
      <c r="AH82" s="271"/>
      <c r="AI82" s="24"/>
      <c r="AJ82" s="24"/>
      <c r="AK82" s="270"/>
      <c r="AL82" s="271"/>
      <c r="AM82" s="24"/>
      <c r="AN82" s="24"/>
      <c r="AO82" s="270"/>
      <c r="AP82" s="273"/>
      <c r="AQ82" s="24"/>
      <c r="AR82" s="24"/>
      <c r="AS82" s="270"/>
      <c r="AT82" s="271"/>
      <c r="AU82" s="24"/>
      <c r="AV82" s="24"/>
      <c r="AW82" s="270"/>
      <c r="AX82" s="271"/>
      <c r="AY82" s="24"/>
      <c r="AZ82" s="24"/>
      <c r="BA82" s="24"/>
      <c r="BB82" s="25"/>
      <c r="BC82" s="268"/>
    </row>
    <row r="83" ht="15.75" customHeight="1">
      <c r="A83" s="268"/>
      <c r="B83" s="30"/>
      <c r="C83" s="31"/>
      <c r="D83" s="31"/>
      <c r="E83" s="275"/>
      <c r="F83" s="188"/>
      <c r="G83" s="31"/>
      <c r="H83" s="31"/>
      <c r="I83" s="275"/>
      <c r="J83" s="188"/>
      <c r="K83" s="31"/>
      <c r="L83" s="31"/>
      <c r="M83" s="275"/>
      <c r="N83" s="188"/>
      <c r="O83" s="31"/>
      <c r="P83" s="31"/>
      <c r="Q83" s="275"/>
      <c r="R83" s="188"/>
      <c r="S83" s="31"/>
      <c r="T83" s="31"/>
      <c r="U83" s="31"/>
      <c r="V83" s="188"/>
      <c r="W83" s="31"/>
      <c r="X83" s="31"/>
      <c r="Y83" s="31"/>
      <c r="Z83" s="188"/>
      <c r="AA83" s="31"/>
      <c r="AB83" s="31"/>
      <c r="AC83" s="31"/>
      <c r="AD83" s="188"/>
      <c r="AE83" s="31"/>
      <c r="AF83" s="31"/>
      <c r="AG83" s="275"/>
      <c r="AH83" s="188"/>
      <c r="AI83" s="31"/>
      <c r="AJ83" s="31"/>
      <c r="AK83" s="275"/>
      <c r="AL83" s="188"/>
      <c r="AM83" s="31"/>
      <c r="AN83" s="31"/>
      <c r="AO83" s="275"/>
      <c r="AP83" s="188"/>
      <c r="AQ83" s="31"/>
      <c r="AR83" s="31"/>
      <c r="AS83" s="275"/>
      <c r="AT83" s="188"/>
      <c r="AU83" s="31"/>
      <c r="AV83" s="31"/>
      <c r="AW83" s="275"/>
      <c r="AX83" s="188"/>
      <c r="AY83" s="31"/>
      <c r="AZ83" s="31"/>
      <c r="BA83" s="31"/>
      <c r="BB83" s="32"/>
      <c r="BC83" s="268"/>
    </row>
    <row r="84" ht="15.75" customHeight="1">
      <c r="A84" s="268"/>
      <c r="B84" s="276" t="s">
        <v>152</v>
      </c>
      <c r="E84" s="15"/>
      <c r="F84" s="277" t="s">
        <v>153</v>
      </c>
      <c r="I84" s="15"/>
      <c r="J84" s="278" t="s">
        <v>154</v>
      </c>
      <c r="M84" s="15"/>
      <c r="N84" s="278" t="s">
        <v>155</v>
      </c>
      <c r="Q84" s="15"/>
      <c r="R84" s="279" t="s">
        <v>156</v>
      </c>
      <c r="V84" s="279" t="s">
        <v>157</v>
      </c>
      <c r="Z84" s="278" t="s">
        <v>158</v>
      </c>
      <c r="AD84" s="280" t="s">
        <v>159</v>
      </c>
      <c r="AG84" s="15"/>
      <c r="AH84" s="279"/>
      <c r="AK84" s="15"/>
      <c r="AL84" s="279"/>
      <c r="AO84" s="15"/>
      <c r="AP84" s="278"/>
      <c r="AS84" s="15"/>
      <c r="AT84" s="279"/>
      <c r="AW84" s="15"/>
      <c r="AX84" s="279"/>
      <c r="BB84" s="209"/>
      <c r="BC84" s="268"/>
    </row>
    <row r="85" ht="15.75" customHeight="1">
      <c r="A85" s="268"/>
      <c r="B85" s="250"/>
      <c r="E85" s="15"/>
      <c r="F85" s="9"/>
      <c r="I85" s="15"/>
      <c r="J85" s="9"/>
      <c r="M85" s="15"/>
      <c r="N85" s="9"/>
      <c r="Q85" s="15"/>
      <c r="R85" s="9"/>
      <c r="V85" s="9"/>
      <c r="Z85" s="9"/>
      <c r="AD85" s="9"/>
      <c r="AG85" s="15"/>
      <c r="AH85" s="9"/>
      <c r="AK85" s="15"/>
      <c r="AL85" s="9"/>
      <c r="AO85" s="15"/>
      <c r="AP85" s="9"/>
      <c r="AS85" s="15"/>
      <c r="AT85" s="9"/>
      <c r="AW85" s="15"/>
      <c r="AX85" s="9"/>
      <c r="BB85" s="209"/>
      <c r="BC85" s="268"/>
    </row>
    <row r="86" ht="15.75" customHeight="1">
      <c r="A86" s="268"/>
      <c r="B86" s="250"/>
      <c r="E86" s="15"/>
      <c r="F86" s="9"/>
      <c r="I86" s="15"/>
      <c r="J86" s="9"/>
      <c r="M86" s="15"/>
      <c r="N86" s="9"/>
      <c r="Q86" s="15"/>
      <c r="R86" s="9"/>
      <c r="V86" s="9"/>
      <c r="Z86" s="9"/>
      <c r="AD86" s="9"/>
      <c r="AG86" s="15"/>
      <c r="AH86" s="9"/>
      <c r="AK86" s="15"/>
      <c r="AL86" s="9"/>
      <c r="AO86" s="15"/>
      <c r="AP86" s="9"/>
      <c r="AS86" s="15"/>
      <c r="AT86" s="9"/>
      <c r="AW86" s="15"/>
      <c r="AX86" s="9"/>
      <c r="BB86" s="209"/>
      <c r="BC86" s="268"/>
    </row>
    <row r="87" ht="15.75" customHeight="1">
      <c r="A87" s="281"/>
      <c r="B87" s="30"/>
      <c r="C87" s="31"/>
      <c r="D87" s="31"/>
      <c r="E87" s="275"/>
      <c r="F87" s="188"/>
      <c r="G87" s="31"/>
      <c r="H87" s="31"/>
      <c r="I87" s="275"/>
      <c r="J87" s="188"/>
      <c r="K87" s="31"/>
      <c r="L87" s="31"/>
      <c r="M87" s="275"/>
      <c r="N87" s="188"/>
      <c r="O87" s="31"/>
      <c r="P87" s="31"/>
      <c r="Q87" s="275"/>
      <c r="R87" s="9"/>
      <c r="V87" s="9"/>
      <c r="Z87" s="9"/>
      <c r="AD87" s="188"/>
      <c r="AE87" s="31"/>
      <c r="AF87" s="31"/>
      <c r="AG87" s="275"/>
      <c r="AH87" s="188"/>
      <c r="AI87" s="31"/>
      <c r="AJ87" s="31"/>
      <c r="AK87" s="275"/>
      <c r="AL87" s="188"/>
      <c r="AM87" s="31"/>
      <c r="AN87" s="31"/>
      <c r="AO87" s="275"/>
      <c r="AP87" s="188"/>
      <c r="AQ87" s="31"/>
      <c r="AR87" s="31"/>
      <c r="AS87" s="275"/>
      <c r="AT87" s="188"/>
      <c r="AU87" s="31"/>
      <c r="AV87" s="31"/>
      <c r="AW87" s="275"/>
      <c r="AX87" s="188"/>
      <c r="AY87" s="31"/>
      <c r="AZ87" s="31"/>
      <c r="BA87" s="31"/>
      <c r="BB87" s="32"/>
      <c r="BC87" s="268"/>
    </row>
    <row r="88" ht="15.75" customHeight="1" collapsed="1">
      <c r="A88" s="282"/>
      <c r="B88" s="265"/>
      <c r="C88" s="265"/>
      <c r="D88" s="265"/>
      <c r="E88" s="265"/>
      <c r="F88" s="265"/>
      <c r="G88" s="265"/>
      <c r="H88" s="265"/>
      <c r="I88" s="265"/>
      <c r="J88" s="265"/>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65"/>
      <c r="AK88" s="265"/>
      <c r="AL88" s="265"/>
      <c r="AM88" s="265"/>
      <c r="AN88" s="265"/>
      <c r="AO88" s="265"/>
      <c r="AP88" s="265"/>
      <c r="AQ88" s="265"/>
      <c r="AR88" s="265"/>
      <c r="AS88" s="265"/>
      <c r="AT88" s="265"/>
      <c r="AU88" s="265"/>
      <c r="AV88" s="265"/>
      <c r="AW88" s="265"/>
      <c r="AX88" s="284" t="s">
        <v>160</v>
      </c>
      <c r="BB88" s="209"/>
      <c r="BC88" s="285"/>
    </row>
    <row r="89" ht="15.75" hidden="1" customHeight="1" outlineLevel="1">
      <c r="A89" s="287" t="str">
        <f t="shared" ref="A89:A106" si="18">concatenate("cc&lt;=",I19," ",C19)</f>
        <v>cc&lt;=25 관찰력</v>
      </c>
    </row>
    <row r="90" ht="15.75" hidden="1" customHeight="1" outlineLevel="1">
      <c r="A90" s="287" t="str">
        <f t="shared" si="18"/>
        <v>cc&lt;=20 듣기</v>
      </c>
    </row>
    <row r="91" ht="15.75" hidden="1" customHeight="1" outlineLevel="1">
      <c r="A91" s="287" t="str">
        <f t="shared" si="18"/>
        <v>cc&lt;=20 자료조사</v>
      </c>
    </row>
    <row r="92" ht="15.75" hidden="1" customHeight="1" outlineLevel="1">
      <c r="A92" s="287" t="str">
        <f t="shared" si="18"/>
        <v>cc&lt;=5 컴퓨터 사용</v>
      </c>
    </row>
    <row r="93" ht="15.75" hidden="1" customHeight="1" outlineLevel="1">
      <c r="A93" s="287" t="str">
        <f t="shared" si="18"/>
        <v>cc&lt;=1 전자기기</v>
      </c>
    </row>
    <row r="94" ht="15.75" hidden="1" customHeight="1" outlineLevel="1">
      <c r="A94" s="287" t="str">
        <f t="shared" si="18"/>
        <v>cc&lt;=10 전기수리</v>
      </c>
    </row>
    <row r="95" ht="15.75" hidden="1" customHeight="1" outlineLevel="1">
      <c r="A95" s="287" t="str">
        <f t="shared" si="18"/>
        <v>cc&lt;=10 기계수리</v>
      </c>
    </row>
    <row r="96" ht="15.75" hidden="1" customHeight="1" outlineLevel="1">
      <c r="A96" s="287" t="str">
        <f t="shared" si="18"/>
        <v>cc&lt;=20 자동차 운전</v>
      </c>
    </row>
    <row r="97" ht="15.75" hidden="1" customHeight="1" outlineLevel="1">
      <c r="A97" s="287" t="str">
        <f t="shared" si="18"/>
        <v>cc&lt;=1 중장비 조작</v>
      </c>
    </row>
    <row r="98" ht="15.75" hidden="1" customHeight="1" outlineLevel="1">
      <c r="A98" s="287" t="str">
        <f t="shared" si="18"/>
        <v>cc&lt;=1 파일럿()</v>
      </c>
    </row>
    <row r="99" ht="15.75" hidden="1" customHeight="1" outlineLevel="1">
      <c r="A99" s="287" t="str">
        <f t="shared" si="18"/>
        <v>cc&lt;=0 </v>
      </c>
    </row>
    <row r="100" ht="15.75" hidden="1" customHeight="1" outlineLevel="1">
      <c r="A100" s="287" t="str">
        <f t="shared" si="18"/>
        <v>cc&lt;=10 항법</v>
      </c>
    </row>
    <row r="101" ht="15.75" hidden="1" customHeight="1" outlineLevel="1">
      <c r="A101" s="287" t="str">
        <f t="shared" si="18"/>
        <v>cc&lt;=10 추적</v>
      </c>
    </row>
    <row r="102" ht="15.75" hidden="1" customHeight="1" outlineLevel="1">
      <c r="A102" s="287" t="str">
        <f t="shared" si="18"/>
        <v>cc&lt;=5 승마</v>
      </c>
    </row>
    <row r="103" ht="15.75" hidden="1" customHeight="1" outlineLevel="1">
      <c r="A103" s="287" t="str">
        <f t="shared" si="18"/>
        <v>cc&lt;=0 </v>
      </c>
    </row>
    <row r="104" ht="15.75" hidden="1" customHeight="1" outlineLevel="1">
      <c r="A104" s="287" t="str">
        <f t="shared" si="18"/>
        <v>cc&lt;=0 </v>
      </c>
    </row>
    <row r="105" ht="15.75" hidden="1" customHeight="1" outlineLevel="1">
      <c r="A105" s="287" t="str">
        <f t="shared" si="18"/>
        <v>cc&lt;=1 폭파</v>
      </c>
    </row>
    <row r="106" ht="15.75" hidden="1" customHeight="1" outlineLevel="1">
      <c r="A106" s="287" t="str">
        <f t="shared" si="18"/>
        <v>cc&lt;=1 포격</v>
      </c>
    </row>
    <row r="107" ht="15.75" hidden="1" customHeight="1" outlineLevel="1">
      <c r="A107" s="287" t="str">
        <f t="shared" ref="A107:A124" si="19">concatenate("cc&lt;=",S19," ",M19)</f>
        <v>cc&lt;=0 재력</v>
      </c>
    </row>
    <row r="108" ht="15.75" hidden="1" customHeight="1" outlineLevel="1">
      <c r="A108" s="287" t="str">
        <f t="shared" si="19"/>
        <v>cc&lt;=5 회계</v>
      </c>
    </row>
    <row r="109" ht="15.75" hidden="1" customHeight="1" outlineLevel="1">
      <c r="A109" s="287" t="str">
        <f t="shared" si="19"/>
        <v>cc&lt;=10 자연</v>
      </c>
    </row>
    <row r="110" ht="15.75" hidden="1" customHeight="1" outlineLevel="1">
      <c r="A110" s="287" t="str">
        <f t="shared" si="19"/>
        <v>cc&lt;=1 과학()</v>
      </c>
    </row>
    <row r="111" ht="15.75" hidden="1" customHeight="1" outlineLevel="1">
      <c r="A111" s="287" t="str">
        <f t="shared" si="19"/>
        <v>cc&lt;=0 </v>
      </c>
    </row>
    <row r="112" ht="15.75" hidden="1" customHeight="1" outlineLevel="1">
      <c r="A112" s="287" t="str">
        <f t="shared" si="19"/>
        <v>cc&lt;=0 </v>
      </c>
    </row>
    <row r="113" ht="15.75" hidden="1" customHeight="1" outlineLevel="1">
      <c r="A113" s="287" t="str">
        <f t="shared" si="19"/>
        <v>cc&lt;=5 법률</v>
      </c>
    </row>
    <row r="114" ht="15.75" hidden="1" customHeight="1" outlineLevel="1">
      <c r="A114" s="287" t="str">
        <f t="shared" si="19"/>
        <v>cc&lt;=1 인류학</v>
      </c>
    </row>
    <row r="115" ht="15.75" hidden="1" customHeight="1" outlineLevel="1">
      <c r="A115" s="287" t="str">
        <f t="shared" si="19"/>
        <v>cc&lt;=5 역사</v>
      </c>
    </row>
    <row r="116" ht="15.75" hidden="1" customHeight="1" outlineLevel="1">
      <c r="A116" s="287" t="str">
        <f t="shared" si="19"/>
        <v>cc&lt;=1 고고학</v>
      </c>
    </row>
    <row r="117" ht="15.75" hidden="1" customHeight="1" outlineLevel="1">
      <c r="A117" s="287" t="str">
        <f t="shared" si="19"/>
        <v>cc&lt;=5 감정</v>
      </c>
    </row>
    <row r="118" ht="15.75" hidden="1" customHeight="1" outlineLevel="1">
      <c r="A118" s="287" t="str">
        <f t="shared" si="19"/>
        <v>cc&lt;=5 예술/공예</v>
      </c>
    </row>
    <row r="119" ht="15.75" hidden="1" customHeight="1" outlineLevel="1">
      <c r="A119" s="287" t="str">
        <f t="shared" si="19"/>
        <v>cc&lt;=0 </v>
      </c>
    </row>
    <row r="120" ht="15.75" hidden="1" customHeight="1" outlineLevel="1">
      <c r="A120" s="287" t="str">
        <f t="shared" si="19"/>
        <v>cc&lt;=1 독순술</v>
      </c>
    </row>
    <row r="121" ht="15.75" hidden="1" customHeight="1" outlineLevel="1">
      <c r="A121" s="287" t="str">
        <f t="shared" si="19"/>
        <v>cc&lt;=5 동물 다루기</v>
      </c>
    </row>
    <row r="122" ht="15.75" hidden="1" customHeight="1" outlineLevel="1">
      <c r="A122" s="287" t="str">
        <f t="shared" si="19"/>
        <v>cc&lt;=1 잠수</v>
      </c>
    </row>
    <row r="123" ht="15.75" hidden="1" customHeight="1" outlineLevel="1">
      <c r="A123" s="287" t="str">
        <f t="shared" si="19"/>
        <v>cc&lt;=1 최면술</v>
      </c>
    </row>
    <row r="124" ht="15.75" hidden="1" customHeight="1" outlineLevel="1">
      <c r="A124" s="287" t="str">
        <f t="shared" si="19"/>
        <v>cc&lt;=1 비밀 지식</v>
      </c>
    </row>
    <row r="125" ht="15.75" hidden="1" customHeight="1" outlineLevel="1">
      <c r="A125" s="287" t="str">
        <f t="shared" ref="A125:A142" si="20">concatenate("cc&lt;=",AC19," ",W19)</f>
        <v>cc&lt;=0 크툴루 신화</v>
      </c>
    </row>
    <row r="126" ht="15.75" hidden="1" customHeight="1" outlineLevel="1">
      <c r="A126" s="287" t="str">
        <f t="shared" si="20"/>
        <v>cc&lt;=5 오컬트</v>
      </c>
    </row>
    <row r="127" ht="15.75" hidden="1" customHeight="1" outlineLevel="1">
      <c r="A127" s="287" t="str">
        <f t="shared" si="20"/>
        <v>cc&lt;=1 정신분석</v>
      </c>
    </row>
    <row r="128" ht="15.75" hidden="1" customHeight="1" outlineLevel="1">
      <c r="A128" s="287" t="str">
        <f t="shared" si="20"/>
        <v>cc&lt;=10 심리학</v>
      </c>
    </row>
    <row r="129" ht="15.75" hidden="1" customHeight="1" outlineLevel="1">
      <c r="A129" s="287" t="str">
        <f t="shared" si="20"/>
        <v>cc&lt;=15 위협</v>
      </c>
    </row>
    <row r="130" ht="15.75" hidden="1" customHeight="1" outlineLevel="1">
      <c r="A130" s="287" t="str">
        <f t="shared" si="20"/>
        <v>cc&lt;=15 매혹</v>
      </c>
    </row>
    <row r="131" ht="15.75" hidden="1" customHeight="1" outlineLevel="1">
      <c r="A131" s="287" t="str">
        <f t="shared" si="20"/>
        <v>cc&lt;=5 말재주</v>
      </c>
    </row>
    <row r="132" ht="15.75" hidden="1" customHeight="1" outlineLevel="1">
      <c r="A132" s="287" t="str">
        <f t="shared" si="20"/>
        <v>cc&lt;=10 설득</v>
      </c>
    </row>
    <row r="133" ht="15.75" hidden="1" customHeight="1" outlineLevel="1">
      <c r="A133" s="287" t="str">
        <f t="shared" si="20"/>
        <v>cc&lt;=0 모국어</v>
      </c>
    </row>
    <row r="134" ht="15.75" hidden="1" customHeight="1" outlineLevel="1">
      <c r="A134" s="287" t="str">
        <f t="shared" si="20"/>
        <v>cc&lt;=1 외국어()</v>
      </c>
    </row>
    <row r="135" ht="15.75" hidden="1" customHeight="1" outlineLevel="1">
      <c r="A135" s="287" t="str">
        <f t="shared" si="20"/>
        <v>cc&lt;=0 </v>
      </c>
    </row>
    <row r="136" ht="15.75" hidden="1" customHeight="1" outlineLevel="1">
      <c r="A136" s="287" t="str">
        <f t="shared" si="20"/>
        <v>cc&lt;=20 투척</v>
      </c>
    </row>
    <row r="137" ht="15.75" hidden="1" customHeight="1" outlineLevel="1">
      <c r="A137" s="287" t="str">
        <f t="shared" si="20"/>
        <v>cc&lt;=25 근접전(격투)</v>
      </c>
    </row>
    <row r="138" ht="15.75" hidden="1" customHeight="1" outlineLevel="1">
      <c r="A138" s="287" t="str">
        <f t="shared" si="20"/>
        <v>cc&lt;=20 근접전(도검)</v>
      </c>
    </row>
    <row r="139" ht="15.75" hidden="1" customHeight="1" outlineLevel="1">
      <c r="A139" s="287" t="str">
        <f t="shared" si="20"/>
        <v>cc&lt;=15 근접전(도끼)</v>
      </c>
    </row>
    <row r="140" ht="15.75" hidden="1" customHeight="1" outlineLevel="1">
      <c r="A140" s="287" t="str">
        <f t="shared" si="20"/>
        <v>cc&lt;=20 근접전(창)</v>
      </c>
    </row>
    <row r="141" ht="15.75" hidden="1" customHeight="1" outlineLevel="1">
      <c r="A141" s="287" t="str">
        <f t="shared" si="20"/>
        <v>cc&lt;=5 근접전(채찍)</v>
      </c>
    </row>
    <row r="142" ht="15.75" hidden="1" customHeight="1" outlineLevel="1">
      <c r="A142" s="287" t="str">
        <f t="shared" si="20"/>
        <v>cc&lt;=10 근접전(기타)</v>
      </c>
    </row>
    <row r="143" ht="15.75" hidden="1" customHeight="1" outlineLevel="1">
      <c r="A143" s="287" t="str">
        <f t="shared" ref="A143:A160" si="21">concatenate("cc&lt;=",AM19," ",AG19)</f>
        <v>cc&lt;=1 의료</v>
      </c>
    </row>
    <row r="144" ht="15.75" hidden="1" customHeight="1" outlineLevel="1">
      <c r="A144" s="287" t="str">
        <f t="shared" si="21"/>
        <v>cc&lt;=30 응급처치</v>
      </c>
    </row>
    <row r="145" ht="15.75" hidden="1" customHeight="1" outlineLevel="1">
      <c r="A145" s="287" t="str">
        <f t="shared" si="21"/>
        <v>cc&lt;=10 생존술()</v>
      </c>
    </row>
    <row r="146" ht="15.75" hidden="1" customHeight="1" outlineLevel="1">
      <c r="A146" s="287" t="str">
        <f t="shared" si="21"/>
        <v>cc&lt;=20 수영</v>
      </c>
    </row>
    <row r="147" ht="15.75" hidden="1" customHeight="1" outlineLevel="1">
      <c r="A147" s="287" t="str">
        <f t="shared" si="21"/>
        <v>cc&lt;=20 오르기</v>
      </c>
    </row>
    <row r="148" ht="15.75" hidden="1" customHeight="1" outlineLevel="1">
      <c r="A148" s="287" t="str">
        <f t="shared" si="21"/>
        <v>cc&lt;=20 도약</v>
      </c>
    </row>
    <row r="149" ht="15.75" hidden="1" customHeight="1" outlineLevel="1">
      <c r="A149" s="287" t="str">
        <f t="shared" si="21"/>
        <v>cc&lt;=0 회피</v>
      </c>
    </row>
    <row r="150" ht="15.75" hidden="1" customHeight="1" outlineLevel="1">
      <c r="A150" s="287" t="str">
        <f t="shared" si="21"/>
        <v>cc&lt;=5 변장</v>
      </c>
    </row>
    <row r="151" ht="15.75" hidden="1" customHeight="1" outlineLevel="1">
      <c r="A151" s="287" t="str">
        <f t="shared" si="21"/>
        <v>cc&lt;=20 은밀행동</v>
      </c>
    </row>
    <row r="152" ht="15.75" hidden="1" customHeight="1" outlineLevel="1">
      <c r="A152" s="287" t="str">
        <f t="shared" si="21"/>
        <v>cc&lt;=10 손놀림</v>
      </c>
    </row>
    <row r="153" ht="15.75" hidden="1" customHeight="1" outlineLevel="1">
      <c r="A153" s="287" t="str">
        <f t="shared" si="21"/>
        <v>cc&lt;=1 열쇠공</v>
      </c>
    </row>
    <row r="154" ht="15.75" hidden="1" customHeight="1" outlineLevel="1">
      <c r="A154" s="287" t="str">
        <f t="shared" si="21"/>
        <v>cc&lt;=20 사격(권총)</v>
      </c>
    </row>
    <row r="155" ht="15.75" hidden="1" customHeight="1" outlineLevel="1">
      <c r="A155" s="287" t="str">
        <f t="shared" si="21"/>
        <v>cc&lt;=25 사격(소총)</v>
      </c>
    </row>
    <row r="156" ht="15.75" hidden="1" customHeight="1" outlineLevel="1">
      <c r="A156" s="287" t="str">
        <f t="shared" si="21"/>
        <v>cc&lt;=15 사격(기관단총)</v>
      </c>
    </row>
    <row r="157" ht="15.75" hidden="1" customHeight="1" outlineLevel="1">
      <c r="A157" s="287" t="str">
        <f t="shared" si="21"/>
        <v>cc&lt;=10 사격(기관총)</v>
      </c>
    </row>
    <row r="158" ht="15.75" hidden="1" customHeight="1" outlineLevel="1">
      <c r="A158" s="287" t="str">
        <f t="shared" si="21"/>
        <v>cc&lt;=15 사격(활)</v>
      </c>
    </row>
    <row r="159" ht="15.75" hidden="1" customHeight="1" outlineLevel="1">
      <c r="A159" s="287" t="str">
        <f t="shared" si="21"/>
        <v>cc&lt;=10 사격(중화기)</v>
      </c>
    </row>
    <row r="160" ht="15.75" hidden="1" customHeight="1" outlineLevel="1">
      <c r="A160" s="287" t="str">
        <f t="shared" si="21"/>
        <v>cc&lt;=10 화염방사기</v>
      </c>
    </row>
    <row r="161" ht="15.75" hidden="1" customHeight="1" outlineLevel="1">
      <c r="A161" s="287" t="str">
        <f>concatenate("cc&lt;=",V10," ","근력")</f>
        <v>cc&lt;= 근력</v>
      </c>
    </row>
    <row r="162" ht="15.75" hidden="1" customHeight="1" outlineLevel="1">
      <c r="A162" s="287" t="str">
        <f>concatenate("cc&lt;=",V12," ","건강")</f>
        <v>cc&lt;= 건강</v>
      </c>
    </row>
    <row r="163" ht="15.75" hidden="1" customHeight="1" outlineLevel="1">
      <c r="A163" s="287" t="str">
        <f>concatenate("cc&lt;=",V14," ","크기")</f>
        <v>cc&lt;= 크기</v>
      </c>
    </row>
    <row r="164" ht="15.75" hidden="1" customHeight="1" outlineLevel="1">
      <c r="A164" s="287" t="str">
        <f>concatenate("cc&lt;=",AD10," ","민첩")</f>
        <v>cc&lt;= 민첩</v>
      </c>
    </row>
    <row r="165" ht="15.75" hidden="1" customHeight="1" outlineLevel="1">
      <c r="A165" s="287" t="str">
        <f>concatenate("cc&lt;=",AD12," ","외모")</f>
        <v>cc&lt;= 외모</v>
      </c>
    </row>
    <row r="166" ht="15.75" hidden="1" customHeight="1" outlineLevel="1">
      <c r="A166" s="287" t="str">
        <f>concatenate("cc&lt;=",AD14," ","지능(아이디어)")</f>
        <v>cc&lt;= 지능(아이디어)</v>
      </c>
    </row>
    <row r="167" ht="15.75" hidden="1" customHeight="1" outlineLevel="1">
      <c r="A167" s="287" t="str">
        <f>concatenate("cc&lt;=",AL10," ","정신력")</f>
        <v>cc&lt;= 정신력</v>
      </c>
    </row>
    <row r="168" ht="15.75" hidden="1" customHeight="1" outlineLevel="1">
      <c r="A168" s="287" t="str">
        <f>concatenate("cc&lt;=",AL12," ","교육(지식)")</f>
        <v>cc&lt;= 교육(지식)</v>
      </c>
    </row>
    <row r="169" ht="15.75" hidden="1" customHeight="1" outlineLevel="1">
      <c r="A169" s="288" t="s">
        <v>162</v>
      </c>
    </row>
    <row r="170" ht="15.75" hidden="1" customHeight="1" outlineLevel="1">
      <c r="A170" s="288" t="s">
        <v>163</v>
      </c>
    </row>
    <row r="171" ht="15.75" hidden="1" customHeight="1" outlineLevel="1">
      <c r="A171" s="288" t="str">
        <f t="shared" ref="A171:A177" si="22">if(OR(B41="",S41=""),"",concatenate(S41," ","피해","(",B41,")"))</f>
        <v>1d3+{DB} 피해(맨손)</v>
      </c>
    </row>
    <row r="172" ht="15.75" hidden="1" customHeight="1" outlineLevel="1">
      <c r="A172" s="288" t="str">
        <f t="shared" si="22"/>
        <v/>
      </c>
    </row>
    <row r="173" ht="15.75" hidden="1" customHeight="1" outlineLevel="1">
      <c r="A173" s="288" t="str">
        <f t="shared" si="22"/>
        <v/>
      </c>
    </row>
    <row r="174" ht="15.75" hidden="1" customHeight="1" outlineLevel="1">
      <c r="A174" s="288" t="str">
        <f t="shared" si="22"/>
        <v/>
      </c>
    </row>
    <row r="175" ht="15.75" hidden="1" customHeight="1" outlineLevel="1">
      <c r="A175" s="288" t="str">
        <f t="shared" si="22"/>
        <v/>
      </c>
    </row>
    <row r="176" ht="15.75" hidden="1" customHeight="1" outlineLevel="1">
      <c r="A176" s="288" t="str">
        <f t="shared" si="22"/>
        <v/>
      </c>
    </row>
    <row r="177" ht="15.75" hidden="1" customHeight="1" outlineLevel="1">
      <c r="A177" s="288" t="str">
        <f t="shared" si="22"/>
        <v/>
      </c>
    </row>
    <row r="178" ht="15.75" customHeight="1">
      <c r="A178" s="288"/>
      <c r="B178" s="288"/>
      <c r="C178" s="288"/>
      <c r="D178" s="288"/>
      <c r="E178" s="288"/>
      <c r="F178" s="288"/>
      <c r="G178" s="288"/>
      <c r="H178" s="288"/>
      <c r="I178" s="288"/>
      <c r="J178" s="288"/>
      <c r="K178" s="288"/>
      <c r="L178" s="288"/>
      <c r="M178" s="288"/>
      <c r="N178" s="288"/>
      <c r="O178" s="287"/>
      <c r="P178" s="287"/>
      <c r="Q178" s="287"/>
      <c r="R178" s="287"/>
      <c r="S178" s="287"/>
      <c r="T178" s="287"/>
      <c r="U178" s="287"/>
      <c r="V178" s="287"/>
      <c r="W178" s="287"/>
      <c r="X178" s="287"/>
      <c r="Y178" s="287"/>
      <c r="Z178" s="287"/>
      <c r="AA178" s="287"/>
      <c r="AB178" s="287"/>
      <c r="AC178" s="287"/>
      <c r="AD178" s="287"/>
      <c r="AE178" s="287"/>
      <c r="AF178" s="287"/>
      <c r="AG178" s="287"/>
      <c r="AH178" s="287"/>
      <c r="AI178" s="287"/>
      <c r="AJ178" s="287"/>
      <c r="AK178" s="287"/>
      <c r="AL178" s="287"/>
      <c r="AM178" s="287"/>
      <c r="AN178" s="287"/>
      <c r="AO178" s="287"/>
      <c r="AP178" s="287"/>
      <c r="AQ178" s="287"/>
      <c r="AR178" s="287"/>
      <c r="AS178" s="287"/>
      <c r="AT178" s="287"/>
      <c r="AU178" s="287"/>
      <c r="AV178" s="287"/>
      <c r="AW178" s="287"/>
      <c r="AX178" s="287"/>
      <c r="AY178" s="287"/>
      <c r="AZ178" s="287"/>
      <c r="BA178" s="287"/>
      <c r="BB178" s="287"/>
      <c r="BC178" s="287"/>
    </row>
    <row r="179" ht="15.75" customHeight="1">
      <c r="A179" s="287"/>
      <c r="B179" s="287"/>
      <c r="C179" s="287"/>
      <c r="D179" s="287"/>
      <c r="E179" s="287"/>
      <c r="F179" s="287"/>
      <c r="G179" s="287"/>
      <c r="H179" s="287"/>
      <c r="I179" s="287"/>
      <c r="J179" s="287"/>
      <c r="K179" s="287"/>
      <c r="L179" s="287"/>
      <c r="M179" s="287"/>
      <c r="N179" s="287"/>
      <c r="O179" s="287"/>
      <c r="P179" s="287"/>
      <c r="Q179" s="287"/>
      <c r="R179" s="287"/>
      <c r="S179" s="287"/>
      <c r="T179" s="287"/>
      <c r="U179" s="287"/>
      <c r="V179" s="287"/>
      <c r="W179" s="287"/>
      <c r="X179" s="287"/>
      <c r="Y179" s="287"/>
      <c r="Z179" s="287"/>
      <c r="AA179" s="287"/>
      <c r="AB179" s="287"/>
      <c r="AC179" s="287"/>
      <c r="AD179" s="287"/>
      <c r="AE179" s="287"/>
      <c r="AF179" s="287"/>
      <c r="AG179" s="287"/>
      <c r="AH179" s="287"/>
      <c r="AI179" s="287"/>
      <c r="AJ179" s="287"/>
      <c r="AK179" s="287"/>
      <c r="AL179" s="287"/>
      <c r="AM179" s="287"/>
      <c r="AN179" s="287"/>
      <c r="AO179" s="287"/>
      <c r="AP179" s="287"/>
      <c r="AQ179" s="287"/>
      <c r="AR179" s="287"/>
      <c r="AS179" s="287"/>
      <c r="AT179" s="287"/>
      <c r="AU179" s="287"/>
      <c r="AV179" s="287"/>
      <c r="AW179" s="287"/>
      <c r="AX179" s="287"/>
      <c r="AY179" s="287"/>
      <c r="AZ179" s="287"/>
      <c r="BA179" s="287"/>
      <c r="BB179" s="287"/>
      <c r="BC179" s="287"/>
    </row>
    <row r="180" ht="15.75" customHeight="1">
      <c r="A180" s="287"/>
      <c r="B180" s="287"/>
      <c r="C180" s="287"/>
      <c r="D180" s="287"/>
      <c r="E180" s="287"/>
      <c r="F180" s="287"/>
      <c r="G180" s="287"/>
      <c r="H180" s="287"/>
      <c r="I180" s="287"/>
      <c r="J180" s="287"/>
      <c r="K180" s="287"/>
      <c r="L180" s="287"/>
      <c r="M180" s="287"/>
      <c r="N180" s="287"/>
      <c r="O180" s="287"/>
      <c r="P180" s="287"/>
      <c r="Q180" s="287"/>
      <c r="R180" s="287"/>
      <c r="S180" s="287"/>
      <c r="T180" s="287"/>
      <c r="U180" s="287"/>
      <c r="V180" s="287"/>
      <c r="W180" s="287"/>
      <c r="X180" s="287"/>
      <c r="Y180" s="287"/>
      <c r="Z180" s="287"/>
      <c r="AA180" s="287"/>
      <c r="AB180" s="287"/>
      <c r="AC180" s="287"/>
      <c r="AD180" s="287"/>
      <c r="AE180" s="287"/>
      <c r="AF180" s="287"/>
      <c r="AG180" s="287"/>
      <c r="AH180" s="287"/>
      <c r="AI180" s="287"/>
      <c r="AJ180" s="287"/>
      <c r="AK180" s="287"/>
      <c r="AL180" s="287"/>
      <c r="AM180" s="287"/>
      <c r="AN180" s="287"/>
      <c r="AO180" s="287"/>
      <c r="AP180" s="287"/>
      <c r="AQ180" s="287"/>
      <c r="AR180" s="287"/>
      <c r="AS180" s="287"/>
      <c r="AT180" s="287"/>
      <c r="AU180" s="287"/>
      <c r="AV180" s="287"/>
      <c r="AW180" s="287"/>
      <c r="AX180" s="287"/>
      <c r="AY180" s="287"/>
      <c r="AZ180" s="287"/>
      <c r="BA180" s="287"/>
      <c r="BB180" s="287"/>
      <c r="BC180" s="287"/>
    </row>
    <row r="181" ht="15.75" customHeight="1">
      <c r="A181" s="287"/>
      <c r="B181" s="287"/>
      <c r="C181" s="287"/>
      <c r="D181" s="287"/>
      <c r="E181" s="287"/>
      <c r="F181" s="287"/>
      <c r="G181" s="287"/>
      <c r="H181" s="287"/>
      <c r="I181" s="287"/>
      <c r="J181" s="287"/>
      <c r="K181" s="287"/>
      <c r="L181" s="287"/>
      <c r="M181" s="287"/>
      <c r="N181" s="287"/>
      <c r="O181" s="287"/>
      <c r="P181" s="287"/>
      <c r="Q181" s="287"/>
      <c r="R181" s="287"/>
      <c r="S181" s="287"/>
      <c r="T181" s="287"/>
      <c r="U181" s="287"/>
      <c r="V181" s="287"/>
      <c r="W181" s="287"/>
      <c r="X181" s="287"/>
      <c r="Y181" s="287"/>
      <c r="Z181" s="287"/>
      <c r="AA181" s="287"/>
      <c r="AB181" s="287"/>
      <c r="AC181" s="287"/>
      <c r="AD181" s="287"/>
      <c r="AE181" s="287"/>
      <c r="AF181" s="287"/>
      <c r="AG181" s="287"/>
      <c r="AH181" s="287"/>
      <c r="AI181" s="287"/>
      <c r="AJ181" s="287"/>
      <c r="AK181" s="287"/>
      <c r="AL181" s="287"/>
      <c r="AM181" s="287"/>
      <c r="AN181" s="287"/>
      <c r="AO181" s="287"/>
      <c r="AP181" s="287"/>
      <c r="AQ181" s="287"/>
      <c r="AR181" s="287"/>
      <c r="AS181" s="287"/>
      <c r="AT181" s="287"/>
      <c r="AU181" s="287"/>
      <c r="AV181" s="287"/>
      <c r="AW181" s="287"/>
      <c r="AX181" s="287"/>
      <c r="AY181" s="287"/>
      <c r="AZ181" s="287"/>
      <c r="BA181" s="287"/>
      <c r="BB181" s="287"/>
      <c r="BC181" s="287"/>
    </row>
    <row r="182" ht="15.75" customHeight="1">
      <c r="A182" s="287"/>
      <c r="B182" s="287"/>
      <c r="C182" s="287"/>
      <c r="D182" s="287"/>
      <c r="E182" s="287"/>
      <c r="F182" s="287"/>
      <c r="G182" s="287"/>
      <c r="H182" s="287"/>
      <c r="I182" s="287"/>
      <c r="J182" s="287"/>
      <c r="K182" s="287"/>
      <c r="L182" s="287"/>
      <c r="M182" s="287"/>
      <c r="N182" s="287"/>
      <c r="O182" s="287"/>
      <c r="P182" s="287"/>
      <c r="Q182" s="287"/>
      <c r="R182" s="287"/>
      <c r="S182" s="287"/>
      <c r="T182" s="287"/>
      <c r="U182" s="287"/>
      <c r="V182" s="287"/>
      <c r="W182" s="287"/>
      <c r="X182" s="287"/>
      <c r="Y182" s="287"/>
      <c r="Z182" s="287"/>
      <c r="AA182" s="287"/>
      <c r="AB182" s="287"/>
      <c r="AC182" s="287"/>
      <c r="AD182" s="287"/>
      <c r="AE182" s="287"/>
      <c r="AF182" s="287"/>
      <c r="AG182" s="287"/>
      <c r="AH182" s="287"/>
      <c r="AI182" s="287"/>
      <c r="AJ182" s="287"/>
      <c r="AK182" s="287"/>
      <c r="AL182" s="287"/>
      <c r="AM182" s="287"/>
      <c r="AN182" s="287"/>
      <c r="AO182" s="287"/>
      <c r="AP182" s="287"/>
      <c r="AQ182" s="287"/>
      <c r="AR182" s="287"/>
      <c r="AS182" s="287"/>
      <c r="AT182" s="287"/>
      <c r="AU182" s="287"/>
      <c r="AV182" s="287"/>
      <c r="AW182" s="287"/>
      <c r="AX182" s="287"/>
      <c r="AY182" s="287"/>
      <c r="AZ182" s="287"/>
      <c r="BA182" s="287"/>
      <c r="BB182" s="287"/>
      <c r="BC182" s="287"/>
    </row>
    <row r="183" ht="15.75" customHeight="1">
      <c r="A183" s="287"/>
      <c r="B183" s="287"/>
      <c r="C183" s="287"/>
      <c r="D183" s="287"/>
      <c r="E183" s="287"/>
      <c r="F183" s="287"/>
      <c r="G183" s="287"/>
      <c r="H183" s="287"/>
      <c r="I183" s="287"/>
      <c r="J183" s="287"/>
      <c r="K183" s="287"/>
      <c r="L183" s="287"/>
      <c r="M183" s="287"/>
      <c r="N183" s="287"/>
      <c r="O183" s="287"/>
      <c r="P183" s="287"/>
      <c r="Q183" s="287"/>
      <c r="R183" s="287"/>
      <c r="S183" s="287"/>
      <c r="T183" s="287"/>
      <c r="U183" s="287"/>
      <c r="V183" s="287"/>
      <c r="W183" s="287"/>
      <c r="X183" s="287"/>
      <c r="Y183" s="287"/>
      <c r="Z183" s="287"/>
      <c r="AA183" s="287"/>
      <c r="AB183" s="287"/>
      <c r="AC183" s="287"/>
      <c r="AD183" s="287"/>
      <c r="AE183" s="287"/>
      <c r="AF183" s="287"/>
      <c r="AG183" s="287"/>
      <c r="AH183" s="287"/>
      <c r="AI183" s="287"/>
      <c r="AJ183" s="287"/>
      <c r="AK183" s="287"/>
      <c r="AL183" s="287"/>
      <c r="AM183" s="287"/>
      <c r="AN183" s="287"/>
      <c r="AO183" s="287"/>
      <c r="AP183" s="287"/>
      <c r="AQ183" s="287"/>
      <c r="AR183" s="287"/>
      <c r="AS183" s="287"/>
      <c r="AT183" s="287"/>
      <c r="AU183" s="287"/>
      <c r="AV183" s="287"/>
      <c r="AW183" s="287"/>
      <c r="AX183" s="287"/>
      <c r="AY183" s="287"/>
      <c r="AZ183" s="287"/>
      <c r="BA183" s="287"/>
      <c r="BB183" s="287"/>
      <c r="BC183" s="287"/>
    </row>
    <row r="184" ht="15.75" customHeight="1">
      <c r="A184" s="287"/>
      <c r="B184" s="287"/>
      <c r="C184" s="287"/>
      <c r="D184" s="287"/>
      <c r="E184" s="287"/>
      <c r="F184" s="287"/>
      <c r="G184" s="287"/>
      <c r="H184" s="287"/>
      <c r="I184" s="287"/>
      <c r="J184" s="287"/>
      <c r="K184" s="287"/>
      <c r="L184" s="287"/>
      <c r="M184" s="287"/>
      <c r="N184" s="287"/>
      <c r="O184" s="287"/>
      <c r="P184" s="287"/>
      <c r="Q184" s="287"/>
      <c r="R184" s="287"/>
      <c r="S184" s="287"/>
      <c r="T184" s="287"/>
      <c r="U184" s="287"/>
      <c r="V184" s="287"/>
      <c r="W184" s="287"/>
      <c r="X184" s="287"/>
      <c r="Y184" s="287"/>
      <c r="Z184" s="287"/>
      <c r="AA184" s="287"/>
      <c r="AB184" s="287"/>
      <c r="AC184" s="287"/>
      <c r="AD184" s="287"/>
      <c r="AE184" s="287"/>
      <c r="AF184" s="287"/>
      <c r="AG184" s="287"/>
      <c r="AH184" s="287"/>
      <c r="AI184" s="287"/>
      <c r="AJ184" s="287"/>
      <c r="AK184" s="287"/>
      <c r="AL184" s="287"/>
      <c r="AM184" s="287"/>
      <c r="AN184" s="287"/>
      <c r="AO184" s="287"/>
      <c r="AP184" s="287"/>
      <c r="AQ184" s="287"/>
      <c r="AR184" s="287"/>
      <c r="AS184" s="287"/>
      <c r="AT184" s="287"/>
      <c r="AU184" s="287"/>
      <c r="AV184" s="287"/>
      <c r="AW184" s="287"/>
      <c r="AX184" s="287"/>
      <c r="AY184" s="287"/>
      <c r="AZ184" s="287"/>
      <c r="BA184" s="287"/>
      <c r="BB184" s="287"/>
      <c r="BC184" s="287"/>
    </row>
    <row r="185" ht="15.75" customHeight="1">
      <c r="A185" s="287"/>
      <c r="B185" s="287"/>
      <c r="C185" s="287"/>
      <c r="D185" s="287"/>
      <c r="E185" s="287"/>
      <c r="F185" s="287"/>
      <c r="G185" s="287"/>
      <c r="H185" s="287"/>
      <c r="I185" s="287"/>
      <c r="J185" s="287"/>
      <c r="K185" s="287"/>
      <c r="L185" s="287"/>
      <c r="M185" s="287"/>
      <c r="N185" s="287"/>
      <c r="O185" s="287"/>
      <c r="P185" s="287"/>
      <c r="Q185" s="287"/>
      <c r="R185" s="287"/>
      <c r="S185" s="287"/>
      <c r="T185" s="287"/>
      <c r="U185" s="287"/>
      <c r="V185" s="287"/>
      <c r="W185" s="287"/>
      <c r="X185" s="287"/>
      <c r="Y185" s="287"/>
      <c r="Z185" s="287"/>
      <c r="AA185" s="287"/>
      <c r="AB185" s="287"/>
      <c r="AC185" s="287"/>
      <c r="AD185" s="287"/>
      <c r="AE185" s="287"/>
      <c r="AF185" s="287"/>
      <c r="AG185" s="287"/>
      <c r="AH185" s="287"/>
      <c r="AI185" s="287"/>
      <c r="AJ185" s="287"/>
      <c r="AK185" s="287"/>
      <c r="AL185" s="287"/>
      <c r="AM185" s="287"/>
      <c r="AN185" s="287"/>
      <c r="AO185" s="287"/>
      <c r="AP185" s="287"/>
      <c r="AQ185" s="287"/>
      <c r="AR185" s="287"/>
      <c r="AS185" s="287"/>
      <c r="AT185" s="287"/>
      <c r="AU185" s="287"/>
      <c r="AV185" s="287"/>
      <c r="AW185" s="287"/>
      <c r="AX185" s="287"/>
      <c r="AY185" s="287"/>
      <c r="AZ185" s="287"/>
      <c r="BA185" s="287"/>
      <c r="BB185" s="287"/>
      <c r="BC185" s="287"/>
    </row>
    <row r="186" ht="15.75" customHeight="1">
      <c r="A186" s="287"/>
      <c r="B186" s="287"/>
      <c r="C186" s="287"/>
      <c r="D186" s="287"/>
      <c r="E186" s="287"/>
      <c r="F186" s="287"/>
      <c r="G186" s="287"/>
      <c r="H186" s="287"/>
      <c r="I186" s="287"/>
      <c r="J186" s="287"/>
      <c r="K186" s="287"/>
      <c r="L186" s="287"/>
      <c r="M186" s="287"/>
      <c r="N186" s="287"/>
      <c r="O186" s="287"/>
      <c r="P186" s="287"/>
      <c r="Q186" s="287"/>
      <c r="R186" s="287"/>
      <c r="S186" s="287"/>
      <c r="T186" s="287"/>
      <c r="U186" s="287"/>
      <c r="V186" s="287"/>
      <c r="W186" s="287"/>
      <c r="X186" s="287"/>
      <c r="Y186" s="287"/>
      <c r="Z186" s="287"/>
      <c r="AA186" s="287"/>
      <c r="AB186" s="287"/>
      <c r="AC186" s="287"/>
      <c r="AD186" s="287"/>
      <c r="AE186" s="287"/>
      <c r="AF186" s="287"/>
      <c r="AG186" s="287"/>
      <c r="AH186" s="287"/>
      <c r="AI186" s="287"/>
      <c r="AJ186" s="287"/>
      <c r="AK186" s="287"/>
      <c r="AL186" s="287"/>
      <c r="AM186" s="287"/>
      <c r="AN186" s="287"/>
      <c r="AO186" s="287"/>
      <c r="AP186" s="287"/>
      <c r="AQ186" s="287"/>
      <c r="AR186" s="287"/>
      <c r="AS186" s="287"/>
      <c r="AT186" s="287"/>
      <c r="AU186" s="287"/>
      <c r="AV186" s="287"/>
      <c r="AW186" s="287"/>
      <c r="AX186" s="287"/>
      <c r="AY186" s="287"/>
      <c r="AZ186" s="287"/>
      <c r="BA186" s="287"/>
      <c r="BB186" s="287"/>
      <c r="BC186" s="287"/>
    </row>
    <row r="187" ht="15.75" customHeight="1">
      <c r="A187" s="287"/>
      <c r="B187" s="287"/>
      <c r="C187" s="287"/>
      <c r="D187" s="287"/>
      <c r="E187" s="287"/>
      <c r="F187" s="287"/>
      <c r="G187" s="287"/>
      <c r="H187" s="287"/>
      <c r="I187" s="287"/>
      <c r="J187" s="287"/>
      <c r="K187" s="287"/>
      <c r="L187" s="287"/>
      <c r="M187" s="287"/>
      <c r="N187" s="287"/>
      <c r="O187" s="287"/>
      <c r="P187" s="287"/>
      <c r="Q187" s="287"/>
      <c r="R187" s="287"/>
      <c r="S187" s="287"/>
      <c r="T187" s="287"/>
      <c r="U187" s="287"/>
      <c r="V187" s="287"/>
      <c r="W187" s="287"/>
      <c r="X187" s="287"/>
      <c r="Y187" s="287"/>
      <c r="Z187" s="287"/>
      <c r="AA187" s="287"/>
      <c r="AB187" s="287"/>
      <c r="AC187" s="287"/>
      <c r="AD187" s="287"/>
      <c r="AE187" s="287"/>
      <c r="AF187" s="287"/>
      <c r="AG187" s="287"/>
      <c r="AH187" s="287"/>
      <c r="AI187" s="287"/>
      <c r="AJ187" s="287"/>
      <c r="AK187" s="287"/>
      <c r="AL187" s="287"/>
      <c r="AM187" s="287"/>
      <c r="AN187" s="287"/>
      <c r="AO187" s="287"/>
      <c r="AP187" s="287"/>
      <c r="AQ187" s="287"/>
      <c r="AR187" s="287"/>
      <c r="AS187" s="287"/>
      <c r="AT187" s="287"/>
      <c r="AU187" s="287"/>
      <c r="AV187" s="287"/>
      <c r="AW187" s="287"/>
      <c r="AX187" s="287"/>
      <c r="AY187" s="287"/>
      <c r="AZ187" s="287"/>
      <c r="BA187" s="287"/>
      <c r="BB187" s="287"/>
      <c r="BC187" s="287"/>
    </row>
    <row r="188" ht="15.75" customHeight="1">
      <c r="A188" s="287"/>
      <c r="B188" s="287"/>
      <c r="C188" s="287"/>
      <c r="D188" s="287"/>
      <c r="E188" s="287"/>
      <c r="F188" s="287"/>
      <c r="G188" s="287"/>
      <c r="H188" s="287"/>
      <c r="I188" s="287"/>
      <c r="J188" s="287"/>
      <c r="K188" s="287"/>
      <c r="L188" s="287"/>
      <c r="M188" s="287"/>
      <c r="N188" s="287"/>
      <c r="O188" s="287"/>
      <c r="P188" s="287"/>
      <c r="Q188" s="287"/>
      <c r="R188" s="287"/>
      <c r="S188" s="287"/>
      <c r="T188" s="287"/>
      <c r="U188" s="287"/>
      <c r="V188" s="287"/>
      <c r="W188" s="287"/>
      <c r="X188" s="287"/>
      <c r="Y188" s="287"/>
      <c r="Z188" s="287"/>
      <c r="AA188" s="287"/>
      <c r="AB188" s="287"/>
      <c r="AC188" s="287"/>
      <c r="AD188" s="287"/>
      <c r="AE188" s="287"/>
      <c r="AF188" s="287"/>
      <c r="AG188" s="287"/>
      <c r="AH188" s="287"/>
      <c r="AI188" s="287"/>
      <c r="AJ188" s="287"/>
      <c r="AK188" s="287"/>
      <c r="AL188" s="287"/>
      <c r="AM188" s="287"/>
      <c r="AN188" s="287"/>
      <c r="AO188" s="287"/>
      <c r="AP188" s="287"/>
      <c r="AQ188" s="287"/>
      <c r="AR188" s="287"/>
      <c r="AS188" s="287"/>
      <c r="AT188" s="287"/>
      <c r="AU188" s="287"/>
      <c r="AV188" s="287"/>
      <c r="AW188" s="287"/>
      <c r="AX188" s="287"/>
      <c r="AY188" s="287"/>
      <c r="AZ188" s="287"/>
      <c r="BA188" s="287"/>
      <c r="BB188" s="287"/>
      <c r="BC188" s="287"/>
    </row>
    <row r="189" ht="15.75" customHeight="1">
      <c r="A189" s="287"/>
      <c r="B189" s="287"/>
      <c r="C189" s="287"/>
      <c r="D189" s="287"/>
      <c r="E189" s="287"/>
      <c r="F189" s="287"/>
      <c r="G189" s="287"/>
      <c r="H189" s="287"/>
      <c r="I189" s="287"/>
      <c r="J189" s="287"/>
      <c r="K189" s="287"/>
      <c r="L189" s="287"/>
      <c r="M189" s="287"/>
      <c r="N189" s="287"/>
      <c r="O189" s="287"/>
      <c r="P189" s="287"/>
      <c r="Q189" s="287"/>
      <c r="R189" s="287"/>
      <c r="S189" s="287"/>
      <c r="T189" s="287"/>
      <c r="U189" s="287"/>
      <c r="V189" s="287"/>
      <c r="W189" s="287"/>
      <c r="X189" s="287"/>
      <c r="Y189" s="287"/>
      <c r="Z189" s="287"/>
      <c r="AA189" s="287"/>
      <c r="AB189" s="287"/>
      <c r="AC189" s="287"/>
      <c r="AD189" s="287"/>
      <c r="AE189" s="287"/>
      <c r="AF189" s="287"/>
      <c r="AG189" s="287"/>
      <c r="AH189" s="287"/>
      <c r="AI189" s="287"/>
      <c r="AJ189" s="287"/>
      <c r="AK189" s="287"/>
      <c r="AL189" s="287"/>
      <c r="AM189" s="287"/>
      <c r="AN189" s="287"/>
      <c r="AO189" s="287"/>
      <c r="AP189" s="287"/>
      <c r="AQ189" s="287"/>
      <c r="AR189" s="287"/>
      <c r="AS189" s="287"/>
      <c r="AT189" s="287"/>
      <c r="AU189" s="287"/>
      <c r="AV189" s="287"/>
      <c r="AW189" s="287"/>
      <c r="AX189" s="287"/>
      <c r="AY189" s="287"/>
      <c r="AZ189" s="287"/>
      <c r="BA189" s="287"/>
      <c r="BB189" s="287"/>
      <c r="BC189" s="287"/>
    </row>
    <row r="190" ht="15.75" customHeight="1">
      <c r="A190" s="287"/>
      <c r="B190" s="287"/>
      <c r="C190" s="287"/>
      <c r="D190" s="287"/>
      <c r="E190" s="287"/>
      <c r="F190" s="287"/>
      <c r="G190" s="287"/>
      <c r="H190" s="287"/>
      <c r="I190" s="287"/>
      <c r="J190" s="287"/>
      <c r="K190" s="287"/>
      <c r="L190" s="287"/>
      <c r="M190" s="287"/>
      <c r="N190" s="287"/>
      <c r="O190" s="287"/>
      <c r="P190" s="287"/>
      <c r="Q190" s="287"/>
      <c r="R190" s="287"/>
      <c r="S190" s="287"/>
      <c r="T190" s="287"/>
      <c r="U190" s="287"/>
      <c r="V190" s="287"/>
      <c r="W190" s="287"/>
      <c r="X190" s="287"/>
      <c r="Y190" s="287"/>
      <c r="Z190" s="287"/>
      <c r="AA190" s="287"/>
      <c r="AB190" s="287"/>
      <c r="AC190" s="287"/>
      <c r="AD190" s="287"/>
      <c r="AE190" s="287"/>
      <c r="AF190" s="287"/>
      <c r="AG190" s="287"/>
      <c r="AH190" s="287"/>
      <c r="AI190" s="287"/>
      <c r="AJ190" s="287"/>
      <c r="AK190" s="287"/>
      <c r="AL190" s="287"/>
      <c r="AM190" s="287"/>
      <c r="AN190" s="287"/>
      <c r="AO190" s="287"/>
      <c r="AP190" s="287"/>
      <c r="AQ190" s="287"/>
      <c r="AR190" s="287"/>
      <c r="AS190" s="287"/>
      <c r="AT190" s="287"/>
      <c r="AU190" s="287"/>
      <c r="AV190" s="287"/>
      <c r="AW190" s="287"/>
      <c r="AX190" s="287"/>
      <c r="AY190" s="287"/>
      <c r="AZ190" s="287"/>
      <c r="BA190" s="287"/>
      <c r="BB190" s="287"/>
      <c r="BC190" s="287"/>
    </row>
    <row r="191" ht="15.75" customHeight="1">
      <c r="A191" s="287"/>
      <c r="B191" s="287"/>
      <c r="C191" s="287"/>
      <c r="D191" s="287"/>
      <c r="E191" s="287"/>
      <c r="F191" s="287"/>
      <c r="G191" s="287"/>
      <c r="H191" s="287"/>
      <c r="I191" s="287"/>
      <c r="J191" s="287"/>
      <c r="K191" s="287"/>
      <c r="L191" s="287"/>
      <c r="M191" s="287"/>
      <c r="N191" s="287"/>
      <c r="O191" s="287"/>
      <c r="P191" s="287"/>
      <c r="Q191" s="287"/>
      <c r="R191" s="287"/>
      <c r="S191" s="287"/>
      <c r="T191" s="287"/>
      <c r="U191" s="287"/>
      <c r="V191" s="287"/>
      <c r="W191" s="287"/>
      <c r="X191" s="287"/>
      <c r="Y191" s="287"/>
      <c r="Z191" s="287"/>
      <c r="AA191" s="287"/>
      <c r="AB191" s="287"/>
      <c r="AC191" s="287"/>
      <c r="AD191" s="287"/>
      <c r="AE191" s="287"/>
      <c r="AF191" s="287"/>
      <c r="AG191" s="287"/>
      <c r="AH191" s="287"/>
      <c r="AI191" s="287"/>
      <c r="AJ191" s="287"/>
      <c r="AK191" s="287"/>
      <c r="AL191" s="287"/>
      <c r="AM191" s="287"/>
      <c r="AN191" s="287"/>
      <c r="AO191" s="287"/>
      <c r="AP191" s="287"/>
      <c r="AQ191" s="287"/>
      <c r="AR191" s="287"/>
      <c r="AS191" s="287"/>
      <c r="AT191" s="287"/>
      <c r="AU191" s="287"/>
      <c r="AV191" s="287"/>
      <c r="AW191" s="287"/>
      <c r="AX191" s="287"/>
      <c r="AY191" s="287"/>
      <c r="AZ191" s="287"/>
      <c r="BA191" s="287"/>
      <c r="BB191" s="287"/>
      <c r="BC191" s="287"/>
    </row>
    <row r="192" ht="15.75" customHeight="1">
      <c r="A192" s="287"/>
      <c r="B192" s="287"/>
      <c r="C192" s="287"/>
      <c r="D192" s="287"/>
      <c r="E192" s="287"/>
      <c r="F192" s="287"/>
      <c r="G192" s="287"/>
      <c r="H192" s="287"/>
      <c r="I192" s="287"/>
      <c r="J192" s="287"/>
      <c r="K192" s="287"/>
      <c r="L192" s="287"/>
      <c r="M192" s="287"/>
      <c r="N192" s="287"/>
      <c r="O192" s="287"/>
      <c r="P192" s="287"/>
      <c r="Q192" s="287"/>
      <c r="R192" s="287"/>
      <c r="S192" s="287"/>
      <c r="T192" s="287"/>
      <c r="U192" s="287"/>
      <c r="V192" s="287"/>
      <c r="W192" s="287"/>
      <c r="X192" s="287"/>
      <c r="Y192" s="287"/>
      <c r="Z192" s="287"/>
      <c r="AA192" s="287"/>
      <c r="AB192" s="287"/>
      <c r="AC192" s="287"/>
      <c r="AD192" s="287"/>
      <c r="AE192" s="287"/>
      <c r="AF192" s="287"/>
      <c r="AG192" s="287"/>
      <c r="AH192" s="287"/>
      <c r="AI192" s="287"/>
      <c r="AJ192" s="287"/>
      <c r="AK192" s="287"/>
      <c r="AL192" s="287"/>
      <c r="AM192" s="287"/>
      <c r="AN192" s="287"/>
      <c r="AO192" s="287"/>
      <c r="AP192" s="287"/>
      <c r="AQ192" s="287"/>
      <c r="AR192" s="287"/>
      <c r="AS192" s="287"/>
      <c r="AT192" s="287"/>
      <c r="AU192" s="287"/>
      <c r="AV192" s="287"/>
      <c r="AW192" s="287"/>
      <c r="AX192" s="287"/>
      <c r="AY192" s="287"/>
      <c r="AZ192" s="287"/>
      <c r="BA192" s="287"/>
      <c r="BB192" s="287"/>
      <c r="BC192" s="287"/>
    </row>
    <row r="193" ht="15.75" customHeight="1">
      <c r="A193" s="287"/>
      <c r="B193" s="287"/>
      <c r="C193" s="287"/>
      <c r="D193" s="287"/>
      <c r="E193" s="287"/>
      <c r="F193" s="287"/>
      <c r="G193" s="287"/>
      <c r="H193" s="287"/>
      <c r="I193" s="287"/>
      <c r="J193" s="287"/>
      <c r="K193" s="287"/>
      <c r="L193" s="287"/>
      <c r="M193" s="287"/>
      <c r="N193" s="287"/>
      <c r="O193" s="287"/>
      <c r="P193" s="287"/>
      <c r="Q193" s="287"/>
      <c r="R193" s="287"/>
      <c r="S193" s="287"/>
      <c r="T193" s="287"/>
      <c r="U193" s="287"/>
      <c r="V193" s="287"/>
      <c r="W193" s="287"/>
      <c r="X193" s="287"/>
      <c r="Y193" s="287"/>
      <c r="Z193" s="287"/>
      <c r="AA193" s="287"/>
      <c r="AB193" s="287"/>
      <c r="AC193" s="287"/>
      <c r="AD193" s="287"/>
      <c r="AE193" s="287"/>
      <c r="AF193" s="287"/>
      <c r="AG193" s="287"/>
      <c r="AH193" s="287"/>
      <c r="AI193" s="287"/>
      <c r="AJ193" s="287"/>
      <c r="AK193" s="287"/>
      <c r="AL193" s="287"/>
      <c r="AM193" s="287"/>
      <c r="AN193" s="287"/>
      <c r="AO193" s="287"/>
      <c r="AP193" s="287"/>
      <c r="AQ193" s="287"/>
      <c r="AR193" s="287"/>
      <c r="AS193" s="287"/>
      <c r="AT193" s="287"/>
      <c r="AU193" s="287"/>
      <c r="AV193" s="287"/>
      <c r="AW193" s="287"/>
      <c r="AX193" s="287"/>
      <c r="AY193" s="287"/>
      <c r="AZ193" s="287"/>
      <c r="BA193" s="287"/>
      <c r="BB193" s="287"/>
      <c r="BC193" s="287"/>
    </row>
    <row r="194" ht="15.75" customHeight="1">
      <c r="A194" s="287"/>
      <c r="B194" s="287"/>
      <c r="C194" s="287"/>
      <c r="D194" s="287"/>
      <c r="E194" s="287"/>
      <c r="F194" s="287"/>
      <c r="G194" s="287"/>
      <c r="H194" s="287"/>
      <c r="I194" s="287"/>
      <c r="J194" s="287"/>
      <c r="K194" s="287"/>
      <c r="L194" s="287"/>
      <c r="M194" s="287"/>
      <c r="N194" s="287"/>
      <c r="O194" s="287"/>
      <c r="P194" s="287"/>
      <c r="Q194" s="287"/>
      <c r="R194" s="287"/>
      <c r="S194" s="287"/>
      <c r="T194" s="287"/>
      <c r="U194" s="287"/>
      <c r="V194" s="287"/>
      <c r="W194" s="287"/>
      <c r="X194" s="287"/>
      <c r="Y194" s="287"/>
      <c r="Z194" s="287"/>
      <c r="AA194" s="287"/>
      <c r="AB194" s="287"/>
      <c r="AC194" s="287"/>
      <c r="AD194" s="287"/>
      <c r="AE194" s="287"/>
      <c r="AF194" s="287"/>
      <c r="AG194" s="287"/>
      <c r="AH194" s="287"/>
      <c r="AI194" s="287"/>
      <c r="AJ194" s="287"/>
      <c r="AK194" s="287"/>
      <c r="AL194" s="287"/>
      <c r="AM194" s="287"/>
      <c r="AN194" s="287"/>
      <c r="AO194" s="287"/>
      <c r="AP194" s="287"/>
      <c r="AQ194" s="287"/>
      <c r="AR194" s="287"/>
      <c r="AS194" s="287"/>
      <c r="AT194" s="287"/>
      <c r="AU194" s="287"/>
      <c r="AV194" s="287"/>
      <c r="AW194" s="287"/>
      <c r="AX194" s="287"/>
      <c r="AY194" s="287"/>
      <c r="AZ194" s="287"/>
      <c r="BA194" s="287"/>
      <c r="BB194" s="287"/>
      <c r="BC194" s="287"/>
    </row>
    <row r="195" ht="15.75" customHeight="1">
      <c r="A195" s="287"/>
      <c r="B195" s="287"/>
      <c r="C195" s="287"/>
      <c r="D195" s="287"/>
      <c r="E195" s="287"/>
      <c r="F195" s="287"/>
      <c r="G195" s="287"/>
      <c r="H195" s="287"/>
      <c r="I195" s="287"/>
      <c r="J195" s="287"/>
      <c r="K195" s="287"/>
      <c r="L195" s="287"/>
      <c r="M195" s="287"/>
      <c r="N195" s="287"/>
      <c r="O195" s="287"/>
      <c r="P195" s="287"/>
      <c r="Q195" s="287"/>
      <c r="R195" s="287"/>
      <c r="S195" s="287"/>
      <c r="T195" s="287"/>
      <c r="U195" s="287"/>
      <c r="V195" s="287"/>
      <c r="W195" s="287"/>
      <c r="X195" s="287"/>
      <c r="Y195" s="287"/>
      <c r="Z195" s="287"/>
      <c r="AA195" s="287"/>
      <c r="AB195" s="287"/>
      <c r="AC195" s="287"/>
      <c r="AD195" s="287"/>
      <c r="AE195" s="287"/>
      <c r="AF195" s="287"/>
      <c r="AG195" s="287"/>
      <c r="AH195" s="287"/>
      <c r="AI195" s="287"/>
      <c r="AJ195" s="287"/>
      <c r="AK195" s="287"/>
      <c r="AL195" s="287"/>
      <c r="AM195" s="287"/>
      <c r="AN195" s="287"/>
      <c r="AO195" s="287"/>
      <c r="AP195" s="287"/>
      <c r="AQ195" s="287"/>
      <c r="AR195" s="287"/>
      <c r="AS195" s="287"/>
      <c r="AT195" s="287"/>
      <c r="AU195" s="287"/>
      <c r="AV195" s="287"/>
      <c r="AW195" s="287"/>
      <c r="AX195" s="287"/>
      <c r="AY195" s="287"/>
      <c r="AZ195" s="287"/>
      <c r="BA195" s="287"/>
      <c r="BB195" s="287"/>
      <c r="BC195" s="287"/>
    </row>
    <row r="196" ht="15.75" customHeight="1">
      <c r="A196" s="287"/>
      <c r="B196" s="287"/>
      <c r="C196" s="287"/>
      <c r="D196" s="287"/>
      <c r="E196" s="287"/>
      <c r="F196" s="287"/>
      <c r="G196" s="287"/>
      <c r="H196" s="287"/>
      <c r="I196" s="287"/>
      <c r="J196" s="287"/>
      <c r="K196" s="287"/>
      <c r="L196" s="287"/>
      <c r="M196" s="287"/>
      <c r="N196" s="287"/>
      <c r="O196" s="287"/>
      <c r="P196" s="287"/>
      <c r="Q196" s="287"/>
      <c r="R196" s="287"/>
      <c r="S196" s="287"/>
      <c r="T196" s="287"/>
      <c r="U196" s="287"/>
      <c r="V196" s="287"/>
      <c r="W196" s="287"/>
      <c r="X196" s="287"/>
      <c r="Y196" s="287"/>
      <c r="Z196" s="287"/>
      <c r="AA196" s="287"/>
      <c r="AB196" s="287"/>
      <c r="AC196" s="287"/>
      <c r="AD196" s="287"/>
      <c r="AE196" s="287"/>
      <c r="AF196" s="287"/>
      <c r="AG196" s="287"/>
      <c r="AH196" s="287"/>
      <c r="AI196" s="287"/>
      <c r="AJ196" s="287"/>
      <c r="AK196" s="287"/>
      <c r="AL196" s="287"/>
      <c r="AM196" s="287"/>
      <c r="AN196" s="287"/>
      <c r="AO196" s="287"/>
      <c r="AP196" s="287"/>
      <c r="AQ196" s="287"/>
      <c r="AR196" s="287"/>
      <c r="AS196" s="287"/>
      <c r="AT196" s="287"/>
      <c r="AU196" s="287"/>
      <c r="AV196" s="287"/>
      <c r="AW196" s="287"/>
      <c r="AX196" s="287"/>
      <c r="AY196" s="287"/>
      <c r="AZ196" s="287"/>
      <c r="BA196" s="287"/>
      <c r="BB196" s="287"/>
      <c r="BC196" s="287"/>
    </row>
    <row r="197" ht="15.75" customHeight="1">
      <c r="A197" s="287"/>
      <c r="B197" s="287"/>
      <c r="C197" s="287"/>
      <c r="D197" s="287"/>
      <c r="E197" s="287"/>
      <c r="F197" s="287"/>
      <c r="G197" s="287"/>
      <c r="H197" s="287"/>
      <c r="I197" s="287"/>
      <c r="J197" s="287"/>
      <c r="K197" s="287"/>
      <c r="L197" s="287"/>
      <c r="M197" s="287"/>
      <c r="N197" s="287"/>
      <c r="O197" s="287"/>
      <c r="P197" s="287"/>
      <c r="Q197" s="287"/>
      <c r="R197" s="287"/>
      <c r="S197" s="287"/>
      <c r="T197" s="287"/>
      <c r="U197" s="287"/>
      <c r="V197" s="287"/>
      <c r="W197" s="287"/>
      <c r="X197" s="287"/>
      <c r="Y197" s="287"/>
      <c r="Z197" s="287"/>
      <c r="AA197" s="287"/>
      <c r="AB197" s="287"/>
      <c r="AC197" s="287"/>
      <c r="AD197" s="287"/>
      <c r="AE197" s="287"/>
      <c r="AF197" s="287"/>
      <c r="AG197" s="287"/>
      <c r="AH197" s="287"/>
      <c r="AI197" s="287"/>
      <c r="AJ197" s="287"/>
      <c r="AK197" s="287"/>
      <c r="AL197" s="287"/>
      <c r="AM197" s="287"/>
      <c r="AN197" s="287"/>
      <c r="AO197" s="287"/>
      <c r="AP197" s="287"/>
      <c r="AQ197" s="287"/>
      <c r="AR197" s="287"/>
      <c r="AS197" s="287"/>
      <c r="AT197" s="287"/>
      <c r="AU197" s="287"/>
      <c r="AV197" s="287"/>
      <c r="AW197" s="287"/>
      <c r="AX197" s="287"/>
      <c r="AY197" s="287"/>
      <c r="AZ197" s="287"/>
      <c r="BA197" s="287"/>
      <c r="BB197" s="287"/>
      <c r="BC197" s="287"/>
    </row>
    <row r="198" ht="15.75" customHeight="1">
      <c r="A198" s="287"/>
      <c r="B198" s="287"/>
      <c r="C198" s="287"/>
      <c r="D198" s="287"/>
      <c r="E198" s="287"/>
      <c r="F198" s="287"/>
      <c r="G198" s="287"/>
      <c r="H198" s="287"/>
      <c r="I198" s="287"/>
      <c r="J198" s="287"/>
      <c r="K198" s="287"/>
      <c r="L198" s="287"/>
      <c r="M198" s="287"/>
      <c r="N198" s="287"/>
      <c r="O198" s="287"/>
      <c r="P198" s="287"/>
      <c r="Q198" s="287"/>
      <c r="R198" s="287"/>
      <c r="S198" s="287"/>
      <c r="T198" s="287"/>
      <c r="U198" s="287"/>
      <c r="V198" s="287"/>
      <c r="W198" s="287"/>
      <c r="X198" s="287"/>
      <c r="Y198" s="287"/>
      <c r="Z198" s="287"/>
      <c r="AA198" s="287"/>
      <c r="AB198" s="287"/>
      <c r="AC198" s="287"/>
      <c r="AD198" s="287"/>
      <c r="AE198" s="287"/>
      <c r="AF198" s="287"/>
      <c r="AG198" s="287"/>
      <c r="AH198" s="287"/>
      <c r="AI198" s="287"/>
      <c r="AJ198" s="287"/>
      <c r="AK198" s="287"/>
      <c r="AL198" s="287"/>
      <c r="AM198" s="287"/>
      <c r="AN198" s="287"/>
      <c r="AO198" s="287"/>
      <c r="AP198" s="287"/>
      <c r="AQ198" s="287"/>
      <c r="AR198" s="287"/>
      <c r="AS198" s="287"/>
      <c r="AT198" s="287"/>
      <c r="AU198" s="287"/>
      <c r="AV198" s="287"/>
      <c r="AW198" s="287"/>
      <c r="AX198" s="287"/>
      <c r="AY198" s="287"/>
      <c r="AZ198" s="287"/>
      <c r="BA198" s="287"/>
      <c r="BB198" s="287"/>
      <c r="BC198" s="287"/>
    </row>
    <row r="199" ht="15.75" customHeight="1">
      <c r="A199" s="287"/>
      <c r="B199" s="287"/>
      <c r="C199" s="287"/>
      <c r="D199" s="287"/>
      <c r="E199" s="287"/>
      <c r="F199" s="287"/>
      <c r="G199" s="287"/>
      <c r="H199" s="287"/>
      <c r="I199" s="287"/>
      <c r="J199" s="287"/>
      <c r="K199" s="287"/>
      <c r="L199" s="287"/>
      <c r="M199" s="287"/>
      <c r="N199" s="287"/>
      <c r="O199" s="287"/>
      <c r="P199" s="287"/>
      <c r="Q199" s="287"/>
      <c r="R199" s="287"/>
      <c r="S199" s="287"/>
      <c r="T199" s="287"/>
      <c r="U199" s="287"/>
      <c r="V199" s="287"/>
      <c r="W199" s="287"/>
      <c r="X199" s="287"/>
      <c r="Y199" s="287"/>
      <c r="Z199" s="287"/>
      <c r="AA199" s="287"/>
      <c r="AB199" s="287"/>
      <c r="AC199" s="287"/>
      <c r="AD199" s="287"/>
      <c r="AE199" s="287"/>
      <c r="AF199" s="287"/>
      <c r="AG199" s="287"/>
      <c r="AH199" s="287"/>
      <c r="AI199" s="287"/>
      <c r="AJ199" s="287"/>
      <c r="AK199" s="287"/>
      <c r="AL199" s="287"/>
      <c r="AM199" s="287"/>
      <c r="AN199" s="287"/>
      <c r="AO199" s="287"/>
      <c r="AP199" s="287"/>
      <c r="AQ199" s="287"/>
      <c r="AR199" s="287"/>
      <c r="AS199" s="287"/>
      <c r="AT199" s="287"/>
      <c r="AU199" s="287"/>
      <c r="AV199" s="287"/>
      <c r="AW199" s="287"/>
      <c r="AX199" s="287"/>
      <c r="AY199" s="287"/>
      <c r="AZ199" s="287"/>
      <c r="BA199" s="287"/>
      <c r="BB199" s="287"/>
      <c r="BC199" s="287"/>
    </row>
    <row r="200" ht="15.75" customHeight="1">
      <c r="A200" s="287"/>
      <c r="B200" s="287"/>
      <c r="C200" s="287"/>
      <c r="D200" s="287"/>
      <c r="E200" s="287"/>
      <c r="F200" s="287"/>
      <c r="G200" s="287"/>
      <c r="H200" s="287"/>
      <c r="I200" s="287"/>
      <c r="J200" s="287"/>
      <c r="K200" s="287"/>
      <c r="L200" s="287"/>
      <c r="M200" s="287"/>
      <c r="N200" s="287"/>
      <c r="O200" s="287"/>
      <c r="P200" s="287"/>
      <c r="Q200" s="287"/>
      <c r="R200" s="287"/>
      <c r="S200" s="287"/>
      <c r="T200" s="287"/>
      <c r="U200" s="287"/>
      <c r="V200" s="287"/>
      <c r="W200" s="287"/>
      <c r="X200" s="287"/>
      <c r="Y200" s="287"/>
      <c r="Z200" s="287"/>
      <c r="AA200" s="287"/>
      <c r="AB200" s="287"/>
      <c r="AC200" s="287"/>
      <c r="AD200" s="287"/>
      <c r="AE200" s="287"/>
      <c r="AF200" s="287"/>
      <c r="AG200" s="287"/>
      <c r="AH200" s="287"/>
      <c r="AI200" s="287"/>
      <c r="AJ200" s="287"/>
      <c r="AK200" s="287"/>
      <c r="AL200" s="287"/>
      <c r="AM200" s="287"/>
      <c r="AN200" s="287"/>
      <c r="AO200" s="287"/>
      <c r="AP200" s="287"/>
      <c r="AQ200" s="287"/>
      <c r="AR200" s="287"/>
      <c r="AS200" s="287"/>
      <c r="AT200" s="287"/>
      <c r="AU200" s="287"/>
      <c r="AV200" s="287"/>
      <c r="AW200" s="287"/>
      <c r="AX200" s="287"/>
      <c r="AY200" s="287"/>
      <c r="AZ200" s="287"/>
      <c r="BA200" s="287"/>
      <c r="BB200" s="287"/>
      <c r="BC200" s="287"/>
    </row>
    <row r="201" ht="15.75" customHeight="1">
      <c r="A201" s="287"/>
      <c r="B201" s="287"/>
      <c r="C201" s="287"/>
      <c r="D201" s="287"/>
      <c r="E201" s="287"/>
      <c r="F201" s="287"/>
      <c r="G201" s="287"/>
      <c r="H201" s="287"/>
      <c r="I201" s="287"/>
      <c r="J201" s="287"/>
      <c r="K201" s="287"/>
      <c r="L201" s="287"/>
      <c r="M201" s="287"/>
      <c r="N201" s="287"/>
      <c r="O201" s="287"/>
      <c r="P201" s="287"/>
      <c r="Q201" s="287"/>
      <c r="R201" s="287"/>
      <c r="S201" s="287"/>
      <c r="T201" s="287"/>
      <c r="U201" s="287"/>
      <c r="V201" s="287"/>
      <c r="W201" s="287"/>
      <c r="X201" s="287"/>
      <c r="Y201" s="287"/>
      <c r="Z201" s="287"/>
      <c r="AA201" s="287"/>
      <c r="AB201" s="287"/>
      <c r="AC201" s="287"/>
      <c r="AD201" s="287"/>
      <c r="AE201" s="287"/>
      <c r="AF201" s="287"/>
      <c r="AG201" s="287"/>
      <c r="AH201" s="287"/>
      <c r="AI201" s="287"/>
      <c r="AJ201" s="287"/>
      <c r="AK201" s="287"/>
      <c r="AL201" s="287"/>
      <c r="AM201" s="287"/>
      <c r="AN201" s="287"/>
      <c r="AO201" s="287"/>
      <c r="AP201" s="287"/>
      <c r="AQ201" s="287"/>
      <c r="AR201" s="287"/>
      <c r="AS201" s="287"/>
      <c r="AT201" s="287"/>
      <c r="AU201" s="287"/>
      <c r="AV201" s="287"/>
      <c r="AW201" s="287"/>
      <c r="AX201" s="287"/>
      <c r="AY201" s="287"/>
      <c r="AZ201" s="287"/>
      <c r="BA201" s="287"/>
      <c r="BB201" s="287"/>
      <c r="BC201" s="287"/>
    </row>
    <row r="202" ht="15.75" customHeight="1">
      <c r="A202" s="287"/>
      <c r="B202" s="287"/>
      <c r="C202" s="287"/>
      <c r="D202" s="287"/>
      <c r="E202" s="287"/>
      <c r="F202" s="287"/>
      <c r="G202" s="287"/>
      <c r="H202" s="287"/>
      <c r="I202" s="287"/>
      <c r="J202" s="287"/>
      <c r="K202" s="287"/>
      <c r="L202" s="287"/>
      <c r="M202" s="287"/>
      <c r="N202" s="287"/>
      <c r="O202" s="287"/>
      <c r="P202" s="287"/>
      <c r="Q202" s="287"/>
      <c r="R202" s="287"/>
      <c r="S202" s="287"/>
      <c r="T202" s="287"/>
      <c r="U202" s="287"/>
      <c r="V202" s="287"/>
      <c r="W202" s="287"/>
      <c r="X202" s="287"/>
      <c r="Y202" s="287"/>
      <c r="Z202" s="287"/>
      <c r="AA202" s="287"/>
      <c r="AB202" s="287"/>
      <c r="AC202" s="287"/>
      <c r="AD202" s="287"/>
      <c r="AE202" s="287"/>
      <c r="AF202" s="287"/>
      <c r="AG202" s="287"/>
      <c r="AH202" s="287"/>
      <c r="AI202" s="287"/>
      <c r="AJ202" s="287"/>
      <c r="AK202" s="287"/>
      <c r="AL202" s="287"/>
      <c r="AM202" s="287"/>
      <c r="AN202" s="287"/>
      <c r="AO202" s="287"/>
      <c r="AP202" s="287"/>
      <c r="AQ202" s="287"/>
      <c r="AR202" s="287"/>
      <c r="AS202" s="287"/>
      <c r="AT202" s="287"/>
      <c r="AU202" s="287"/>
      <c r="AV202" s="287"/>
      <c r="AW202" s="287"/>
      <c r="AX202" s="287"/>
      <c r="AY202" s="287"/>
      <c r="AZ202" s="287"/>
      <c r="BA202" s="287"/>
      <c r="BB202" s="287"/>
      <c r="BC202" s="287"/>
    </row>
    <row r="203" ht="15.75" customHeight="1">
      <c r="A203" s="287"/>
      <c r="B203" s="287"/>
      <c r="C203" s="287"/>
      <c r="D203" s="287"/>
      <c r="E203" s="287"/>
      <c r="F203" s="287"/>
      <c r="G203" s="287"/>
      <c r="H203" s="287"/>
      <c r="I203" s="287"/>
      <c r="J203" s="287"/>
      <c r="K203" s="287"/>
      <c r="L203" s="287"/>
      <c r="M203" s="287"/>
      <c r="N203" s="287"/>
      <c r="O203" s="287"/>
      <c r="P203" s="287"/>
      <c r="Q203" s="287"/>
      <c r="R203" s="287"/>
      <c r="S203" s="287"/>
      <c r="T203" s="287"/>
      <c r="U203" s="287"/>
      <c r="V203" s="287"/>
      <c r="W203" s="287"/>
      <c r="X203" s="287"/>
      <c r="Y203" s="287"/>
      <c r="Z203" s="287"/>
      <c r="AA203" s="287"/>
      <c r="AB203" s="287"/>
      <c r="AC203" s="287"/>
      <c r="AD203" s="287"/>
      <c r="AE203" s="287"/>
      <c r="AF203" s="287"/>
      <c r="AG203" s="287"/>
      <c r="AH203" s="287"/>
      <c r="AI203" s="287"/>
      <c r="AJ203" s="287"/>
      <c r="AK203" s="287"/>
      <c r="AL203" s="287"/>
      <c r="AM203" s="287"/>
      <c r="AN203" s="287"/>
      <c r="AO203" s="287"/>
      <c r="AP203" s="287"/>
      <c r="AQ203" s="287"/>
      <c r="AR203" s="287"/>
      <c r="AS203" s="287"/>
      <c r="AT203" s="287"/>
      <c r="AU203" s="287"/>
      <c r="AV203" s="287"/>
      <c r="AW203" s="287"/>
      <c r="AX203" s="287"/>
      <c r="AY203" s="287"/>
      <c r="AZ203" s="287"/>
      <c r="BA203" s="287"/>
      <c r="BB203" s="287"/>
      <c r="BC203" s="287"/>
    </row>
    <row r="204" ht="15.75" customHeight="1">
      <c r="A204" s="287"/>
      <c r="B204" s="287"/>
      <c r="C204" s="287"/>
      <c r="D204" s="287"/>
      <c r="E204" s="287"/>
      <c r="F204" s="287"/>
      <c r="G204" s="287"/>
      <c r="H204" s="287"/>
      <c r="I204" s="287"/>
      <c r="J204" s="287"/>
      <c r="K204" s="287"/>
      <c r="L204" s="287"/>
      <c r="M204" s="287"/>
      <c r="N204" s="287"/>
      <c r="O204" s="287"/>
      <c r="P204" s="287"/>
      <c r="Q204" s="287"/>
      <c r="R204" s="287"/>
      <c r="S204" s="287"/>
      <c r="T204" s="287"/>
      <c r="U204" s="287"/>
      <c r="V204" s="287"/>
      <c r="W204" s="287"/>
      <c r="X204" s="287"/>
      <c r="Y204" s="287"/>
      <c r="Z204" s="287"/>
      <c r="AA204" s="287"/>
      <c r="AB204" s="287"/>
      <c r="AC204" s="287"/>
      <c r="AD204" s="287"/>
      <c r="AE204" s="287"/>
      <c r="AF204" s="287"/>
      <c r="AG204" s="287"/>
      <c r="AH204" s="287"/>
      <c r="AI204" s="287"/>
      <c r="AJ204" s="287"/>
      <c r="AK204" s="287"/>
      <c r="AL204" s="287"/>
      <c r="AM204" s="287"/>
      <c r="AN204" s="287"/>
      <c r="AO204" s="287"/>
      <c r="AP204" s="287"/>
      <c r="AQ204" s="287"/>
      <c r="AR204" s="287"/>
      <c r="AS204" s="287"/>
      <c r="AT204" s="287"/>
      <c r="AU204" s="287"/>
      <c r="AV204" s="287"/>
      <c r="AW204" s="287"/>
      <c r="AX204" s="287"/>
      <c r="AY204" s="287"/>
      <c r="AZ204" s="287"/>
      <c r="BA204" s="287"/>
      <c r="BB204" s="287"/>
      <c r="BC204" s="287"/>
    </row>
    <row r="205" ht="15.75" customHeight="1">
      <c r="A205" s="287"/>
      <c r="B205" s="287"/>
      <c r="C205" s="287"/>
      <c r="D205" s="287"/>
      <c r="E205" s="287"/>
      <c r="F205" s="287"/>
      <c r="G205" s="287"/>
      <c r="H205" s="287"/>
      <c r="I205" s="287"/>
      <c r="J205" s="287"/>
      <c r="K205" s="287"/>
      <c r="L205" s="287"/>
      <c r="M205" s="287"/>
      <c r="N205" s="287"/>
      <c r="O205" s="287"/>
      <c r="P205" s="287"/>
      <c r="Q205" s="287"/>
      <c r="R205" s="287"/>
      <c r="S205" s="287"/>
      <c r="T205" s="287"/>
      <c r="U205" s="287"/>
      <c r="V205" s="287"/>
      <c r="W205" s="287"/>
      <c r="X205" s="287"/>
      <c r="Y205" s="287"/>
      <c r="Z205" s="287"/>
      <c r="AA205" s="287"/>
      <c r="AB205" s="287"/>
      <c r="AC205" s="287"/>
      <c r="AD205" s="287"/>
      <c r="AE205" s="287"/>
      <c r="AF205" s="287"/>
      <c r="AG205" s="287"/>
      <c r="AH205" s="287"/>
      <c r="AI205" s="287"/>
      <c r="AJ205" s="287"/>
      <c r="AK205" s="287"/>
      <c r="AL205" s="287"/>
      <c r="AM205" s="287"/>
      <c r="AN205" s="287"/>
      <c r="AO205" s="287"/>
      <c r="AP205" s="287"/>
      <c r="AQ205" s="287"/>
      <c r="AR205" s="287"/>
      <c r="AS205" s="287"/>
      <c r="AT205" s="287"/>
      <c r="AU205" s="287"/>
      <c r="AV205" s="287"/>
      <c r="AW205" s="287"/>
      <c r="AX205" s="287"/>
      <c r="AY205" s="287"/>
      <c r="AZ205" s="287"/>
      <c r="BA205" s="287"/>
      <c r="BB205" s="287"/>
      <c r="BC205" s="287"/>
    </row>
    <row r="206" ht="15.75" customHeight="1">
      <c r="A206" s="287"/>
      <c r="B206" s="287"/>
      <c r="C206" s="287"/>
      <c r="D206" s="287"/>
      <c r="E206" s="287"/>
      <c r="F206" s="287"/>
      <c r="G206" s="287"/>
      <c r="H206" s="287"/>
      <c r="I206" s="287"/>
      <c r="J206" s="287"/>
      <c r="K206" s="287"/>
      <c r="L206" s="287"/>
      <c r="M206" s="287"/>
      <c r="N206" s="287"/>
      <c r="O206" s="287"/>
      <c r="P206" s="287"/>
      <c r="Q206" s="287"/>
      <c r="R206" s="287"/>
      <c r="S206" s="287"/>
      <c r="T206" s="287"/>
      <c r="U206" s="287"/>
      <c r="V206" s="287"/>
      <c r="W206" s="287"/>
      <c r="X206" s="287"/>
      <c r="Y206" s="287"/>
      <c r="Z206" s="287"/>
      <c r="AA206" s="287"/>
      <c r="AB206" s="287"/>
      <c r="AC206" s="287"/>
      <c r="AD206" s="287"/>
      <c r="AE206" s="287"/>
      <c r="AF206" s="287"/>
      <c r="AG206" s="287"/>
      <c r="AH206" s="287"/>
      <c r="AI206" s="287"/>
      <c r="AJ206" s="287"/>
      <c r="AK206" s="287"/>
      <c r="AL206" s="287"/>
      <c r="AM206" s="287"/>
      <c r="AN206" s="287"/>
      <c r="AO206" s="287"/>
      <c r="AP206" s="287"/>
      <c r="AQ206" s="287"/>
      <c r="AR206" s="287"/>
      <c r="AS206" s="287"/>
      <c r="AT206" s="287"/>
      <c r="AU206" s="287"/>
      <c r="AV206" s="287"/>
      <c r="AW206" s="287"/>
      <c r="AX206" s="287"/>
      <c r="AY206" s="287"/>
      <c r="AZ206" s="287"/>
      <c r="BA206" s="287"/>
      <c r="BB206" s="287"/>
      <c r="BC206" s="287"/>
    </row>
    <row r="207" ht="15.75" customHeight="1">
      <c r="A207" s="287"/>
      <c r="B207" s="287"/>
      <c r="C207" s="287"/>
      <c r="D207" s="287"/>
      <c r="E207" s="287"/>
      <c r="F207" s="287"/>
      <c r="G207" s="287"/>
      <c r="H207" s="287"/>
      <c r="I207" s="287"/>
      <c r="J207" s="287"/>
      <c r="K207" s="287"/>
      <c r="L207" s="287"/>
      <c r="M207" s="287"/>
      <c r="N207" s="287"/>
      <c r="O207" s="287"/>
      <c r="P207" s="287"/>
      <c r="Q207" s="287"/>
      <c r="R207" s="287"/>
      <c r="S207" s="287"/>
      <c r="T207" s="287"/>
      <c r="U207" s="287"/>
      <c r="V207" s="287"/>
      <c r="W207" s="287"/>
      <c r="X207" s="287"/>
      <c r="Y207" s="287"/>
      <c r="Z207" s="287"/>
      <c r="AA207" s="287"/>
      <c r="AB207" s="287"/>
      <c r="AC207" s="287"/>
      <c r="AD207" s="287"/>
      <c r="AE207" s="287"/>
      <c r="AF207" s="287"/>
      <c r="AG207" s="287"/>
      <c r="AH207" s="287"/>
      <c r="AI207" s="287"/>
      <c r="AJ207" s="287"/>
      <c r="AK207" s="287"/>
      <c r="AL207" s="287"/>
      <c r="AM207" s="287"/>
      <c r="AN207" s="287"/>
      <c r="AO207" s="287"/>
      <c r="AP207" s="287"/>
      <c r="AQ207" s="287"/>
      <c r="AR207" s="287"/>
      <c r="AS207" s="287"/>
      <c r="AT207" s="287"/>
      <c r="AU207" s="287"/>
      <c r="AV207" s="287"/>
      <c r="AW207" s="287"/>
      <c r="AX207" s="287"/>
      <c r="AY207" s="287"/>
      <c r="AZ207" s="287"/>
      <c r="BA207" s="287"/>
      <c r="BB207" s="287"/>
      <c r="BC207" s="287"/>
    </row>
    <row r="208" ht="15.75" customHeight="1">
      <c r="A208" s="287"/>
      <c r="B208" s="287"/>
      <c r="C208" s="287"/>
      <c r="D208" s="287"/>
      <c r="E208" s="287"/>
      <c r="F208" s="287"/>
      <c r="G208" s="287"/>
      <c r="H208" s="287"/>
      <c r="I208" s="287"/>
      <c r="J208" s="287"/>
      <c r="K208" s="287"/>
      <c r="L208" s="287"/>
      <c r="M208" s="287"/>
      <c r="N208" s="287"/>
      <c r="O208" s="287"/>
      <c r="P208" s="287"/>
      <c r="Q208" s="287"/>
      <c r="R208" s="287"/>
      <c r="S208" s="287"/>
      <c r="T208" s="287"/>
      <c r="U208" s="287"/>
      <c r="V208" s="287"/>
      <c r="W208" s="287"/>
      <c r="X208" s="287"/>
      <c r="Y208" s="287"/>
      <c r="Z208" s="287"/>
      <c r="AA208" s="287"/>
      <c r="AB208" s="287"/>
      <c r="AC208" s="287"/>
      <c r="AD208" s="287"/>
      <c r="AE208" s="287"/>
      <c r="AF208" s="287"/>
      <c r="AG208" s="287"/>
      <c r="AH208" s="287"/>
      <c r="AI208" s="287"/>
      <c r="AJ208" s="287"/>
      <c r="AK208" s="287"/>
      <c r="AL208" s="287"/>
      <c r="AM208" s="287"/>
      <c r="AN208" s="287"/>
      <c r="AO208" s="287"/>
      <c r="AP208" s="287"/>
      <c r="AQ208" s="287"/>
      <c r="AR208" s="287"/>
      <c r="AS208" s="287"/>
      <c r="AT208" s="287"/>
      <c r="AU208" s="287"/>
      <c r="AV208" s="287"/>
      <c r="AW208" s="287"/>
      <c r="AX208" s="287"/>
      <c r="AY208" s="287"/>
      <c r="AZ208" s="287"/>
      <c r="BA208" s="287"/>
      <c r="BB208" s="287"/>
      <c r="BC208" s="287"/>
    </row>
    <row r="209" ht="15.75" customHeight="1">
      <c r="A209" s="287"/>
      <c r="B209" s="287"/>
      <c r="C209" s="287"/>
      <c r="D209" s="287"/>
      <c r="E209" s="287"/>
      <c r="F209" s="287"/>
      <c r="G209" s="287"/>
      <c r="H209" s="287"/>
      <c r="I209" s="287"/>
      <c r="J209" s="287"/>
      <c r="K209" s="287"/>
      <c r="L209" s="287"/>
      <c r="M209" s="287"/>
      <c r="N209" s="287"/>
      <c r="O209" s="287"/>
      <c r="P209" s="287"/>
      <c r="Q209" s="287"/>
      <c r="R209" s="287"/>
      <c r="S209" s="287"/>
      <c r="T209" s="287"/>
      <c r="U209" s="287"/>
      <c r="V209" s="287"/>
      <c r="W209" s="287"/>
      <c r="X209" s="287"/>
      <c r="Y209" s="287"/>
      <c r="Z209" s="287"/>
      <c r="AA209" s="287"/>
      <c r="AB209" s="287"/>
      <c r="AC209" s="287"/>
      <c r="AD209" s="287"/>
      <c r="AE209" s="287"/>
      <c r="AF209" s="287"/>
      <c r="AG209" s="287"/>
      <c r="AH209" s="287"/>
      <c r="AI209" s="287"/>
      <c r="AJ209" s="287"/>
      <c r="AK209" s="287"/>
      <c r="AL209" s="287"/>
      <c r="AM209" s="287"/>
      <c r="AN209" s="287"/>
      <c r="AO209" s="287"/>
      <c r="AP209" s="287"/>
      <c r="AQ209" s="287"/>
      <c r="AR209" s="287"/>
      <c r="AS209" s="287"/>
      <c r="AT209" s="287"/>
      <c r="AU209" s="287"/>
      <c r="AV209" s="287"/>
      <c r="AW209" s="287"/>
      <c r="AX209" s="287"/>
      <c r="AY209" s="287"/>
      <c r="AZ209" s="287"/>
      <c r="BA209" s="287"/>
      <c r="BB209" s="287"/>
      <c r="BC209" s="287"/>
    </row>
    <row r="210" ht="15.75" customHeight="1">
      <c r="A210" s="287"/>
      <c r="B210" s="287"/>
      <c r="C210" s="287"/>
      <c r="D210" s="287"/>
      <c r="E210" s="287"/>
      <c r="F210" s="287"/>
      <c r="G210" s="287"/>
      <c r="H210" s="287"/>
      <c r="I210" s="287"/>
      <c r="J210" s="287"/>
      <c r="K210" s="287"/>
      <c r="L210" s="287"/>
      <c r="M210" s="287"/>
      <c r="N210" s="287"/>
      <c r="O210" s="287"/>
      <c r="P210" s="287"/>
      <c r="Q210" s="287"/>
      <c r="R210" s="287"/>
      <c r="S210" s="287"/>
      <c r="T210" s="287"/>
      <c r="U210" s="287"/>
      <c r="V210" s="287"/>
      <c r="W210" s="287"/>
      <c r="X210" s="287"/>
      <c r="Y210" s="287"/>
      <c r="Z210" s="287"/>
      <c r="AA210" s="287"/>
      <c r="AB210" s="287"/>
      <c r="AC210" s="287"/>
      <c r="AD210" s="287"/>
      <c r="AE210" s="287"/>
      <c r="AF210" s="287"/>
      <c r="AG210" s="287"/>
      <c r="AH210" s="287"/>
      <c r="AI210" s="287"/>
      <c r="AJ210" s="287"/>
      <c r="AK210" s="287"/>
      <c r="AL210" s="287"/>
      <c r="AM210" s="287"/>
      <c r="AN210" s="287"/>
      <c r="AO210" s="287"/>
      <c r="AP210" s="287"/>
      <c r="AQ210" s="287"/>
      <c r="AR210" s="287"/>
      <c r="AS210" s="287"/>
      <c r="AT210" s="287"/>
      <c r="AU210" s="287"/>
      <c r="AV210" s="287"/>
      <c r="AW210" s="287"/>
      <c r="AX210" s="287"/>
      <c r="AY210" s="287"/>
      <c r="AZ210" s="287"/>
      <c r="BA210" s="287"/>
      <c r="BB210" s="287"/>
      <c r="BC210" s="287"/>
    </row>
    <row r="211" ht="15.75" customHeight="1">
      <c r="A211" s="287"/>
      <c r="B211" s="287"/>
      <c r="C211" s="287"/>
      <c r="D211" s="287"/>
      <c r="E211" s="287"/>
      <c r="F211" s="287"/>
      <c r="G211" s="287"/>
      <c r="H211" s="287"/>
      <c r="I211" s="287"/>
      <c r="J211" s="287"/>
      <c r="K211" s="287"/>
      <c r="L211" s="287"/>
      <c r="M211" s="287"/>
      <c r="N211" s="287"/>
      <c r="O211" s="287"/>
      <c r="P211" s="287"/>
      <c r="Q211" s="287"/>
      <c r="R211" s="287"/>
      <c r="S211" s="287"/>
      <c r="T211" s="287"/>
      <c r="U211" s="287"/>
      <c r="V211" s="287"/>
      <c r="W211" s="287"/>
      <c r="X211" s="287"/>
      <c r="Y211" s="287"/>
      <c r="Z211" s="287"/>
      <c r="AA211" s="287"/>
      <c r="AB211" s="287"/>
      <c r="AC211" s="287"/>
      <c r="AD211" s="287"/>
      <c r="AE211" s="287"/>
      <c r="AF211" s="287"/>
      <c r="AG211" s="287"/>
      <c r="AH211" s="287"/>
      <c r="AI211" s="287"/>
      <c r="AJ211" s="287"/>
      <c r="AK211" s="287"/>
      <c r="AL211" s="287"/>
      <c r="AM211" s="287"/>
      <c r="AN211" s="287"/>
      <c r="AO211" s="287"/>
      <c r="AP211" s="287"/>
      <c r="AQ211" s="287"/>
      <c r="AR211" s="287"/>
      <c r="AS211" s="287"/>
      <c r="AT211" s="287"/>
      <c r="AU211" s="287"/>
      <c r="AV211" s="287"/>
      <c r="AW211" s="287"/>
      <c r="AX211" s="287"/>
      <c r="AY211" s="287"/>
      <c r="AZ211" s="287"/>
      <c r="BA211" s="287"/>
      <c r="BB211" s="287"/>
      <c r="BC211" s="287"/>
    </row>
    <row r="212" ht="15.75" customHeight="1">
      <c r="A212" s="287"/>
      <c r="B212" s="287"/>
      <c r="C212" s="287"/>
      <c r="D212" s="287"/>
      <c r="E212" s="287"/>
      <c r="F212" s="287"/>
      <c r="G212" s="287"/>
      <c r="H212" s="287"/>
      <c r="I212" s="287"/>
      <c r="J212" s="287"/>
      <c r="K212" s="287"/>
      <c r="L212" s="287"/>
      <c r="M212" s="287"/>
      <c r="N212" s="287"/>
      <c r="O212" s="287"/>
      <c r="P212" s="287"/>
      <c r="Q212" s="287"/>
      <c r="R212" s="287"/>
      <c r="S212" s="287"/>
      <c r="T212" s="287"/>
      <c r="U212" s="287"/>
      <c r="V212" s="287"/>
      <c r="W212" s="287"/>
      <c r="X212" s="287"/>
      <c r="Y212" s="287"/>
      <c r="Z212" s="287"/>
      <c r="AA212" s="287"/>
      <c r="AB212" s="287"/>
      <c r="AC212" s="287"/>
      <c r="AD212" s="287"/>
      <c r="AE212" s="287"/>
      <c r="AF212" s="287"/>
      <c r="AG212" s="287"/>
      <c r="AH212" s="287"/>
      <c r="AI212" s="287"/>
      <c r="AJ212" s="287"/>
      <c r="AK212" s="287"/>
      <c r="AL212" s="287"/>
      <c r="AM212" s="287"/>
      <c r="AN212" s="287"/>
      <c r="AO212" s="287"/>
      <c r="AP212" s="287"/>
      <c r="AQ212" s="287"/>
      <c r="AR212" s="287"/>
      <c r="AS212" s="287"/>
      <c r="AT212" s="287"/>
      <c r="AU212" s="287"/>
      <c r="AV212" s="287"/>
      <c r="AW212" s="287"/>
      <c r="AX212" s="287"/>
      <c r="AY212" s="287"/>
      <c r="AZ212" s="287"/>
      <c r="BA212" s="287"/>
      <c r="BB212" s="287"/>
      <c r="BC212" s="287"/>
    </row>
    <row r="213" ht="15.75" customHeight="1">
      <c r="A213" s="287"/>
      <c r="B213" s="287"/>
      <c r="C213" s="287"/>
      <c r="D213" s="287"/>
      <c r="E213" s="287"/>
      <c r="F213" s="287"/>
      <c r="G213" s="287"/>
      <c r="H213" s="287"/>
      <c r="I213" s="287"/>
      <c r="J213" s="287"/>
      <c r="K213" s="287"/>
      <c r="L213" s="287"/>
      <c r="M213" s="287"/>
      <c r="N213" s="287"/>
      <c r="O213" s="287"/>
      <c r="P213" s="287"/>
      <c r="Q213" s="287"/>
      <c r="R213" s="287"/>
      <c r="S213" s="287"/>
      <c r="T213" s="287"/>
      <c r="U213" s="287"/>
      <c r="V213" s="287"/>
      <c r="W213" s="287"/>
      <c r="X213" s="287"/>
      <c r="Y213" s="287"/>
      <c r="Z213" s="287"/>
      <c r="AA213" s="287"/>
      <c r="AB213" s="287"/>
      <c r="AC213" s="287"/>
      <c r="AD213" s="287"/>
      <c r="AE213" s="287"/>
      <c r="AF213" s="287"/>
      <c r="AG213" s="287"/>
      <c r="AH213" s="287"/>
      <c r="AI213" s="287"/>
      <c r="AJ213" s="287"/>
      <c r="AK213" s="287"/>
      <c r="AL213" s="287"/>
      <c r="AM213" s="287"/>
      <c r="AN213" s="287"/>
      <c r="AO213" s="287"/>
      <c r="AP213" s="287"/>
      <c r="AQ213" s="287"/>
      <c r="AR213" s="287"/>
      <c r="AS213" s="287"/>
      <c r="AT213" s="287"/>
      <c r="AU213" s="287"/>
      <c r="AV213" s="287"/>
      <c r="AW213" s="287"/>
      <c r="AX213" s="287"/>
      <c r="AY213" s="287"/>
      <c r="AZ213" s="287"/>
      <c r="BA213" s="287"/>
      <c r="BB213" s="287"/>
      <c r="BC213" s="287"/>
    </row>
    <row r="214" ht="15.75" customHeight="1">
      <c r="A214" s="287"/>
      <c r="B214" s="287"/>
      <c r="C214" s="287"/>
      <c r="D214" s="287"/>
      <c r="E214" s="287"/>
      <c r="F214" s="287"/>
      <c r="G214" s="287"/>
      <c r="H214" s="287"/>
      <c r="I214" s="287"/>
      <c r="J214" s="287"/>
      <c r="K214" s="287"/>
      <c r="L214" s="287"/>
      <c r="M214" s="287"/>
      <c r="N214" s="287"/>
      <c r="O214" s="287"/>
      <c r="P214" s="287"/>
      <c r="Q214" s="287"/>
      <c r="R214" s="287"/>
      <c r="S214" s="287"/>
      <c r="T214" s="287"/>
      <c r="U214" s="287"/>
      <c r="V214" s="287"/>
      <c r="W214" s="287"/>
      <c r="X214" s="287"/>
      <c r="Y214" s="287"/>
      <c r="Z214" s="287"/>
      <c r="AA214" s="287"/>
      <c r="AB214" s="287"/>
      <c r="AC214" s="287"/>
      <c r="AD214" s="287"/>
      <c r="AE214" s="287"/>
      <c r="AF214" s="287"/>
      <c r="AG214" s="287"/>
      <c r="AH214" s="287"/>
      <c r="AI214" s="287"/>
      <c r="AJ214" s="287"/>
      <c r="AK214" s="287"/>
      <c r="AL214" s="287"/>
      <c r="AM214" s="287"/>
      <c r="AN214" s="287"/>
      <c r="AO214" s="287"/>
      <c r="AP214" s="287"/>
      <c r="AQ214" s="287"/>
      <c r="AR214" s="287"/>
      <c r="AS214" s="287"/>
      <c r="AT214" s="287"/>
      <c r="AU214" s="287"/>
      <c r="AV214" s="287"/>
      <c r="AW214" s="287"/>
      <c r="AX214" s="287"/>
      <c r="AY214" s="287"/>
      <c r="AZ214" s="287"/>
      <c r="BA214" s="287"/>
      <c r="BB214" s="287"/>
      <c r="BC214" s="287"/>
    </row>
    <row r="215" ht="15.75" customHeight="1">
      <c r="A215" s="287"/>
      <c r="B215" s="287"/>
      <c r="C215" s="287"/>
      <c r="D215" s="287"/>
      <c r="E215" s="287"/>
      <c r="F215" s="287"/>
      <c r="G215" s="287"/>
      <c r="H215" s="287"/>
      <c r="I215" s="287"/>
      <c r="J215" s="287"/>
      <c r="K215" s="287"/>
      <c r="L215" s="287"/>
      <c r="M215" s="287"/>
      <c r="N215" s="287"/>
      <c r="O215" s="287"/>
      <c r="P215" s="287"/>
      <c r="Q215" s="287"/>
      <c r="R215" s="287"/>
      <c r="S215" s="287"/>
      <c r="T215" s="287"/>
      <c r="U215" s="287"/>
      <c r="V215" s="287"/>
      <c r="W215" s="287"/>
      <c r="X215" s="287"/>
      <c r="Y215" s="287"/>
      <c r="Z215" s="287"/>
      <c r="AA215" s="287"/>
      <c r="AB215" s="287"/>
      <c r="AC215" s="287"/>
      <c r="AD215" s="287"/>
      <c r="AE215" s="287"/>
      <c r="AF215" s="287"/>
      <c r="AG215" s="287"/>
      <c r="AH215" s="287"/>
      <c r="AI215" s="287"/>
      <c r="AJ215" s="287"/>
      <c r="AK215" s="287"/>
      <c r="AL215" s="287"/>
      <c r="AM215" s="287"/>
      <c r="AN215" s="287"/>
      <c r="AO215" s="287"/>
      <c r="AP215" s="287"/>
      <c r="AQ215" s="287"/>
      <c r="AR215" s="287"/>
      <c r="AS215" s="287"/>
      <c r="AT215" s="287"/>
      <c r="AU215" s="287"/>
      <c r="AV215" s="287"/>
      <c r="AW215" s="287"/>
      <c r="AX215" s="287"/>
      <c r="AY215" s="287"/>
      <c r="AZ215" s="287"/>
      <c r="BA215" s="287"/>
      <c r="BB215" s="287"/>
      <c r="BC215" s="287"/>
    </row>
    <row r="216" ht="15.75" customHeight="1">
      <c r="A216" s="287"/>
      <c r="B216" s="287"/>
      <c r="C216" s="287"/>
      <c r="D216" s="287"/>
      <c r="E216" s="287"/>
      <c r="F216" s="287"/>
      <c r="G216" s="287"/>
      <c r="H216" s="287"/>
      <c r="I216" s="287"/>
      <c r="J216" s="287"/>
      <c r="K216" s="287"/>
      <c r="L216" s="287"/>
      <c r="M216" s="287"/>
      <c r="N216" s="287"/>
      <c r="O216" s="287"/>
      <c r="P216" s="287"/>
      <c r="Q216" s="287"/>
      <c r="R216" s="287"/>
      <c r="S216" s="287"/>
      <c r="T216" s="287"/>
      <c r="U216" s="287"/>
      <c r="V216" s="287"/>
      <c r="W216" s="287"/>
      <c r="X216" s="287"/>
      <c r="Y216" s="287"/>
      <c r="Z216" s="287"/>
      <c r="AA216" s="287"/>
      <c r="AB216" s="287"/>
      <c r="AC216" s="287"/>
      <c r="AD216" s="287"/>
      <c r="AE216" s="287"/>
      <c r="AF216" s="287"/>
      <c r="AG216" s="287"/>
      <c r="AH216" s="287"/>
      <c r="AI216" s="287"/>
      <c r="AJ216" s="287"/>
      <c r="AK216" s="287"/>
      <c r="AL216" s="287"/>
      <c r="AM216" s="287"/>
      <c r="AN216" s="287"/>
      <c r="AO216" s="287"/>
      <c r="AP216" s="287"/>
      <c r="AQ216" s="287"/>
      <c r="AR216" s="287"/>
      <c r="AS216" s="287"/>
      <c r="AT216" s="287"/>
      <c r="AU216" s="287"/>
      <c r="AV216" s="287"/>
      <c r="AW216" s="287"/>
      <c r="AX216" s="287"/>
      <c r="AY216" s="287"/>
      <c r="AZ216" s="287"/>
      <c r="BA216" s="287"/>
      <c r="BB216" s="287"/>
      <c r="BC216" s="287"/>
    </row>
    <row r="217" ht="15.75" customHeight="1">
      <c r="A217" s="287"/>
      <c r="B217" s="287"/>
      <c r="C217" s="287"/>
      <c r="D217" s="287"/>
      <c r="E217" s="287"/>
      <c r="F217" s="287"/>
      <c r="G217" s="287"/>
      <c r="H217" s="287"/>
      <c r="I217" s="287"/>
      <c r="J217" s="287"/>
      <c r="K217" s="287"/>
      <c r="L217" s="287"/>
      <c r="M217" s="287"/>
      <c r="N217" s="287"/>
      <c r="O217" s="287"/>
      <c r="P217" s="287"/>
      <c r="Q217" s="287"/>
      <c r="R217" s="287"/>
      <c r="S217" s="287"/>
      <c r="T217" s="287"/>
      <c r="U217" s="287"/>
      <c r="V217" s="287"/>
      <c r="W217" s="287"/>
      <c r="X217" s="287"/>
      <c r="Y217" s="287"/>
      <c r="Z217" s="287"/>
      <c r="AA217" s="287"/>
      <c r="AB217" s="287"/>
      <c r="AC217" s="287"/>
      <c r="AD217" s="287"/>
      <c r="AE217" s="287"/>
      <c r="AF217" s="287"/>
      <c r="AG217" s="287"/>
      <c r="AH217" s="287"/>
      <c r="AI217" s="287"/>
      <c r="AJ217" s="287"/>
      <c r="AK217" s="287"/>
      <c r="AL217" s="287"/>
      <c r="AM217" s="287"/>
      <c r="AN217" s="287"/>
      <c r="AO217" s="287"/>
      <c r="AP217" s="287"/>
      <c r="AQ217" s="287"/>
      <c r="AR217" s="287"/>
      <c r="AS217" s="287"/>
      <c r="AT217" s="287"/>
      <c r="AU217" s="287"/>
      <c r="AV217" s="287"/>
      <c r="AW217" s="287"/>
      <c r="AX217" s="287"/>
      <c r="AY217" s="287"/>
      <c r="AZ217" s="287"/>
      <c r="BA217" s="287"/>
      <c r="BB217" s="287"/>
      <c r="BC217" s="287"/>
    </row>
    <row r="218" ht="15.75" customHeight="1">
      <c r="A218" s="287"/>
      <c r="B218" s="287"/>
      <c r="C218" s="287"/>
      <c r="D218" s="287"/>
      <c r="E218" s="287"/>
      <c r="F218" s="287"/>
      <c r="G218" s="287"/>
      <c r="H218" s="287"/>
      <c r="I218" s="287"/>
      <c r="J218" s="287"/>
      <c r="K218" s="287"/>
      <c r="L218" s="287"/>
      <c r="M218" s="287"/>
      <c r="N218" s="287"/>
      <c r="O218" s="287"/>
      <c r="P218" s="287"/>
      <c r="Q218" s="287"/>
      <c r="R218" s="287"/>
      <c r="S218" s="287"/>
      <c r="T218" s="287"/>
      <c r="U218" s="287"/>
      <c r="V218" s="287"/>
      <c r="W218" s="287"/>
      <c r="X218" s="287"/>
      <c r="Y218" s="287"/>
      <c r="Z218" s="287"/>
      <c r="AA218" s="287"/>
      <c r="AB218" s="287"/>
      <c r="AC218" s="287"/>
      <c r="AD218" s="287"/>
      <c r="AE218" s="287"/>
      <c r="AF218" s="287"/>
      <c r="AG218" s="287"/>
      <c r="AH218" s="287"/>
      <c r="AI218" s="287"/>
      <c r="AJ218" s="287"/>
      <c r="AK218" s="287"/>
      <c r="AL218" s="287"/>
      <c r="AM218" s="287"/>
      <c r="AN218" s="287"/>
      <c r="AO218" s="287"/>
      <c r="AP218" s="287"/>
      <c r="AQ218" s="287"/>
      <c r="AR218" s="287"/>
      <c r="AS218" s="287"/>
      <c r="AT218" s="287"/>
      <c r="AU218" s="287"/>
      <c r="AV218" s="287"/>
      <c r="AW218" s="287"/>
      <c r="AX218" s="287"/>
      <c r="AY218" s="287"/>
      <c r="AZ218" s="287"/>
      <c r="BA218" s="287"/>
      <c r="BB218" s="287"/>
      <c r="BC218" s="287"/>
    </row>
    <row r="219" ht="15.75" customHeight="1">
      <c r="A219" s="287"/>
      <c r="B219" s="287"/>
      <c r="C219" s="287"/>
      <c r="D219" s="287"/>
      <c r="E219" s="287"/>
      <c r="F219" s="287"/>
      <c r="G219" s="287"/>
      <c r="H219" s="287"/>
      <c r="I219" s="287"/>
      <c r="J219" s="287"/>
      <c r="K219" s="287"/>
      <c r="L219" s="287"/>
      <c r="M219" s="287"/>
      <c r="N219" s="287"/>
      <c r="O219" s="287"/>
      <c r="P219" s="287"/>
      <c r="Q219" s="287"/>
      <c r="R219" s="287"/>
      <c r="S219" s="287"/>
      <c r="T219" s="287"/>
      <c r="U219" s="287"/>
      <c r="V219" s="287"/>
      <c r="W219" s="287"/>
      <c r="X219" s="287"/>
      <c r="Y219" s="287"/>
      <c r="Z219" s="287"/>
      <c r="AA219" s="287"/>
      <c r="AB219" s="287"/>
      <c r="AC219" s="287"/>
      <c r="AD219" s="287"/>
      <c r="AE219" s="287"/>
      <c r="AF219" s="287"/>
      <c r="AG219" s="287"/>
      <c r="AH219" s="287"/>
      <c r="AI219" s="287"/>
      <c r="AJ219" s="287"/>
      <c r="AK219" s="287"/>
      <c r="AL219" s="287"/>
      <c r="AM219" s="287"/>
      <c r="AN219" s="287"/>
      <c r="AO219" s="287"/>
      <c r="AP219" s="287"/>
      <c r="AQ219" s="287"/>
      <c r="AR219" s="287"/>
      <c r="AS219" s="287"/>
      <c r="AT219" s="287"/>
      <c r="AU219" s="287"/>
      <c r="AV219" s="287"/>
      <c r="AW219" s="287"/>
      <c r="AX219" s="287"/>
      <c r="AY219" s="287"/>
      <c r="AZ219" s="287"/>
      <c r="BA219" s="287"/>
      <c r="BB219" s="287"/>
      <c r="BC219" s="287"/>
    </row>
    <row r="220" ht="15.75" customHeight="1">
      <c r="A220" s="287"/>
      <c r="B220" s="287"/>
      <c r="C220" s="287"/>
      <c r="D220" s="287"/>
      <c r="E220" s="287"/>
      <c r="F220" s="287"/>
      <c r="G220" s="287"/>
      <c r="H220" s="287"/>
      <c r="I220" s="287"/>
      <c r="J220" s="287"/>
      <c r="K220" s="287"/>
      <c r="L220" s="287"/>
      <c r="M220" s="287"/>
      <c r="N220" s="287"/>
      <c r="O220" s="287"/>
      <c r="P220" s="287"/>
      <c r="Q220" s="287"/>
      <c r="R220" s="287"/>
      <c r="S220" s="287"/>
      <c r="T220" s="287"/>
      <c r="U220" s="287"/>
      <c r="V220" s="287"/>
      <c r="W220" s="287"/>
      <c r="X220" s="287"/>
      <c r="Y220" s="287"/>
      <c r="Z220" s="287"/>
      <c r="AA220" s="287"/>
      <c r="AB220" s="287"/>
      <c r="AC220" s="287"/>
      <c r="AD220" s="287"/>
      <c r="AE220" s="287"/>
      <c r="AF220" s="287"/>
      <c r="AG220" s="287"/>
      <c r="AH220" s="287"/>
      <c r="AI220" s="287"/>
      <c r="AJ220" s="287"/>
      <c r="AK220" s="287"/>
      <c r="AL220" s="287"/>
      <c r="AM220" s="287"/>
      <c r="AN220" s="287"/>
      <c r="AO220" s="287"/>
      <c r="AP220" s="287"/>
      <c r="AQ220" s="287"/>
      <c r="AR220" s="287"/>
      <c r="AS220" s="287"/>
      <c r="AT220" s="287"/>
      <c r="AU220" s="287"/>
      <c r="AV220" s="287"/>
      <c r="AW220" s="287"/>
      <c r="AX220" s="287"/>
      <c r="AY220" s="287"/>
      <c r="AZ220" s="287"/>
      <c r="BA220" s="287"/>
      <c r="BB220" s="287"/>
      <c r="BC220" s="287"/>
    </row>
    <row r="221" ht="15.75" customHeight="1">
      <c r="A221" s="287"/>
      <c r="B221" s="287"/>
      <c r="C221" s="287"/>
      <c r="D221" s="287"/>
      <c r="E221" s="287"/>
      <c r="F221" s="287"/>
      <c r="G221" s="287"/>
      <c r="H221" s="287"/>
      <c r="I221" s="287"/>
      <c r="J221" s="287"/>
      <c r="K221" s="287"/>
      <c r="L221" s="287"/>
      <c r="M221" s="287"/>
      <c r="N221" s="287"/>
      <c r="O221" s="287"/>
      <c r="P221" s="287"/>
      <c r="Q221" s="287"/>
      <c r="R221" s="287"/>
      <c r="S221" s="287"/>
      <c r="T221" s="287"/>
      <c r="U221" s="287"/>
      <c r="V221" s="287"/>
      <c r="W221" s="287"/>
      <c r="X221" s="287"/>
      <c r="Y221" s="287"/>
      <c r="Z221" s="287"/>
      <c r="AA221" s="287"/>
      <c r="AB221" s="287"/>
      <c r="AC221" s="287"/>
      <c r="AD221" s="287"/>
      <c r="AE221" s="287"/>
      <c r="AF221" s="287"/>
      <c r="AG221" s="287"/>
      <c r="AH221" s="287"/>
      <c r="AI221" s="287"/>
      <c r="AJ221" s="287"/>
      <c r="AK221" s="287"/>
      <c r="AL221" s="287"/>
      <c r="AM221" s="287"/>
      <c r="AN221" s="287"/>
      <c r="AO221" s="287"/>
      <c r="AP221" s="287"/>
      <c r="AQ221" s="287"/>
      <c r="AR221" s="287"/>
      <c r="AS221" s="287"/>
      <c r="AT221" s="287"/>
      <c r="AU221" s="287"/>
      <c r="AV221" s="287"/>
      <c r="AW221" s="287"/>
      <c r="AX221" s="287"/>
      <c r="AY221" s="287"/>
      <c r="AZ221" s="287"/>
      <c r="BA221" s="287"/>
      <c r="BB221" s="287"/>
      <c r="BC221" s="287"/>
    </row>
    <row r="222" ht="15.75" customHeight="1">
      <c r="A222" s="287"/>
      <c r="B222" s="287"/>
      <c r="C222" s="287"/>
      <c r="D222" s="287"/>
      <c r="E222" s="287"/>
      <c r="F222" s="287"/>
      <c r="G222" s="287"/>
      <c r="H222" s="287"/>
      <c r="I222" s="287"/>
      <c r="J222" s="287"/>
      <c r="K222" s="287"/>
      <c r="L222" s="287"/>
      <c r="M222" s="287"/>
      <c r="N222" s="287"/>
      <c r="O222" s="287"/>
      <c r="P222" s="287"/>
      <c r="Q222" s="287"/>
      <c r="R222" s="287"/>
      <c r="S222" s="287"/>
      <c r="T222" s="287"/>
      <c r="U222" s="287"/>
      <c r="V222" s="287"/>
      <c r="W222" s="287"/>
      <c r="X222" s="287"/>
      <c r="Y222" s="287"/>
      <c r="Z222" s="287"/>
      <c r="AA222" s="287"/>
      <c r="AB222" s="287"/>
      <c r="AC222" s="287"/>
      <c r="AD222" s="287"/>
      <c r="AE222" s="287"/>
      <c r="AF222" s="287"/>
      <c r="AG222" s="287"/>
      <c r="AH222" s="287"/>
      <c r="AI222" s="287"/>
      <c r="AJ222" s="287"/>
      <c r="AK222" s="287"/>
      <c r="AL222" s="287"/>
      <c r="AM222" s="287"/>
      <c r="AN222" s="287"/>
      <c r="AO222" s="287"/>
      <c r="AP222" s="287"/>
      <c r="AQ222" s="287"/>
      <c r="AR222" s="287"/>
      <c r="AS222" s="287"/>
      <c r="AT222" s="287"/>
      <c r="AU222" s="287"/>
      <c r="AV222" s="287"/>
      <c r="AW222" s="287"/>
      <c r="AX222" s="287"/>
      <c r="AY222" s="287"/>
      <c r="AZ222" s="287"/>
      <c r="BA222" s="287"/>
      <c r="BB222" s="287"/>
      <c r="BC222" s="287"/>
    </row>
    <row r="223" ht="15.75" customHeight="1">
      <c r="A223" s="287"/>
      <c r="B223" s="287"/>
      <c r="C223" s="287"/>
      <c r="D223" s="287"/>
      <c r="E223" s="287"/>
      <c r="F223" s="287"/>
      <c r="G223" s="287"/>
      <c r="H223" s="287"/>
      <c r="I223" s="287"/>
      <c r="J223" s="287"/>
      <c r="K223" s="287"/>
      <c r="L223" s="287"/>
      <c r="M223" s="287"/>
      <c r="N223" s="287"/>
      <c r="O223" s="287"/>
      <c r="P223" s="287"/>
      <c r="Q223" s="287"/>
      <c r="R223" s="287"/>
      <c r="S223" s="287"/>
      <c r="T223" s="287"/>
      <c r="U223" s="287"/>
      <c r="V223" s="287"/>
      <c r="W223" s="287"/>
      <c r="X223" s="287"/>
      <c r="Y223" s="287"/>
      <c r="Z223" s="287"/>
      <c r="AA223" s="287"/>
      <c r="AB223" s="287"/>
      <c r="AC223" s="287"/>
      <c r="AD223" s="287"/>
      <c r="AE223" s="287"/>
      <c r="AF223" s="287"/>
      <c r="AG223" s="287"/>
      <c r="AH223" s="287"/>
      <c r="AI223" s="287"/>
      <c r="AJ223" s="287"/>
      <c r="AK223" s="287"/>
      <c r="AL223" s="287"/>
      <c r="AM223" s="287"/>
      <c r="AN223" s="287"/>
      <c r="AO223" s="287"/>
      <c r="AP223" s="287"/>
      <c r="AQ223" s="287"/>
      <c r="AR223" s="287"/>
      <c r="AS223" s="287"/>
      <c r="AT223" s="287"/>
      <c r="AU223" s="287"/>
      <c r="AV223" s="287"/>
      <c r="AW223" s="287"/>
      <c r="AX223" s="287"/>
      <c r="AY223" s="287"/>
      <c r="AZ223" s="287"/>
      <c r="BA223" s="287"/>
      <c r="BB223" s="287"/>
      <c r="BC223" s="287"/>
    </row>
    <row r="224" ht="15.75" customHeight="1">
      <c r="A224" s="287"/>
      <c r="B224" s="287"/>
      <c r="C224" s="287"/>
      <c r="D224" s="287"/>
      <c r="E224" s="287"/>
      <c r="F224" s="287"/>
      <c r="G224" s="287"/>
      <c r="H224" s="287"/>
      <c r="I224" s="287"/>
      <c r="J224" s="287"/>
      <c r="K224" s="287"/>
      <c r="L224" s="287"/>
      <c r="M224" s="287"/>
      <c r="N224" s="287"/>
      <c r="O224" s="287"/>
      <c r="P224" s="287"/>
      <c r="Q224" s="287"/>
      <c r="R224" s="287"/>
      <c r="S224" s="287"/>
      <c r="T224" s="287"/>
      <c r="U224" s="287"/>
      <c r="V224" s="287"/>
      <c r="W224" s="287"/>
      <c r="X224" s="287"/>
      <c r="Y224" s="287"/>
      <c r="Z224" s="287"/>
      <c r="AA224" s="287"/>
      <c r="AB224" s="287"/>
      <c r="AC224" s="287"/>
      <c r="AD224" s="287"/>
      <c r="AE224" s="287"/>
      <c r="AF224" s="287"/>
      <c r="AG224" s="287"/>
      <c r="AH224" s="287"/>
      <c r="AI224" s="287"/>
      <c r="AJ224" s="287"/>
      <c r="AK224" s="287"/>
      <c r="AL224" s="287"/>
      <c r="AM224" s="287"/>
      <c r="AN224" s="287"/>
      <c r="AO224" s="287"/>
      <c r="AP224" s="287"/>
      <c r="AQ224" s="287"/>
      <c r="AR224" s="287"/>
      <c r="AS224" s="287"/>
      <c r="AT224" s="287"/>
      <c r="AU224" s="287"/>
      <c r="AV224" s="287"/>
      <c r="AW224" s="287"/>
      <c r="AX224" s="287"/>
      <c r="AY224" s="287"/>
      <c r="AZ224" s="287"/>
      <c r="BA224" s="287"/>
      <c r="BB224" s="287"/>
      <c r="BC224" s="287"/>
    </row>
    <row r="225" ht="15.75" customHeight="1">
      <c r="A225" s="287"/>
      <c r="B225" s="287"/>
      <c r="C225" s="287"/>
      <c r="D225" s="287"/>
      <c r="E225" s="287"/>
      <c r="F225" s="287"/>
      <c r="G225" s="287"/>
      <c r="H225" s="287"/>
      <c r="I225" s="287"/>
      <c r="J225" s="287"/>
      <c r="K225" s="287"/>
      <c r="L225" s="287"/>
      <c r="M225" s="287"/>
      <c r="N225" s="287"/>
      <c r="O225" s="287"/>
      <c r="P225" s="287"/>
      <c r="Q225" s="287"/>
      <c r="R225" s="287"/>
      <c r="S225" s="287"/>
      <c r="T225" s="287"/>
      <c r="U225" s="287"/>
      <c r="V225" s="287"/>
      <c r="W225" s="287"/>
      <c r="X225" s="287"/>
      <c r="Y225" s="287"/>
      <c r="Z225" s="287"/>
      <c r="AA225" s="287"/>
      <c r="AB225" s="287"/>
      <c r="AC225" s="287"/>
      <c r="AD225" s="287"/>
      <c r="AE225" s="287"/>
      <c r="AF225" s="287"/>
      <c r="AG225" s="287"/>
      <c r="AH225" s="287"/>
      <c r="AI225" s="287"/>
      <c r="AJ225" s="287"/>
      <c r="AK225" s="287"/>
      <c r="AL225" s="287"/>
      <c r="AM225" s="287"/>
      <c r="AN225" s="287"/>
      <c r="AO225" s="287"/>
      <c r="AP225" s="287"/>
      <c r="AQ225" s="287"/>
      <c r="AR225" s="287"/>
      <c r="AS225" s="287"/>
      <c r="AT225" s="287"/>
      <c r="AU225" s="287"/>
      <c r="AV225" s="287"/>
      <c r="AW225" s="287"/>
      <c r="AX225" s="287"/>
      <c r="AY225" s="287"/>
      <c r="AZ225" s="287"/>
      <c r="BA225" s="287"/>
      <c r="BB225" s="287"/>
      <c r="BC225" s="287"/>
    </row>
    <row r="226" ht="15.75" customHeight="1">
      <c r="A226" s="287"/>
      <c r="B226" s="287"/>
      <c r="C226" s="287"/>
      <c r="D226" s="287"/>
      <c r="E226" s="287"/>
      <c r="F226" s="287"/>
      <c r="G226" s="287"/>
      <c r="H226" s="287"/>
      <c r="I226" s="287"/>
      <c r="J226" s="287"/>
      <c r="K226" s="287"/>
      <c r="L226" s="287"/>
      <c r="M226" s="287"/>
      <c r="N226" s="287"/>
      <c r="O226" s="287"/>
      <c r="P226" s="287"/>
      <c r="Q226" s="287"/>
      <c r="R226" s="287"/>
      <c r="S226" s="287"/>
      <c r="T226" s="287"/>
      <c r="U226" s="287"/>
      <c r="V226" s="287"/>
      <c r="W226" s="287"/>
      <c r="X226" s="287"/>
      <c r="Y226" s="287"/>
      <c r="Z226" s="287"/>
      <c r="AA226" s="287"/>
      <c r="AB226" s="287"/>
      <c r="AC226" s="287"/>
      <c r="AD226" s="287"/>
      <c r="AE226" s="287"/>
      <c r="AF226" s="287"/>
      <c r="AG226" s="287"/>
      <c r="AH226" s="287"/>
      <c r="AI226" s="287"/>
      <c r="AJ226" s="287"/>
      <c r="AK226" s="287"/>
      <c r="AL226" s="287"/>
      <c r="AM226" s="287"/>
      <c r="AN226" s="287"/>
      <c r="AO226" s="287"/>
      <c r="AP226" s="287"/>
      <c r="AQ226" s="287"/>
      <c r="AR226" s="287"/>
      <c r="AS226" s="287"/>
      <c r="AT226" s="287"/>
      <c r="AU226" s="287"/>
      <c r="AV226" s="287"/>
      <c r="AW226" s="287"/>
      <c r="AX226" s="287"/>
      <c r="AY226" s="287"/>
      <c r="AZ226" s="287"/>
      <c r="BA226" s="287"/>
      <c r="BB226" s="287"/>
      <c r="BC226" s="287"/>
    </row>
    <row r="227" ht="15.75" customHeight="1">
      <c r="A227" s="287"/>
      <c r="B227" s="287"/>
      <c r="C227" s="287"/>
      <c r="D227" s="287"/>
      <c r="E227" s="287"/>
      <c r="F227" s="287"/>
      <c r="G227" s="287"/>
      <c r="H227" s="287"/>
      <c r="I227" s="287"/>
      <c r="J227" s="287"/>
      <c r="K227" s="287"/>
      <c r="L227" s="287"/>
      <c r="M227" s="287"/>
      <c r="N227" s="287"/>
      <c r="O227" s="287"/>
      <c r="P227" s="287"/>
      <c r="Q227" s="287"/>
      <c r="R227" s="287"/>
      <c r="S227" s="287"/>
      <c r="T227" s="287"/>
      <c r="U227" s="287"/>
      <c r="V227" s="287"/>
      <c r="W227" s="287"/>
      <c r="X227" s="287"/>
      <c r="Y227" s="287"/>
      <c r="Z227" s="287"/>
      <c r="AA227" s="287"/>
      <c r="AB227" s="287"/>
      <c r="AC227" s="287"/>
      <c r="AD227" s="287"/>
      <c r="AE227" s="287"/>
      <c r="AF227" s="287"/>
      <c r="AG227" s="287"/>
      <c r="AH227" s="287"/>
      <c r="AI227" s="287"/>
      <c r="AJ227" s="287"/>
      <c r="AK227" s="287"/>
      <c r="AL227" s="287"/>
      <c r="AM227" s="287"/>
      <c r="AN227" s="287"/>
      <c r="AO227" s="287"/>
      <c r="AP227" s="287"/>
      <c r="AQ227" s="287"/>
      <c r="AR227" s="287"/>
      <c r="AS227" s="287"/>
      <c r="AT227" s="287"/>
      <c r="AU227" s="287"/>
      <c r="AV227" s="287"/>
      <c r="AW227" s="287"/>
      <c r="AX227" s="287"/>
      <c r="AY227" s="287"/>
      <c r="AZ227" s="287"/>
      <c r="BA227" s="287"/>
      <c r="BB227" s="287"/>
      <c r="BC227" s="287"/>
    </row>
    <row r="228" ht="15.75" customHeight="1">
      <c r="A228" s="287"/>
      <c r="B228" s="287"/>
      <c r="C228" s="287"/>
      <c r="D228" s="287"/>
      <c r="E228" s="287"/>
      <c r="F228" s="287"/>
      <c r="G228" s="287"/>
      <c r="H228" s="287"/>
      <c r="I228" s="287"/>
      <c r="J228" s="287"/>
      <c r="K228" s="287"/>
      <c r="L228" s="287"/>
      <c r="M228" s="287"/>
      <c r="N228" s="287"/>
      <c r="O228" s="287"/>
      <c r="P228" s="287"/>
      <c r="Q228" s="287"/>
      <c r="R228" s="287"/>
      <c r="S228" s="287"/>
      <c r="T228" s="287"/>
      <c r="U228" s="287"/>
      <c r="V228" s="287"/>
      <c r="W228" s="287"/>
      <c r="X228" s="287"/>
      <c r="Y228" s="287"/>
      <c r="Z228" s="287"/>
      <c r="AA228" s="287"/>
      <c r="AB228" s="287"/>
      <c r="AC228" s="287"/>
      <c r="AD228" s="287"/>
      <c r="AE228" s="287"/>
      <c r="AF228" s="287"/>
      <c r="AG228" s="287"/>
      <c r="AH228" s="287"/>
      <c r="AI228" s="287"/>
      <c r="AJ228" s="287"/>
      <c r="AK228" s="287"/>
      <c r="AL228" s="287"/>
      <c r="AM228" s="287"/>
      <c r="AN228" s="287"/>
      <c r="AO228" s="287"/>
      <c r="AP228" s="287"/>
      <c r="AQ228" s="287"/>
      <c r="AR228" s="287"/>
      <c r="AS228" s="287"/>
      <c r="AT228" s="287"/>
      <c r="AU228" s="287"/>
      <c r="AV228" s="287"/>
      <c r="AW228" s="287"/>
      <c r="AX228" s="287"/>
      <c r="AY228" s="287"/>
      <c r="AZ228" s="287"/>
      <c r="BA228" s="287"/>
      <c r="BB228" s="287"/>
      <c r="BC228" s="287"/>
    </row>
    <row r="229" ht="15.75" customHeight="1">
      <c r="A229" s="287"/>
      <c r="B229" s="287"/>
      <c r="C229" s="287"/>
      <c r="D229" s="287"/>
      <c r="E229" s="287"/>
      <c r="F229" s="287"/>
      <c r="G229" s="287"/>
      <c r="H229" s="287"/>
      <c r="I229" s="287"/>
      <c r="J229" s="287"/>
      <c r="K229" s="287"/>
      <c r="L229" s="287"/>
      <c r="M229" s="287"/>
      <c r="N229" s="287"/>
      <c r="O229" s="287"/>
      <c r="P229" s="287"/>
      <c r="Q229" s="287"/>
      <c r="R229" s="287"/>
      <c r="S229" s="287"/>
      <c r="T229" s="287"/>
      <c r="U229" s="287"/>
      <c r="V229" s="287"/>
      <c r="W229" s="287"/>
      <c r="X229" s="287"/>
      <c r="Y229" s="287"/>
      <c r="Z229" s="287"/>
      <c r="AA229" s="287"/>
      <c r="AB229" s="287"/>
      <c r="AC229" s="287"/>
      <c r="AD229" s="287"/>
      <c r="AE229" s="287"/>
      <c r="AF229" s="287"/>
      <c r="AG229" s="287"/>
      <c r="AH229" s="287"/>
      <c r="AI229" s="287"/>
      <c r="AJ229" s="287"/>
      <c r="AK229" s="287"/>
      <c r="AL229" s="287"/>
      <c r="AM229" s="287"/>
      <c r="AN229" s="287"/>
      <c r="AO229" s="287"/>
      <c r="AP229" s="287"/>
      <c r="AQ229" s="287"/>
      <c r="AR229" s="287"/>
      <c r="AS229" s="287"/>
      <c r="AT229" s="287"/>
      <c r="AU229" s="287"/>
      <c r="AV229" s="287"/>
      <c r="AW229" s="287"/>
      <c r="AX229" s="287"/>
      <c r="AY229" s="287"/>
      <c r="AZ229" s="287"/>
      <c r="BA229" s="287"/>
      <c r="BB229" s="287"/>
      <c r="BC229" s="287"/>
    </row>
    <row r="230" ht="15.75" customHeight="1">
      <c r="A230" s="287"/>
      <c r="B230" s="287"/>
      <c r="C230" s="287"/>
      <c r="D230" s="287"/>
      <c r="E230" s="287"/>
      <c r="F230" s="287"/>
      <c r="G230" s="287"/>
      <c r="H230" s="287"/>
      <c r="I230" s="287"/>
      <c r="J230" s="287"/>
      <c r="K230" s="287"/>
      <c r="L230" s="287"/>
      <c r="M230" s="287"/>
      <c r="N230" s="287"/>
      <c r="O230" s="287"/>
      <c r="P230" s="287"/>
      <c r="Q230" s="287"/>
      <c r="R230" s="287"/>
      <c r="S230" s="287"/>
      <c r="T230" s="287"/>
      <c r="U230" s="287"/>
      <c r="V230" s="287"/>
      <c r="W230" s="287"/>
      <c r="X230" s="287"/>
      <c r="Y230" s="287"/>
      <c r="Z230" s="287"/>
      <c r="AA230" s="287"/>
      <c r="AB230" s="287"/>
      <c r="AC230" s="287"/>
      <c r="AD230" s="287"/>
      <c r="AE230" s="287"/>
      <c r="AF230" s="287"/>
      <c r="AG230" s="287"/>
      <c r="AH230" s="287"/>
      <c r="AI230" s="287"/>
      <c r="AJ230" s="287"/>
      <c r="AK230" s="287"/>
      <c r="AL230" s="287"/>
      <c r="AM230" s="287"/>
      <c r="AN230" s="287"/>
      <c r="AO230" s="287"/>
      <c r="AP230" s="287"/>
      <c r="AQ230" s="287"/>
      <c r="AR230" s="287"/>
      <c r="AS230" s="287"/>
      <c r="AT230" s="287"/>
      <c r="AU230" s="287"/>
      <c r="AV230" s="287"/>
      <c r="AW230" s="287"/>
      <c r="AX230" s="287"/>
      <c r="AY230" s="287"/>
      <c r="AZ230" s="287"/>
      <c r="BA230" s="287"/>
      <c r="BB230" s="287"/>
      <c r="BC230" s="287"/>
    </row>
    <row r="231" ht="15.75" customHeight="1">
      <c r="A231" s="287"/>
      <c r="B231" s="287"/>
      <c r="C231" s="287"/>
      <c r="D231" s="287"/>
      <c r="E231" s="287"/>
      <c r="F231" s="287"/>
      <c r="G231" s="287"/>
      <c r="H231" s="287"/>
      <c r="I231" s="287"/>
      <c r="J231" s="287"/>
      <c r="K231" s="287"/>
      <c r="L231" s="287"/>
      <c r="M231" s="287"/>
      <c r="N231" s="287"/>
      <c r="O231" s="287"/>
      <c r="P231" s="287"/>
      <c r="Q231" s="287"/>
      <c r="R231" s="287"/>
      <c r="S231" s="287"/>
      <c r="T231" s="287"/>
      <c r="U231" s="287"/>
      <c r="V231" s="287"/>
      <c r="W231" s="287"/>
      <c r="X231" s="287"/>
      <c r="Y231" s="287"/>
      <c r="Z231" s="287"/>
      <c r="AA231" s="287"/>
      <c r="AB231" s="287"/>
      <c r="AC231" s="287"/>
      <c r="AD231" s="287"/>
      <c r="AE231" s="287"/>
      <c r="AF231" s="287"/>
      <c r="AG231" s="287"/>
      <c r="AH231" s="287"/>
      <c r="AI231" s="287"/>
      <c r="AJ231" s="287"/>
      <c r="AK231" s="287"/>
      <c r="AL231" s="287"/>
      <c r="AM231" s="287"/>
      <c r="AN231" s="287"/>
      <c r="AO231" s="287"/>
      <c r="AP231" s="287"/>
      <c r="AQ231" s="287"/>
      <c r="AR231" s="287"/>
      <c r="AS231" s="287"/>
      <c r="AT231" s="287"/>
      <c r="AU231" s="287"/>
      <c r="AV231" s="287"/>
      <c r="AW231" s="287"/>
      <c r="AX231" s="287"/>
      <c r="AY231" s="287"/>
      <c r="AZ231" s="287"/>
      <c r="BA231" s="287"/>
      <c r="BB231" s="287"/>
      <c r="BC231" s="287"/>
    </row>
    <row r="232" ht="15.75" customHeight="1">
      <c r="A232" s="287"/>
      <c r="B232" s="287"/>
      <c r="C232" s="287"/>
      <c r="D232" s="287"/>
      <c r="E232" s="287"/>
      <c r="F232" s="287"/>
      <c r="G232" s="287"/>
      <c r="H232" s="287"/>
      <c r="I232" s="287"/>
      <c r="J232" s="287"/>
      <c r="K232" s="287"/>
      <c r="L232" s="287"/>
      <c r="M232" s="287"/>
      <c r="N232" s="287"/>
      <c r="O232" s="287"/>
      <c r="P232" s="287"/>
      <c r="Q232" s="287"/>
      <c r="R232" s="287"/>
      <c r="S232" s="287"/>
      <c r="T232" s="287"/>
      <c r="U232" s="287"/>
      <c r="V232" s="287"/>
      <c r="W232" s="287"/>
      <c r="X232" s="287"/>
      <c r="Y232" s="287"/>
      <c r="Z232" s="287"/>
      <c r="AA232" s="287"/>
      <c r="AB232" s="287"/>
      <c r="AC232" s="287"/>
      <c r="AD232" s="287"/>
      <c r="AE232" s="287"/>
      <c r="AF232" s="287"/>
      <c r="AG232" s="287"/>
      <c r="AH232" s="287"/>
      <c r="AI232" s="287"/>
      <c r="AJ232" s="287"/>
      <c r="AK232" s="287"/>
      <c r="AL232" s="287"/>
      <c r="AM232" s="287"/>
      <c r="AN232" s="287"/>
      <c r="AO232" s="287"/>
      <c r="AP232" s="287"/>
      <c r="AQ232" s="287"/>
      <c r="AR232" s="287"/>
      <c r="AS232" s="287"/>
      <c r="AT232" s="287"/>
      <c r="AU232" s="287"/>
      <c r="AV232" s="287"/>
      <c r="AW232" s="287"/>
      <c r="AX232" s="287"/>
      <c r="AY232" s="287"/>
      <c r="AZ232" s="287"/>
      <c r="BA232" s="287"/>
      <c r="BB232" s="287"/>
      <c r="BC232" s="287"/>
    </row>
    <row r="233" ht="15.75" customHeight="1">
      <c r="A233" s="287"/>
      <c r="B233" s="287"/>
      <c r="C233" s="287"/>
      <c r="D233" s="287"/>
      <c r="E233" s="287"/>
      <c r="F233" s="287"/>
      <c r="G233" s="287"/>
      <c r="H233" s="287"/>
      <c r="I233" s="287"/>
      <c r="J233" s="287"/>
      <c r="K233" s="287"/>
      <c r="L233" s="287"/>
      <c r="M233" s="287"/>
      <c r="N233" s="287"/>
      <c r="O233" s="287"/>
      <c r="P233" s="287"/>
      <c r="Q233" s="287"/>
      <c r="R233" s="287"/>
      <c r="S233" s="287"/>
      <c r="T233" s="287"/>
      <c r="U233" s="287"/>
      <c r="V233" s="287"/>
      <c r="W233" s="287"/>
      <c r="X233" s="287"/>
      <c r="Y233" s="287"/>
      <c r="Z233" s="287"/>
      <c r="AA233" s="287"/>
      <c r="AB233" s="287"/>
      <c r="AC233" s="287"/>
      <c r="AD233" s="287"/>
      <c r="AE233" s="287"/>
      <c r="AF233" s="287"/>
      <c r="AG233" s="287"/>
      <c r="AH233" s="287"/>
      <c r="AI233" s="287"/>
      <c r="AJ233" s="287"/>
      <c r="AK233" s="287"/>
      <c r="AL233" s="287"/>
      <c r="AM233" s="287"/>
      <c r="AN233" s="287"/>
      <c r="AO233" s="287"/>
      <c r="AP233" s="287"/>
      <c r="AQ233" s="287"/>
      <c r="AR233" s="287"/>
      <c r="AS233" s="287"/>
      <c r="AT233" s="287"/>
      <c r="AU233" s="287"/>
      <c r="AV233" s="287"/>
      <c r="AW233" s="287"/>
      <c r="AX233" s="287"/>
      <c r="AY233" s="287"/>
      <c r="AZ233" s="287"/>
      <c r="BA233" s="287"/>
      <c r="BB233" s="287"/>
      <c r="BC233" s="287"/>
    </row>
    <row r="234" ht="15.75" customHeight="1">
      <c r="A234" s="287"/>
      <c r="B234" s="287"/>
      <c r="C234" s="287"/>
      <c r="D234" s="287"/>
      <c r="E234" s="287"/>
      <c r="F234" s="287"/>
      <c r="G234" s="287"/>
      <c r="H234" s="287"/>
      <c r="I234" s="287"/>
      <c r="J234" s="287"/>
      <c r="K234" s="287"/>
      <c r="L234" s="287"/>
      <c r="M234" s="287"/>
      <c r="N234" s="287"/>
      <c r="O234" s="287"/>
      <c r="P234" s="287"/>
      <c r="Q234" s="287"/>
      <c r="R234" s="287"/>
      <c r="S234" s="287"/>
      <c r="T234" s="287"/>
      <c r="U234" s="287"/>
      <c r="V234" s="287"/>
      <c r="W234" s="287"/>
      <c r="X234" s="287"/>
      <c r="Y234" s="287"/>
      <c r="Z234" s="287"/>
      <c r="AA234" s="287"/>
      <c r="AB234" s="287"/>
      <c r="AC234" s="287"/>
      <c r="AD234" s="287"/>
      <c r="AE234" s="287"/>
      <c r="AF234" s="287"/>
      <c r="AG234" s="287"/>
      <c r="AH234" s="287"/>
      <c r="AI234" s="287"/>
      <c r="AJ234" s="287"/>
      <c r="AK234" s="287"/>
      <c r="AL234" s="287"/>
      <c r="AM234" s="287"/>
      <c r="AN234" s="287"/>
      <c r="AO234" s="287"/>
      <c r="AP234" s="287"/>
      <c r="AQ234" s="287"/>
      <c r="AR234" s="287"/>
      <c r="AS234" s="287"/>
      <c r="AT234" s="287"/>
      <c r="AU234" s="287"/>
      <c r="AV234" s="287"/>
      <c r="AW234" s="287"/>
      <c r="AX234" s="287"/>
      <c r="AY234" s="287"/>
      <c r="AZ234" s="287"/>
      <c r="BA234" s="287"/>
      <c r="BB234" s="287"/>
      <c r="BC234" s="287"/>
    </row>
    <row r="235" ht="15.75" customHeight="1">
      <c r="A235" s="287"/>
      <c r="B235" s="287"/>
      <c r="C235" s="287"/>
      <c r="D235" s="287"/>
      <c r="E235" s="287"/>
      <c r="F235" s="287"/>
      <c r="G235" s="287"/>
      <c r="H235" s="287"/>
      <c r="I235" s="287"/>
      <c r="J235" s="287"/>
      <c r="K235" s="287"/>
      <c r="L235" s="287"/>
      <c r="M235" s="287"/>
      <c r="N235" s="287"/>
      <c r="O235" s="287"/>
      <c r="P235" s="287"/>
      <c r="Q235" s="287"/>
      <c r="R235" s="287"/>
      <c r="S235" s="287"/>
      <c r="T235" s="287"/>
      <c r="U235" s="287"/>
      <c r="V235" s="287"/>
      <c r="W235" s="287"/>
      <c r="X235" s="287"/>
      <c r="Y235" s="287"/>
      <c r="Z235" s="287"/>
      <c r="AA235" s="287"/>
      <c r="AB235" s="287"/>
      <c r="AC235" s="287"/>
      <c r="AD235" s="287"/>
      <c r="AE235" s="287"/>
      <c r="AF235" s="287"/>
      <c r="AG235" s="287"/>
      <c r="AH235" s="287"/>
      <c r="AI235" s="287"/>
      <c r="AJ235" s="287"/>
      <c r="AK235" s="287"/>
      <c r="AL235" s="287"/>
      <c r="AM235" s="287"/>
      <c r="AN235" s="287"/>
      <c r="AO235" s="287"/>
      <c r="AP235" s="287"/>
      <c r="AQ235" s="287"/>
      <c r="AR235" s="287"/>
      <c r="AS235" s="287"/>
      <c r="AT235" s="287"/>
      <c r="AU235" s="287"/>
      <c r="AV235" s="287"/>
      <c r="AW235" s="287"/>
      <c r="AX235" s="287"/>
      <c r="AY235" s="287"/>
      <c r="AZ235" s="287"/>
      <c r="BA235" s="287"/>
      <c r="BB235" s="287"/>
      <c r="BC235" s="287"/>
    </row>
    <row r="236" ht="15.75" customHeight="1">
      <c r="A236" s="287"/>
      <c r="B236" s="287"/>
      <c r="C236" s="287"/>
      <c r="D236" s="287"/>
      <c r="E236" s="287"/>
      <c r="F236" s="287"/>
      <c r="G236" s="287"/>
      <c r="H236" s="287"/>
      <c r="I236" s="287"/>
      <c r="J236" s="287"/>
      <c r="K236" s="287"/>
      <c r="L236" s="287"/>
      <c r="M236" s="287"/>
      <c r="N236" s="287"/>
      <c r="O236" s="287"/>
      <c r="P236" s="287"/>
      <c r="Q236" s="287"/>
      <c r="R236" s="287"/>
      <c r="S236" s="287"/>
      <c r="T236" s="287"/>
      <c r="U236" s="287"/>
      <c r="V236" s="287"/>
      <c r="W236" s="287"/>
      <c r="X236" s="287"/>
      <c r="Y236" s="287"/>
      <c r="Z236" s="287"/>
      <c r="AA236" s="287"/>
      <c r="AB236" s="287"/>
      <c r="AC236" s="287"/>
      <c r="AD236" s="287"/>
      <c r="AE236" s="287"/>
      <c r="AF236" s="287"/>
      <c r="AG236" s="287"/>
      <c r="AH236" s="287"/>
      <c r="AI236" s="287"/>
      <c r="AJ236" s="287"/>
      <c r="AK236" s="287"/>
      <c r="AL236" s="287"/>
      <c r="AM236" s="287"/>
      <c r="AN236" s="287"/>
      <c r="AO236" s="287"/>
      <c r="AP236" s="287"/>
      <c r="AQ236" s="287"/>
      <c r="AR236" s="287"/>
      <c r="AS236" s="287"/>
      <c r="AT236" s="287"/>
      <c r="AU236" s="287"/>
      <c r="AV236" s="287"/>
      <c r="AW236" s="287"/>
      <c r="AX236" s="287"/>
      <c r="AY236" s="287"/>
      <c r="AZ236" s="287"/>
      <c r="BA236" s="287"/>
      <c r="BB236" s="287"/>
      <c r="BC236" s="287"/>
    </row>
    <row r="237" ht="15.75" customHeight="1">
      <c r="A237" s="287"/>
      <c r="B237" s="287"/>
      <c r="C237" s="287"/>
      <c r="D237" s="287"/>
      <c r="E237" s="287"/>
      <c r="F237" s="287"/>
      <c r="G237" s="287"/>
      <c r="H237" s="287"/>
      <c r="I237" s="287"/>
      <c r="J237" s="287"/>
      <c r="K237" s="287"/>
      <c r="L237" s="287"/>
      <c r="M237" s="287"/>
      <c r="N237" s="287"/>
      <c r="O237" s="287"/>
      <c r="P237" s="287"/>
      <c r="Q237" s="287"/>
      <c r="R237" s="287"/>
      <c r="S237" s="287"/>
      <c r="T237" s="287"/>
      <c r="U237" s="287"/>
      <c r="V237" s="287"/>
      <c r="W237" s="287"/>
      <c r="X237" s="287"/>
      <c r="Y237" s="287"/>
      <c r="Z237" s="287"/>
      <c r="AA237" s="287"/>
      <c r="AB237" s="287"/>
      <c r="AC237" s="287"/>
      <c r="AD237" s="287"/>
      <c r="AE237" s="287"/>
      <c r="AF237" s="287"/>
      <c r="AG237" s="287"/>
      <c r="AH237" s="287"/>
      <c r="AI237" s="287"/>
      <c r="AJ237" s="287"/>
      <c r="AK237" s="287"/>
      <c r="AL237" s="287"/>
      <c r="AM237" s="287"/>
      <c r="AN237" s="287"/>
      <c r="AO237" s="287"/>
      <c r="AP237" s="287"/>
      <c r="AQ237" s="287"/>
      <c r="AR237" s="287"/>
      <c r="AS237" s="287"/>
      <c r="AT237" s="287"/>
      <c r="AU237" s="287"/>
      <c r="AV237" s="287"/>
      <c r="AW237" s="287"/>
      <c r="AX237" s="287"/>
      <c r="AY237" s="287"/>
      <c r="AZ237" s="287"/>
      <c r="BA237" s="287"/>
      <c r="BB237" s="287"/>
      <c r="BC237" s="287"/>
    </row>
    <row r="238" ht="15.75" customHeight="1">
      <c r="A238" s="287"/>
      <c r="B238" s="287"/>
      <c r="C238" s="287"/>
      <c r="D238" s="287"/>
      <c r="E238" s="287"/>
      <c r="F238" s="287"/>
      <c r="G238" s="287"/>
      <c r="H238" s="287"/>
      <c r="I238" s="287"/>
      <c r="J238" s="287"/>
      <c r="K238" s="287"/>
      <c r="L238" s="287"/>
      <c r="M238" s="287"/>
      <c r="N238" s="287"/>
      <c r="O238" s="287"/>
      <c r="P238" s="287"/>
      <c r="Q238" s="287"/>
      <c r="R238" s="287"/>
      <c r="S238" s="287"/>
      <c r="T238" s="287"/>
      <c r="U238" s="287"/>
      <c r="V238" s="287"/>
      <c r="W238" s="287"/>
      <c r="X238" s="287"/>
      <c r="Y238" s="287"/>
      <c r="Z238" s="287"/>
      <c r="AA238" s="287"/>
      <c r="AB238" s="287"/>
      <c r="AC238" s="287"/>
      <c r="AD238" s="287"/>
      <c r="AE238" s="287"/>
      <c r="AF238" s="287"/>
      <c r="AG238" s="287"/>
      <c r="AH238" s="287"/>
      <c r="AI238" s="287"/>
      <c r="AJ238" s="287"/>
      <c r="AK238" s="287"/>
      <c r="AL238" s="287"/>
      <c r="AM238" s="287"/>
      <c r="AN238" s="287"/>
      <c r="AO238" s="287"/>
      <c r="AP238" s="287"/>
      <c r="AQ238" s="287"/>
      <c r="AR238" s="287"/>
      <c r="AS238" s="287"/>
      <c r="AT238" s="287"/>
      <c r="AU238" s="287"/>
      <c r="AV238" s="287"/>
      <c r="AW238" s="287"/>
      <c r="AX238" s="287"/>
      <c r="AY238" s="287"/>
      <c r="AZ238" s="287"/>
      <c r="BA238" s="287"/>
      <c r="BB238" s="287"/>
      <c r="BC238" s="287"/>
    </row>
    <row r="239" ht="15.75" customHeight="1">
      <c r="A239" s="287"/>
      <c r="B239" s="287"/>
      <c r="C239" s="287"/>
      <c r="D239" s="287"/>
      <c r="E239" s="287"/>
      <c r="F239" s="287"/>
      <c r="G239" s="287"/>
      <c r="H239" s="287"/>
      <c r="I239" s="287"/>
      <c r="J239" s="287"/>
      <c r="K239" s="287"/>
      <c r="L239" s="287"/>
      <c r="M239" s="287"/>
      <c r="N239" s="287"/>
      <c r="O239" s="287"/>
      <c r="P239" s="287"/>
      <c r="Q239" s="287"/>
      <c r="R239" s="287"/>
      <c r="S239" s="287"/>
      <c r="T239" s="287"/>
      <c r="U239" s="287"/>
      <c r="V239" s="287"/>
      <c r="W239" s="287"/>
      <c r="X239" s="287"/>
      <c r="Y239" s="287"/>
      <c r="Z239" s="287"/>
      <c r="AA239" s="287"/>
      <c r="AB239" s="287"/>
      <c r="AC239" s="287"/>
      <c r="AD239" s="287"/>
      <c r="AE239" s="287"/>
      <c r="AF239" s="287"/>
      <c r="AG239" s="287"/>
      <c r="AH239" s="287"/>
      <c r="AI239" s="287"/>
      <c r="AJ239" s="287"/>
      <c r="AK239" s="287"/>
      <c r="AL239" s="287"/>
      <c r="AM239" s="287"/>
      <c r="AN239" s="287"/>
      <c r="AO239" s="287"/>
      <c r="AP239" s="287"/>
      <c r="AQ239" s="287"/>
      <c r="AR239" s="287"/>
      <c r="AS239" s="287"/>
      <c r="AT239" s="287"/>
      <c r="AU239" s="287"/>
      <c r="AV239" s="287"/>
      <c r="AW239" s="287"/>
      <c r="AX239" s="287"/>
      <c r="AY239" s="287"/>
      <c r="AZ239" s="287"/>
      <c r="BA239" s="287"/>
      <c r="BB239" s="287"/>
      <c r="BC239" s="287"/>
    </row>
    <row r="240" ht="15.75" customHeight="1">
      <c r="A240" s="287"/>
      <c r="B240" s="287"/>
      <c r="C240" s="287"/>
      <c r="D240" s="287"/>
      <c r="E240" s="287"/>
      <c r="F240" s="287"/>
      <c r="G240" s="287"/>
      <c r="H240" s="287"/>
      <c r="I240" s="287"/>
      <c r="J240" s="287"/>
      <c r="K240" s="287"/>
      <c r="L240" s="287"/>
      <c r="M240" s="287"/>
      <c r="N240" s="287"/>
      <c r="O240" s="287"/>
      <c r="P240" s="287"/>
      <c r="Q240" s="287"/>
      <c r="R240" s="287"/>
      <c r="S240" s="287"/>
      <c r="T240" s="287"/>
      <c r="U240" s="287"/>
      <c r="V240" s="287"/>
      <c r="W240" s="287"/>
      <c r="X240" s="287"/>
      <c r="Y240" s="287"/>
      <c r="Z240" s="287"/>
      <c r="AA240" s="287"/>
      <c r="AB240" s="287"/>
      <c r="AC240" s="287"/>
      <c r="AD240" s="287"/>
      <c r="AE240" s="287"/>
      <c r="AF240" s="287"/>
      <c r="AG240" s="287"/>
      <c r="AH240" s="287"/>
      <c r="AI240" s="287"/>
      <c r="AJ240" s="287"/>
      <c r="AK240" s="287"/>
      <c r="AL240" s="287"/>
      <c r="AM240" s="287"/>
      <c r="AN240" s="287"/>
      <c r="AO240" s="287"/>
      <c r="AP240" s="287"/>
      <c r="AQ240" s="287"/>
      <c r="AR240" s="287"/>
      <c r="AS240" s="287"/>
      <c r="AT240" s="287"/>
      <c r="AU240" s="287"/>
      <c r="AV240" s="287"/>
      <c r="AW240" s="287"/>
      <c r="AX240" s="287"/>
      <c r="AY240" s="287"/>
      <c r="AZ240" s="287"/>
      <c r="BA240" s="287"/>
      <c r="BB240" s="287"/>
      <c r="BC240" s="287"/>
    </row>
    <row r="241" ht="15.75" customHeight="1">
      <c r="A241" s="287"/>
      <c r="B241" s="287"/>
      <c r="C241" s="287"/>
      <c r="D241" s="287"/>
      <c r="E241" s="287"/>
      <c r="F241" s="287"/>
      <c r="G241" s="287"/>
      <c r="H241" s="287"/>
      <c r="I241" s="287"/>
      <c r="J241" s="287"/>
      <c r="K241" s="287"/>
      <c r="L241" s="287"/>
      <c r="M241" s="287"/>
      <c r="N241" s="287"/>
      <c r="O241" s="287"/>
      <c r="P241" s="287"/>
      <c r="Q241" s="287"/>
      <c r="R241" s="287"/>
      <c r="S241" s="287"/>
      <c r="T241" s="287"/>
      <c r="U241" s="287"/>
      <c r="V241" s="287"/>
      <c r="W241" s="287"/>
      <c r="X241" s="287"/>
      <c r="Y241" s="287"/>
      <c r="Z241" s="287"/>
      <c r="AA241" s="287"/>
      <c r="AB241" s="287"/>
      <c r="AC241" s="287"/>
      <c r="AD241" s="287"/>
      <c r="AE241" s="287"/>
      <c r="AF241" s="287"/>
      <c r="AG241" s="287"/>
      <c r="AH241" s="287"/>
      <c r="AI241" s="287"/>
      <c r="AJ241" s="287"/>
      <c r="AK241" s="287"/>
      <c r="AL241" s="287"/>
      <c r="AM241" s="287"/>
      <c r="AN241" s="287"/>
      <c r="AO241" s="287"/>
      <c r="AP241" s="287"/>
      <c r="AQ241" s="287"/>
      <c r="AR241" s="287"/>
      <c r="AS241" s="287"/>
      <c r="AT241" s="287"/>
      <c r="AU241" s="287"/>
      <c r="AV241" s="287"/>
      <c r="AW241" s="287"/>
      <c r="AX241" s="287"/>
      <c r="AY241" s="287"/>
      <c r="AZ241" s="287"/>
      <c r="BA241" s="287"/>
      <c r="BB241" s="287"/>
      <c r="BC241" s="287"/>
    </row>
    <row r="242" ht="15.75" customHeight="1">
      <c r="A242" s="287"/>
      <c r="B242" s="287"/>
      <c r="C242" s="287"/>
      <c r="D242" s="287"/>
      <c r="E242" s="287"/>
      <c r="F242" s="287"/>
      <c r="G242" s="287"/>
      <c r="H242" s="287"/>
      <c r="I242" s="287"/>
      <c r="J242" s="287"/>
      <c r="K242" s="287"/>
      <c r="L242" s="287"/>
      <c r="M242" s="287"/>
      <c r="N242" s="287"/>
      <c r="O242" s="287"/>
      <c r="P242" s="287"/>
      <c r="Q242" s="287"/>
      <c r="R242" s="287"/>
      <c r="S242" s="287"/>
      <c r="T242" s="287"/>
      <c r="U242" s="287"/>
      <c r="V242" s="287"/>
      <c r="W242" s="287"/>
      <c r="X242" s="287"/>
      <c r="Y242" s="287"/>
      <c r="Z242" s="287"/>
      <c r="AA242" s="287"/>
      <c r="AB242" s="287"/>
      <c r="AC242" s="287"/>
      <c r="AD242" s="287"/>
      <c r="AE242" s="287"/>
      <c r="AF242" s="287"/>
      <c r="AG242" s="287"/>
      <c r="AH242" s="287"/>
      <c r="AI242" s="287"/>
      <c r="AJ242" s="287"/>
      <c r="AK242" s="287"/>
      <c r="AL242" s="287"/>
      <c r="AM242" s="287"/>
      <c r="AN242" s="287"/>
      <c r="AO242" s="287"/>
      <c r="AP242" s="287"/>
      <c r="AQ242" s="287"/>
      <c r="AR242" s="287"/>
      <c r="AS242" s="287"/>
      <c r="AT242" s="287"/>
      <c r="AU242" s="287"/>
      <c r="AV242" s="287"/>
      <c r="AW242" s="287"/>
      <c r="AX242" s="287"/>
      <c r="AY242" s="287"/>
      <c r="AZ242" s="287"/>
      <c r="BA242" s="287"/>
      <c r="BB242" s="287"/>
      <c r="BC242" s="287"/>
    </row>
    <row r="243" ht="15.75" customHeight="1">
      <c r="A243" s="287"/>
      <c r="B243" s="287"/>
      <c r="C243" s="287"/>
      <c r="D243" s="287"/>
      <c r="E243" s="287"/>
      <c r="F243" s="287"/>
      <c r="G243" s="287"/>
      <c r="H243" s="287"/>
      <c r="I243" s="287"/>
      <c r="J243" s="287"/>
      <c r="K243" s="287"/>
      <c r="L243" s="287"/>
      <c r="M243" s="287"/>
      <c r="N243" s="287"/>
      <c r="O243" s="287"/>
      <c r="P243" s="287"/>
      <c r="Q243" s="287"/>
      <c r="R243" s="287"/>
      <c r="S243" s="287"/>
      <c r="T243" s="287"/>
      <c r="U243" s="287"/>
      <c r="V243" s="287"/>
      <c r="W243" s="287"/>
      <c r="X243" s="287"/>
      <c r="Y243" s="287"/>
      <c r="Z243" s="287"/>
      <c r="AA243" s="287"/>
      <c r="AB243" s="287"/>
      <c r="AC243" s="287"/>
      <c r="AD243" s="287"/>
      <c r="AE243" s="287"/>
      <c r="AF243" s="287"/>
      <c r="AG243" s="287"/>
      <c r="AH243" s="287"/>
      <c r="AI243" s="287"/>
      <c r="AJ243" s="287"/>
      <c r="AK243" s="287"/>
      <c r="AL243" s="287"/>
      <c r="AM243" s="287"/>
      <c r="AN243" s="287"/>
      <c r="AO243" s="287"/>
      <c r="AP243" s="287"/>
      <c r="AQ243" s="287"/>
      <c r="AR243" s="287"/>
      <c r="AS243" s="287"/>
      <c r="AT243" s="287"/>
      <c r="AU243" s="287"/>
      <c r="AV243" s="287"/>
      <c r="AW243" s="287"/>
      <c r="AX243" s="287"/>
      <c r="AY243" s="287"/>
      <c r="AZ243" s="287"/>
      <c r="BA243" s="287"/>
      <c r="BB243" s="287"/>
      <c r="BC243" s="287"/>
    </row>
    <row r="244" ht="15.75" customHeight="1">
      <c r="A244" s="287"/>
      <c r="B244" s="287"/>
      <c r="C244" s="287"/>
      <c r="D244" s="287"/>
      <c r="E244" s="287"/>
      <c r="F244" s="287"/>
      <c r="G244" s="287"/>
      <c r="H244" s="287"/>
      <c r="I244" s="287"/>
      <c r="J244" s="287"/>
      <c r="K244" s="287"/>
      <c r="L244" s="287"/>
      <c r="M244" s="287"/>
      <c r="N244" s="287"/>
      <c r="O244" s="287"/>
      <c r="P244" s="287"/>
      <c r="Q244" s="287"/>
      <c r="R244" s="287"/>
      <c r="S244" s="287"/>
      <c r="T244" s="287"/>
      <c r="U244" s="287"/>
      <c r="V244" s="287"/>
      <c r="W244" s="287"/>
      <c r="X244" s="287"/>
      <c r="Y244" s="287"/>
      <c r="Z244" s="287"/>
      <c r="AA244" s="287"/>
      <c r="AB244" s="287"/>
      <c r="AC244" s="287"/>
      <c r="AD244" s="287"/>
      <c r="AE244" s="287"/>
      <c r="AF244" s="287"/>
      <c r="AG244" s="287"/>
      <c r="AH244" s="287"/>
      <c r="AI244" s="287"/>
      <c r="AJ244" s="287"/>
      <c r="AK244" s="287"/>
      <c r="AL244" s="287"/>
      <c r="AM244" s="287"/>
      <c r="AN244" s="287"/>
      <c r="AO244" s="287"/>
      <c r="AP244" s="287"/>
      <c r="AQ244" s="287"/>
      <c r="AR244" s="287"/>
      <c r="AS244" s="287"/>
      <c r="AT244" s="287"/>
      <c r="AU244" s="287"/>
      <c r="AV244" s="287"/>
      <c r="AW244" s="287"/>
      <c r="AX244" s="287"/>
      <c r="AY244" s="287"/>
      <c r="AZ244" s="287"/>
      <c r="BA244" s="287"/>
      <c r="BB244" s="287"/>
      <c r="BC244" s="287"/>
    </row>
    <row r="245" ht="15.75" customHeight="1">
      <c r="A245" s="287"/>
      <c r="B245" s="287"/>
      <c r="C245" s="287"/>
      <c r="D245" s="287"/>
      <c r="E245" s="287"/>
      <c r="F245" s="287"/>
      <c r="G245" s="287"/>
      <c r="H245" s="287"/>
      <c r="I245" s="287"/>
      <c r="J245" s="287"/>
      <c r="K245" s="287"/>
      <c r="L245" s="287"/>
      <c r="M245" s="287"/>
      <c r="N245" s="287"/>
      <c r="O245" s="287"/>
      <c r="P245" s="287"/>
      <c r="Q245" s="287"/>
      <c r="R245" s="287"/>
      <c r="S245" s="287"/>
      <c r="T245" s="287"/>
      <c r="U245" s="287"/>
      <c r="V245" s="287"/>
      <c r="W245" s="287"/>
      <c r="X245" s="287"/>
      <c r="Y245" s="287"/>
      <c r="Z245" s="287"/>
      <c r="AA245" s="287"/>
      <c r="AB245" s="287"/>
      <c r="AC245" s="287"/>
      <c r="AD245" s="287"/>
      <c r="AE245" s="287"/>
      <c r="AF245" s="287"/>
      <c r="AG245" s="287"/>
      <c r="AH245" s="287"/>
      <c r="AI245" s="287"/>
      <c r="AJ245" s="287"/>
      <c r="AK245" s="287"/>
      <c r="AL245" s="287"/>
      <c r="AM245" s="287"/>
      <c r="AN245" s="287"/>
      <c r="AO245" s="287"/>
      <c r="AP245" s="287"/>
      <c r="AQ245" s="287"/>
      <c r="AR245" s="287"/>
      <c r="AS245" s="287"/>
      <c r="AT245" s="287"/>
      <c r="AU245" s="287"/>
      <c r="AV245" s="287"/>
      <c r="AW245" s="287"/>
      <c r="AX245" s="287"/>
      <c r="AY245" s="287"/>
      <c r="AZ245" s="287"/>
      <c r="BA245" s="287"/>
      <c r="BB245" s="287"/>
      <c r="BC245" s="287"/>
    </row>
    <row r="246" ht="15.75" customHeight="1">
      <c r="A246" s="287"/>
      <c r="B246" s="287"/>
      <c r="C246" s="287"/>
      <c r="D246" s="287"/>
      <c r="E246" s="287"/>
      <c r="F246" s="287"/>
      <c r="G246" s="287"/>
      <c r="H246" s="287"/>
      <c r="I246" s="287"/>
      <c r="J246" s="287"/>
      <c r="K246" s="287"/>
      <c r="L246" s="287"/>
      <c r="M246" s="287"/>
      <c r="N246" s="287"/>
      <c r="O246" s="287"/>
      <c r="P246" s="287"/>
      <c r="Q246" s="287"/>
      <c r="R246" s="287"/>
      <c r="S246" s="287"/>
      <c r="T246" s="287"/>
      <c r="U246" s="287"/>
      <c r="V246" s="287"/>
      <c r="W246" s="287"/>
      <c r="X246" s="287"/>
      <c r="Y246" s="287"/>
      <c r="Z246" s="287"/>
      <c r="AA246" s="287"/>
      <c r="AB246" s="287"/>
      <c r="AC246" s="287"/>
      <c r="AD246" s="287"/>
      <c r="AE246" s="287"/>
      <c r="AF246" s="287"/>
      <c r="AG246" s="287"/>
      <c r="AH246" s="287"/>
      <c r="AI246" s="287"/>
      <c r="AJ246" s="287"/>
      <c r="AK246" s="287"/>
      <c r="AL246" s="287"/>
      <c r="AM246" s="287"/>
      <c r="AN246" s="287"/>
      <c r="AO246" s="287"/>
      <c r="AP246" s="287"/>
      <c r="AQ246" s="287"/>
      <c r="AR246" s="287"/>
      <c r="AS246" s="287"/>
      <c r="AT246" s="287"/>
      <c r="AU246" s="287"/>
      <c r="AV246" s="287"/>
      <c r="AW246" s="287"/>
      <c r="AX246" s="287"/>
      <c r="AY246" s="287"/>
      <c r="AZ246" s="287"/>
      <c r="BA246" s="287"/>
      <c r="BB246" s="287"/>
      <c r="BC246" s="287"/>
    </row>
    <row r="247" ht="15.75" customHeight="1">
      <c r="A247" s="287"/>
      <c r="B247" s="287"/>
      <c r="C247" s="287"/>
      <c r="D247" s="287"/>
      <c r="E247" s="287"/>
      <c r="F247" s="287"/>
      <c r="G247" s="287"/>
      <c r="H247" s="287"/>
      <c r="I247" s="287"/>
      <c r="J247" s="287"/>
      <c r="K247" s="287"/>
      <c r="L247" s="287"/>
      <c r="M247" s="287"/>
      <c r="N247" s="287"/>
      <c r="O247" s="287"/>
      <c r="P247" s="287"/>
      <c r="Q247" s="287"/>
      <c r="R247" s="287"/>
      <c r="S247" s="287"/>
      <c r="T247" s="287"/>
      <c r="U247" s="287"/>
      <c r="V247" s="287"/>
      <c r="W247" s="287"/>
      <c r="X247" s="287"/>
      <c r="Y247" s="287"/>
      <c r="Z247" s="287"/>
      <c r="AA247" s="287"/>
      <c r="AB247" s="287"/>
      <c r="AC247" s="287"/>
      <c r="AD247" s="287"/>
      <c r="AE247" s="287"/>
      <c r="AF247" s="287"/>
      <c r="AG247" s="287"/>
      <c r="AH247" s="287"/>
      <c r="AI247" s="287"/>
      <c r="AJ247" s="287"/>
      <c r="AK247" s="287"/>
      <c r="AL247" s="287"/>
      <c r="AM247" s="287"/>
      <c r="AN247" s="287"/>
      <c r="AO247" s="287"/>
      <c r="AP247" s="287"/>
      <c r="AQ247" s="287"/>
      <c r="AR247" s="287"/>
      <c r="AS247" s="287"/>
      <c r="AT247" s="287"/>
      <c r="AU247" s="287"/>
      <c r="AV247" s="287"/>
      <c r="AW247" s="287"/>
      <c r="AX247" s="287"/>
      <c r="AY247" s="287"/>
      <c r="AZ247" s="287"/>
      <c r="BA247" s="287"/>
      <c r="BB247" s="287"/>
      <c r="BC247" s="287"/>
    </row>
    <row r="248" ht="15.75" customHeight="1">
      <c r="A248" s="287"/>
      <c r="B248" s="287"/>
      <c r="C248" s="287"/>
      <c r="D248" s="287"/>
      <c r="E248" s="287"/>
      <c r="F248" s="287"/>
      <c r="G248" s="287"/>
      <c r="H248" s="287"/>
      <c r="I248" s="287"/>
      <c r="J248" s="287"/>
      <c r="K248" s="287"/>
      <c r="L248" s="287"/>
      <c r="M248" s="287"/>
      <c r="N248" s="287"/>
      <c r="O248" s="287"/>
      <c r="P248" s="287"/>
      <c r="Q248" s="287"/>
      <c r="R248" s="287"/>
      <c r="S248" s="287"/>
      <c r="T248" s="287"/>
      <c r="U248" s="287"/>
      <c r="V248" s="287"/>
      <c r="W248" s="287"/>
      <c r="X248" s="287"/>
      <c r="Y248" s="287"/>
      <c r="Z248" s="287"/>
      <c r="AA248" s="287"/>
      <c r="AB248" s="287"/>
      <c r="AC248" s="287"/>
      <c r="AD248" s="287"/>
      <c r="AE248" s="287"/>
      <c r="AF248" s="287"/>
      <c r="AG248" s="287"/>
      <c r="AH248" s="287"/>
      <c r="AI248" s="287"/>
      <c r="AJ248" s="287"/>
      <c r="AK248" s="287"/>
      <c r="AL248" s="287"/>
      <c r="AM248" s="287"/>
      <c r="AN248" s="287"/>
      <c r="AO248" s="287"/>
      <c r="AP248" s="287"/>
      <c r="AQ248" s="287"/>
      <c r="AR248" s="287"/>
      <c r="AS248" s="287"/>
      <c r="AT248" s="287"/>
      <c r="AU248" s="287"/>
      <c r="AV248" s="287"/>
      <c r="AW248" s="287"/>
      <c r="AX248" s="287"/>
      <c r="AY248" s="287"/>
      <c r="AZ248" s="287"/>
      <c r="BA248" s="287"/>
      <c r="BB248" s="287"/>
      <c r="BC248" s="287"/>
    </row>
    <row r="249" ht="15.75" customHeight="1">
      <c r="A249" s="287"/>
      <c r="B249" s="287"/>
      <c r="C249" s="287"/>
      <c r="D249" s="287"/>
      <c r="E249" s="287"/>
      <c r="F249" s="287"/>
      <c r="G249" s="287"/>
      <c r="H249" s="287"/>
      <c r="I249" s="287"/>
      <c r="J249" s="287"/>
      <c r="K249" s="287"/>
      <c r="L249" s="287"/>
      <c r="M249" s="287"/>
      <c r="N249" s="287"/>
      <c r="O249" s="287"/>
      <c r="P249" s="287"/>
      <c r="Q249" s="287"/>
      <c r="R249" s="287"/>
      <c r="S249" s="287"/>
      <c r="T249" s="287"/>
      <c r="U249" s="287"/>
      <c r="V249" s="287"/>
      <c r="W249" s="287"/>
      <c r="X249" s="287"/>
      <c r="Y249" s="287"/>
      <c r="Z249" s="287"/>
      <c r="AA249" s="287"/>
      <c r="AB249" s="287"/>
      <c r="AC249" s="287"/>
      <c r="AD249" s="287"/>
      <c r="AE249" s="287"/>
      <c r="AF249" s="287"/>
      <c r="AG249" s="287"/>
      <c r="AH249" s="287"/>
      <c r="AI249" s="287"/>
      <c r="AJ249" s="287"/>
      <c r="AK249" s="287"/>
      <c r="AL249" s="287"/>
      <c r="AM249" s="287"/>
      <c r="AN249" s="287"/>
      <c r="AO249" s="287"/>
      <c r="AP249" s="287"/>
      <c r="AQ249" s="287"/>
      <c r="AR249" s="287"/>
      <c r="AS249" s="287"/>
      <c r="AT249" s="287"/>
      <c r="AU249" s="287"/>
      <c r="AV249" s="287"/>
      <c r="AW249" s="287"/>
      <c r="AX249" s="287"/>
      <c r="AY249" s="287"/>
      <c r="AZ249" s="287"/>
      <c r="BA249" s="287"/>
      <c r="BB249" s="287"/>
      <c r="BC249" s="287"/>
    </row>
    <row r="250" ht="15.75" customHeight="1">
      <c r="A250" s="287"/>
      <c r="B250" s="287"/>
      <c r="C250" s="287"/>
      <c r="D250" s="287"/>
      <c r="E250" s="287"/>
      <c r="F250" s="287"/>
      <c r="G250" s="287"/>
      <c r="H250" s="287"/>
      <c r="I250" s="287"/>
      <c r="J250" s="287"/>
      <c r="K250" s="287"/>
      <c r="L250" s="287"/>
      <c r="M250" s="287"/>
      <c r="N250" s="287"/>
      <c r="O250" s="287"/>
      <c r="P250" s="287"/>
      <c r="Q250" s="287"/>
      <c r="R250" s="287"/>
      <c r="S250" s="287"/>
      <c r="T250" s="287"/>
      <c r="U250" s="287"/>
      <c r="V250" s="287"/>
      <c r="W250" s="287"/>
      <c r="X250" s="287"/>
      <c r="Y250" s="287"/>
      <c r="Z250" s="287"/>
      <c r="AA250" s="287"/>
      <c r="AB250" s="287"/>
      <c r="AC250" s="287"/>
      <c r="AD250" s="287"/>
      <c r="AE250" s="287"/>
      <c r="AF250" s="287"/>
      <c r="AG250" s="287"/>
      <c r="AH250" s="287"/>
      <c r="AI250" s="287"/>
      <c r="AJ250" s="287"/>
      <c r="AK250" s="287"/>
      <c r="AL250" s="287"/>
      <c r="AM250" s="287"/>
      <c r="AN250" s="287"/>
      <c r="AO250" s="287"/>
      <c r="AP250" s="287"/>
      <c r="AQ250" s="287"/>
      <c r="AR250" s="287"/>
      <c r="AS250" s="287"/>
      <c r="AT250" s="287"/>
      <c r="AU250" s="287"/>
      <c r="AV250" s="287"/>
      <c r="AW250" s="287"/>
      <c r="AX250" s="287"/>
      <c r="AY250" s="287"/>
      <c r="AZ250" s="287"/>
      <c r="BA250" s="287"/>
      <c r="BB250" s="287"/>
      <c r="BC250" s="287"/>
    </row>
    <row r="251" ht="15.75" customHeight="1">
      <c r="A251" s="287"/>
      <c r="B251" s="287"/>
      <c r="C251" s="287"/>
      <c r="D251" s="287"/>
      <c r="E251" s="287"/>
      <c r="F251" s="287"/>
      <c r="G251" s="287"/>
      <c r="H251" s="287"/>
      <c r="I251" s="287"/>
      <c r="J251" s="287"/>
      <c r="K251" s="287"/>
      <c r="L251" s="287"/>
      <c r="M251" s="287"/>
      <c r="N251" s="287"/>
      <c r="O251" s="287"/>
      <c r="P251" s="287"/>
      <c r="Q251" s="287"/>
      <c r="R251" s="287"/>
      <c r="S251" s="287"/>
      <c r="T251" s="287"/>
      <c r="U251" s="287"/>
      <c r="V251" s="287"/>
      <c r="W251" s="287"/>
      <c r="X251" s="287"/>
      <c r="Y251" s="287"/>
      <c r="Z251" s="287"/>
      <c r="AA251" s="287"/>
      <c r="AB251" s="287"/>
      <c r="AC251" s="287"/>
      <c r="AD251" s="287"/>
      <c r="AE251" s="287"/>
      <c r="AF251" s="287"/>
      <c r="AG251" s="287"/>
      <c r="AH251" s="287"/>
      <c r="AI251" s="287"/>
      <c r="AJ251" s="287"/>
      <c r="AK251" s="287"/>
      <c r="AL251" s="287"/>
      <c r="AM251" s="287"/>
      <c r="AN251" s="287"/>
      <c r="AO251" s="287"/>
      <c r="AP251" s="287"/>
      <c r="AQ251" s="287"/>
      <c r="AR251" s="287"/>
      <c r="AS251" s="287"/>
      <c r="AT251" s="287"/>
      <c r="AU251" s="287"/>
      <c r="AV251" s="287"/>
      <c r="AW251" s="287"/>
      <c r="AX251" s="287"/>
      <c r="AY251" s="287"/>
      <c r="AZ251" s="287"/>
      <c r="BA251" s="287"/>
      <c r="BB251" s="287"/>
      <c r="BC251" s="287"/>
    </row>
    <row r="252" ht="15.75" customHeight="1">
      <c r="A252" s="287"/>
      <c r="B252" s="287"/>
      <c r="C252" s="287"/>
      <c r="D252" s="287"/>
      <c r="E252" s="287"/>
      <c r="F252" s="287"/>
      <c r="G252" s="287"/>
      <c r="H252" s="287"/>
      <c r="I252" s="287"/>
      <c r="J252" s="287"/>
      <c r="K252" s="287"/>
      <c r="L252" s="287"/>
      <c r="M252" s="287"/>
      <c r="N252" s="287"/>
      <c r="O252" s="287"/>
      <c r="P252" s="287"/>
      <c r="Q252" s="287"/>
      <c r="R252" s="287"/>
      <c r="S252" s="287"/>
      <c r="T252" s="287"/>
      <c r="U252" s="287"/>
      <c r="V252" s="287"/>
      <c r="W252" s="287"/>
      <c r="X252" s="287"/>
      <c r="Y252" s="287"/>
      <c r="Z252" s="287"/>
      <c r="AA252" s="287"/>
      <c r="AB252" s="287"/>
      <c r="AC252" s="287"/>
      <c r="AD252" s="287"/>
      <c r="AE252" s="287"/>
      <c r="AF252" s="287"/>
      <c r="AG252" s="287"/>
      <c r="AH252" s="287"/>
      <c r="AI252" s="287"/>
      <c r="AJ252" s="287"/>
      <c r="AK252" s="287"/>
      <c r="AL252" s="287"/>
      <c r="AM252" s="287"/>
      <c r="AN252" s="287"/>
      <c r="AO252" s="287"/>
      <c r="AP252" s="287"/>
      <c r="AQ252" s="287"/>
      <c r="AR252" s="287"/>
      <c r="AS252" s="287"/>
      <c r="AT252" s="287"/>
      <c r="AU252" s="287"/>
      <c r="AV252" s="287"/>
      <c r="AW252" s="287"/>
      <c r="AX252" s="287"/>
      <c r="AY252" s="287"/>
      <c r="AZ252" s="287"/>
      <c r="BA252" s="287"/>
      <c r="BB252" s="287"/>
      <c r="BC252" s="287"/>
    </row>
    <row r="253" ht="15.75" customHeight="1">
      <c r="A253" s="287"/>
      <c r="B253" s="287"/>
      <c r="C253" s="287"/>
      <c r="D253" s="287"/>
      <c r="E253" s="287"/>
      <c r="F253" s="287"/>
      <c r="G253" s="287"/>
      <c r="H253" s="287"/>
      <c r="I253" s="287"/>
      <c r="J253" s="287"/>
      <c r="K253" s="287"/>
      <c r="L253" s="287"/>
      <c r="M253" s="287"/>
      <c r="N253" s="287"/>
      <c r="O253" s="287"/>
      <c r="P253" s="287"/>
      <c r="Q253" s="287"/>
      <c r="R253" s="287"/>
      <c r="S253" s="287"/>
      <c r="T253" s="287"/>
      <c r="U253" s="287"/>
      <c r="V253" s="287"/>
      <c r="W253" s="287"/>
      <c r="X253" s="287"/>
      <c r="Y253" s="287"/>
      <c r="Z253" s="287"/>
      <c r="AA253" s="287"/>
      <c r="AB253" s="287"/>
      <c r="AC253" s="287"/>
      <c r="AD253" s="287"/>
      <c r="AE253" s="287"/>
      <c r="AF253" s="287"/>
      <c r="AG253" s="287"/>
      <c r="AH253" s="287"/>
      <c r="AI253" s="287"/>
      <c r="AJ253" s="287"/>
      <c r="AK253" s="287"/>
      <c r="AL253" s="287"/>
      <c r="AM253" s="287"/>
      <c r="AN253" s="287"/>
      <c r="AO253" s="287"/>
      <c r="AP253" s="287"/>
      <c r="AQ253" s="287"/>
      <c r="AR253" s="287"/>
      <c r="AS253" s="287"/>
      <c r="AT253" s="287"/>
      <c r="AU253" s="287"/>
      <c r="AV253" s="287"/>
      <c r="AW253" s="287"/>
      <c r="AX253" s="287"/>
      <c r="AY253" s="287"/>
      <c r="AZ253" s="287"/>
      <c r="BA253" s="287"/>
      <c r="BB253" s="287"/>
      <c r="BC253" s="287"/>
    </row>
    <row r="254" ht="15.75" customHeight="1">
      <c r="A254" s="287"/>
      <c r="B254" s="287"/>
      <c r="C254" s="287"/>
      <c r="D254" s="287"/>
      <c r="E254" s="287"/>
      <c r="F254" s="287"/>
      <c r="G254" s="287"/>
      <c r="H254" s="287"/>
      <c r="I254" s="287"/>
      <c r="J254" s="287"/>
      <c r="K254" s="287"/>
      <c r="L254" s="287"/>
      <c r="M254" s="287"/>
      <c r="N254" s="287"/>
      <c r="O254" s="287"/>
      <c r="P254" s="287"/>
      <c r="Q254" s="287"/>
      <c r="R254" s="287"/>
      <c r="S254" s="287"/>
      <c r="T254" s="287"/>
      <c r="U254" s="287"/>
      <c r="V254" s="287"/>
      <c r="W254" s="287"/>
      <c r="X254" s="287"/>
      <c r="Y254" s="287"/>
      <c r="Z254" s="287"/>
      <c r="AA254" s="287"/>
      <c r="AB254" s="287"/>
      <c r="AC254" s="287"/>
      <c r="AD254" s="287"/>
      <c r="AE254" s="287"/>
      <c r="AF254" s="287"/>
      <c r="AG254" s="287"/>
      <c r="AH254" s="287"/>
      <c r="AI254" s="287"/>
      <c r="AJ254" s="287"/>
      <c r="AK254" s="287"/>
      <c r="AL254" s="287"/>
      <c r="AM254" s="287"/>
      <c r="AN254" s="287"/>
      <c r="AO254" s="287"/>
      <c r="AP254" s="287"/>
      <c r="AQ254" s="287"/>
      <c r="AR254" s="287"/>
      <c r="AS254" s="287"/>
      <c r="AT254" s="287"/>
      <c r="AU254" s="287"/>
      <c r="AV254" s="287"/>
      <c r="AW254" s="287"/>
      <c r="AX254" s="287"/>
      <c r="AY254" s="287"/>
      <c r="AZ254" s="287"/>
      <c r="BA254" s="287"/>
      <c r="BB254" s="287"/>
      <c r="BC254" s="287"/>
    </row>
    <row r="255" ht="15.75" customHeight="1">
      <c r="A255" s="287"/>
      <c r="B255" s="287"/>
      <c r="C255" s="287"/>
      <c r="D255" s="287"/>
      <c r="E255" s="287"/>
      <c r="F255" s="287"/>
      <c r="G255" s="287"/>
      <c r="H255" s="287"/>
      <c r="I255" s="287"/>
      <c r="J255" s="287"/>
      <c r="K255" s="287"/>
      <c r="L255" s="287"/>
      <c r="M255" s="287"/>
      <c r="N255" s="287"/>
      <c r="O255" s="287"/>
      <c r="P255" s="287"/>
      <c r="Q255" s="287"/>
      <c r="R255" s="287"/>
      <c r="S255" s="287"/>
      <c r="T255" s="287"/>
      <c r="U255" s="287"/>
      <c r="V255" s="287"/>
      <c r="W255" s="287"/>
      <c r="X255" s="287"/>
      <c r="Y255" s="287"/>
      <c r="Z255" s="287"/>
      <c r="AA255" s="287"/>
      <c r="AB255" s="287"/>
      <c r="AC255" s="287"/>
      <c r="AD255" s="287"/>
      <c r="AE255" s="287"/>
      <c r="AF255" s="287"/>
      <c r="AG255" s="287"/>
      <c r="AH255" s="287"/>
      <c r="AI255" s="287"/>
      <c r="AJ255" s="287"/>
      <c r="AK255" s="287"/>
      <c r="AL255" s="287"/>
      <c r="AM255" s="287"/>
      <c r="AN255" s="287"/>
      <c r="AO255" s="287"/>
      <c r="AP255" s="287"/>
      <c r="AQ255" s="287"/>
      <c r="AR255" s="287"/>
      <c r="AS255" s="287"/>
      <c r="AT255" s="287"/>
      <c r="AU255" s="287"/>
      <c r="AV255" s="287"/>
      <c r="AW255" s="287"/>
      <c r="AX255" s="287"/>
      <c r="AY255" s="287"/>
      <c r="AZ255" s="287"/>
      <c r="BA255" s="287"/>
      <c r="BB255" s="287"/>
      <c r="BC255" s="287"/>
    </row>
    <row r="256" ht="15.75" customHeight="1">
      <c r="A256" s="287"/>
      <c r="B256" s="287"/>
      <c r="C256" s="287"/>
      <c r="D256" s="287"/>
      <c r="E256" s="287"/>
      <c r="F256" s="287"/>
      <c r="G256" s="287"/>
      <c r="H256" s="287"/>
      <c r="I256" s="287"/>
      <c r="J256" s="287"/>
      <c r="K256" s="287"/>
      <c r="L256" s="287"/>
      <c r="M256" s="287"/>
      <c r="N256" s="287"/>
      <c r="O256" s="287"/>
      <c r="P256" s="287"/>
      <c r="Q256" s="287"/>
      <c r="R256" s="287"/>
      <c r="S256" s="287"/>
      <c r="T256" s="287"/>
      <c r="U256" s="287"/>
      <c r="V256" s="287"/>
      <c r="W256" s="287"/>
      <c r="X256" s="287"/>
      <c r="Y256" s="287"/>
      <c r="Z256" s="287"/>
      <c r="AA256" s="287"/>
      <c r="AB256" s="287"/>
      <c r="AC256" s="287"/>
      <c r="AD256" s="287"/>
      <c r="AE256" s="287"/>
      <c r="AF256" s="287"/>
      <c r="AG256" s="287"/>
      <c r="AH256" s="287"/>
      <c r="AI256" s="287"/>
      <c r="AJ256" s="287"/>
      <c r="AK256" s="287"/>
      <c r="AL256" s="287"/>
      <c r="AM256" s="287"/>
      <c r="AN256" s="287"/>
      <c r="AO256" s="287"/>
      <c r="AP256" s="287"/>
      <c r="AQ256" s="287"/>
      <c r="AR256" s="287"/>
      <c r="AS256" s="287"/>
      <c r="AT256" s="287"/>
      <c r="AU256" s="287"/>
      <c r="AV256" s="287"/>
      <c r="AW256" s="287"/>
      <c r="AX256" s="287"/>
      <c r="AY256" s="287"/>
      <c r="AZ256" s="287"/>
      <c r="BA256" s="287"/>
      <c r="BB256" s="287"/>
      <c r="BC256" s="287"/>
    </row>
    <row r="257" ht="15.75" customHeight="1">
      <c r="A257" s="287"/>
      <c r="B257" s="287"/>
      <c r="C257" s="287"/>
      <c r="D257" s="287"/>
      <c r="E257" s="287"/>
      <c r="F257" s="287"/>
      <c r="G257" s="287"/>
      <c r="H257" s="287"/>
      <c r="I257" s="287"/>
      <c r="J257" s="287"/>
      <c r="K257" s="287"/>
      <c r="L257" s="287"/>
      <c r="M257" s="287"/>
      <c r="N257" s="287"/>
      <c r="O257" s="287"/>
      <c r="P257" s="287"/>
      <c r="Q257" s="287"/>
      <c r="R257" s="287"/>
      <c r="S257" s="287"/>
      <c r="T257" s="287"/>
      <c r="U257" s="287"/>
      <c r="V257" s="287"/>
      <c r="W257" s="287"/>
      <c r="X257" s="287"/>
      <c r="Y257" s="287"/>
      <c r="Z257" s="287"/>
      <c r="AA257" s="287"/>
      <c r="AB257" s="287"/>
      <c r="AC257" s="287"/>
      <c r="AD257" s="287"/>
      <c r="AE257" s="287"/>
      <c r="AF257" s="287"/>
      <c r="AG257" s="287"/>
      <c r="AH257" s="287"/>
      <c r="AI257" s="287"/>
      <c r="AJ257" s="287"/>
      <c r="AK257" s="287"/>
      <c r="AL257" s="287"/>
      <c r="AM257" s="287"/>
      <c r="AN257" s="287"/>
      <c r="AO257" s="287"/>
      <c r="AP257" s="287"/>
      <c r="AQ257" s="287"/>
      <c r="AR257" s="287"/>
      <c r="AS257" s="287"/>
      <c r="AT257" s="287"/>
      <c r="AU257" s="287"/>
      <c r="AV257" s="287"/>
      <c r="AW257" s="287"/>
      <c r="AX257" s="287"/>
      <c r="AY257" s="287"/>
      <c r="AZ257" s="287"/>
      <c r="BA257" s="287"/>
      <c r="BB257" s="287"/>
      <c r="BC257" s="287"/>
    </row>
    <row r="258" ht="15.75" customHeight="1">
      <c r="A258" s="287"/>
      <c r="B258" s="287"/>
      <c r="C258" s="287"/>
      <c r="D258" s="287"/>
      <c r="E258" s="287"/>
      <c r="F258" s="287"/>
      <c r="G258" s="287"/>
      <c r="H258" s="287"/>
      <c r="I258" s="287"/>
      <c r="J258" s="287"/>
      <c r="K258" s="287"/>
      <c r="L258" s="287"/>
      <c r="M258" s="287"/>
      <c r="N258" s="287"/>
      <c r="O258" s="287"/>
      <c r="P258" s="287"/>
      <c r="Q258" s="287"/>
      <c r="R258" s="287"/>
      <c r="S258" s="287"/>
      <c r="T258" s="287"/>
      <c r="U258" s="287"/>
      <c r="V258" s="287"/>
      <c r="W258" s="287"/>
      <c r="X258" s="287"/>
      <c r="Y258" s="287"/>
      <c r="Z258" s="287"/>
      <c r="AA258" s="287"/>
      <c r="AB258" s="287"/>
      <c r="AC258" s="287"/>
      <c r="AD258" s="287"/>
      <c r="AE258" s="287"/>
      <c r="AF258" s="287"/>
      <c r="AG258" s="287"/>
      <c r="AH258" s="287"/>
      <c r="AI258" s="287"/>
      <c r="AJ258" s="287"/>
      <c r="AK258" s="287"/>
      <c r="AL258" s="287"/>
      <c r="AM258" s="287"/>
      <c r="AN258" s="287"/>
      <c r="AO258" s="287"/>
      <c r="AP258" s="287"/>
      <c r="AQ258" s="287"/>
      <c r="AR258" s="287"/>
      <c r="AS258" s="287"/>
      <c r="AT258" s="287"/>
      <c r="AU258" s="287"/>
      <c r="AV258" s="287"/>
      <c r="AW258" s="287"/>
      <c r="AX258" s="287"/>
      <c r="AY258" s="287"/>
      <c r="AZ258" s="287"/>
      <c r="BA258" s="287"/>
      <c r="BB258" s="287"/>
      <c r="BC258" s="287"/>
    </row>
    <row r="259" ht="15.75" customHeight="1">
      <c r="A259" s="287"/>
      <c r="B259" s="287"/>
      <c r="C259" s="287"/>
      <c r="D259" s="287"/>
      <c r="E259" s="287"/>
      <c r="F259" s="287"/>
      <c r="G259" s="287"/>
      <c r="H259" s="287"/>
      <c r="I259" s="287"/>
      <c r="J259" s="287"/>
      <c r="K259" s="287"/>
      <c r="L259" s="287"/>
      <c r="M259" s="287"/>
      <c r="N259" s="287"/>
      <c r="O259" s="287"/>
      <c r="P259" s="287"/>
      <c r="Q259" s="287"/>
      <c r="R259" s="287"/>
      <c r="S259" s="287"/>
      <c r="T259" s="287"/>
      <c r="U259" s="287"/>
      <c r="V259" s="287"/>
      <c r="W259" s="287"/>
      <c r="X259" s="287"/>
      <c r="Y259" s="287"/>
      <c r="Z259" s="287"/>
      <c r="AA259" s="287"/>
      <c r="AB259" s="287"/>
      <c r="AC259" s="287"/>
      <c r="AD259" s="287"/>
      <c r="AE259" s="287"/>
      <c r="AF259" s="287"/>
      <c r="AG259" s="287"/>
      <c r="AH259" s="287"/>
      <c r="AI259" s="287"/>
      <c r="AJ259" s="287"/>
      <c r="AK259" s="287"/>
      <c r="AL259" s="287"/>
      <c r="AM259" s="287"/>
      <c r="AN259" s="287"/>
      <c r="AO259" s="287"/>
      <c r="AP259" s="287"/>
      <c r="AQ259" s="287"/>
      <c r="AR259" s="287"/>
      <c r="AS259" s="287"/>
      <c r="AT259" s="287"/>
      <c r="AU259" s="287"/>
      <c r="AV259" s="287"/>
      <c r="AW259" s="287"/>
      <c r="AX259" s="287"/>
      <c r="AY259" s="287"/>
      <c r="AZ259" s="287"/>
      <c r="BA259" s="287"/>
      <c r="BB259" s="287"/>
      <c r="BC259" s="287"/>
    </row>
    <row r="260" ht="15.75" customHeight="1">
      <c r="A260" s="287"/>
      <c r="B260" s="287"/>
      <c r="C260" s="287"/>
      <c r="D260" s="287"/>
      <c r="E260" s="287"/>
      <c r="F260" s="287"/>
      <c r="G260" s="287"/>
      <c r="H260" s="287"/>
      <c r="I260" s="287"/>
      <c r="J260" s="287"/>
      <c r="K260" s="287"/>
      <c r="L260" s="287"/>
      <c r="M260" s="287"/>
      <c r="N260" s="287"/>
      <c r="O260" s="287"/>
      <c r="P260" s="287"/>
      <c r="Q260" s="287"/>
      <c r="R260" s="287"/>
      <c r="S260" s="287"/>
      <c r="T260" s="287"/>
      <c r="U260" s="287"/>
      <c r="V260" s="287"/>
      <c r="W260" s="287"/>
      <c r="X260" s="287"/>
      <c r="Y260" s="287"/>
      <c r="Z260" s="287"/>
      <c r="AA260" s="287"/>
      <c r="AB260" s="287"/>
      <c r="AC260" s="287"/>
      <c r="AD260" s="287"/>
      <c r="AE260" s="287"/>
      <c r="AF260" s="287"/>
      <c r="AG260" s="287"/>
      <c r="AH260" s="287"/>
      <c r="AI260" s="287"/>
      <c r="AJ260" s="287"/>
      <c r="AK260" s="287"/>
      <c r="AL260" s="287"/>
      <c r="AM260" s="287"/>
      <c r="AN260" s="287"/>
      <c r="AO260" s="287"/>
      <c r="AP260" s="287"/>
      <c r="AQ260" s="287"/>
      <c r="AR260" s="287"/>
      <c r="AS260" s="287"/>
      <c r="AT260" s="287"/>
      <c r="AU260" s="287"/>
      <c r="AV260" s="287"/>
      <c r="AW260" s="287"/>
      <c r="AX260" s="287"/>
      <c r="AY260" s="287"/>
      <c r="AZ260" s="287"/>
      <c r="BA260" s="287"/>
      <c r="BB260" s="287"/>
      <c r="BC260" s="287"/>
    </row>
    <row r="261" ht="15.75" customHeight="1">
      <c r="A261" s="287"/>
      <c r="B261" s="287"/>
      <c r="C261" s="287"/>
      <c r="D261" s="287"/>
      <c r="E261" s="287"/>
      <c r="F261" s="287"/>
      <c r="G261" s="287"/>
      <c r="H261" s="287"/>
      <c r="I261" s="287"/>
      <c r="J261" s="287"/>
      <c r="K261" s="287"/>
      <c r="L261" s="287"/>
      <c r="M261" s="287"/>
      <c r="N261" s="287"/>
      <c r="O261" s="287"/>
      <c r="P261" s="287"/>
      <c r="Q261" s="287"/>
      <c r="R261" s="287"/>
      <c r="S261" s="287"/>
      <c r="T261" s="287"/>
      <c r="U261" s="287"/>
      <c r="V261" s="287"/>
      <c r="W261" s="287"/>
      <c r="X261" s="287"/>
      <c r="Y261" s="287"/>
      <c r="Z261" s="287"/>
      <c r="AA261" s="287"/>
      <c r="AB261" s="287"/>
      <c r="AC261" s="287"/>
      <c r="AD261" s="287"/>
      <c r="AE261" s="287"/>
      <c r="AF261" s="287"/>
      <c r="AG261" s="287"/>
      <c r="AH261" s="287"/>
      <c r="AI261" s="287"/>
      <c r="AJ261" s="287"/>
      <c r="AK261" s="287"/>
      <c r="AL261" s="287"/>
      <c r="AM261" s="287"/>
      <c r="AN261" s="287"/>
      <c r="AO261" s="287"/>
      <c r="AP261" s="287"/>
      <c r="AQ261" s="287"/>
      <c r="AR261" s="287"/>
      <c r="AS261" s="287"/>
      <c r="AT261" s="287"/>
      <c r="AU261" s="287"/>
      <c r="AV261" s="287"/>
      <c r="AW261" s="287"/>
      <c r="AX261" s="287"/>
      <c r="AY261" s="287"/>
      <c r="AZ261" s="287"/>
      <c r="BA261" s="287"/>
      <c r="BB261" s="287"/>
      <c r="BC261" s="287"/>
    </row>
    <row r="262" ht="15.75" customHeight="1">
      <c r="A262" s="287"/>
      <c r="B262" s="287"/>
      <c r="C262" s="287"/>
      <c r="D262" s="287"/>
      <c r="E262" s="287"/>
      <c r="F262" s="287"/>
      <c r="G262" s="287"/>
      <c r="H262" s="287"/>
      <c r="I262" s="287"/>
      <c r="J262" s="287"/>
      <c r="K262" s="287"/>
      <c r="L262" s="287"/>
      <c r="M262" s="287"/>
      <c r="N262" s="287"/>
      <c r="O262" s="287"/>
      <c r="P262" s="287"/>
      <c r="Q262" s="287"/>
      <c r="R262" s="287"/>
      <c r="S262" s="287"/>
      <c r="T262" s="287"/>
      <c r="U262" s="287"/>
      <c r="V262" s="287"/>
      <c r="W262" s="287"/>
      <c r="X262" s="287"/>
      <c r="Y262" s="287"/>
      <c r="Z262" s="287"/>
      <c r="AA262" s="287"/>
      <c r="AB262" s="287"/>
      <c r="AC262" s="287"/>
      <c r="AD262" s="287"/>
      <c r="AE262" s="287"/>
      <c r="AF262" s="287"/>
      <c r="AG262" s="287"/>
      <c r="AH262" s="287"/>
      <c r="AI262" s="287"/>
      <c r="AJ262" s="287"/>
      <c r="AK262" s="287"/>
      <c r="AL262" s="287"/>
      <c r="AM262" s="287"/>
      <c r="AN262" s="287"/>
      <c r="AO262" s="287"/>
      <c r="AP262" s="287"/>
      <c r="AQ262" s="287"/>
      <c r="AR262" s="287"/>
      <c r="AS262" s="287"/>
      <c r="AT262" s="287"/>
      <c r="AU262" s="287"/>
      <c r="AV262" s="287"/>
      <c r="AW262" s="287"/>
      <c r="AX262" s="287"/>
      <c r="AY262" s="287"/>
      <c r="AZ262" s="287"/>
      <c r="BA262" s="287"/>
      <c r="BB262" s="287"/>
      <c r="BC262" s="287"/>
    </row>
    <row r="263" ht="15.75" customHeight="1">
      <c r="A263" s="287"/>
      <c r="B263" s="287"/>
      <c r="C263" s="287"/>
      <c r="D263" s="287"/>
      <c r="E263" s="287"/>
      <c r="F263" s="287"/>
      <c r="G263" s="287"/>
      <c r="H263" s="287"/>
      <c r="I263" s="287"/>
      <c r="J263" s="287"/>
      <c r="K263" s="287"/>
      <c r="L263" s="287"/>
      <c r="M263" s="287"/>
      <c r="N263" s="287"/>
      <c r="O263" s="287"/>
      <c r="P263" s="287"/>
      <c r="Q263" s="287"/>
      <c r="R263" s="287"/>
      <c r="S263" s="287"/>
      <c r="T263" s="287"/>
      <c r="U263" s="287"/>
      <c r="V263" s="287"/>
      <c r="W263" s="287"/>
      <c r="X263" s="287"/>
      <c r="Y263" s="287"/>
      <c r="Z263" s="287"/>
      <c r="AA263" s="287"/>
      <c r="AB263" s="287"/>
      <c r="AC263" s="287"/>
      <c r="AD263" s="287"/>
      <c r="AE263" s="287"/>
      <c r="AF263" s="287"/>
      <c r="AG263" s="287"/>
      <c r="AH263" s="287"/>
      <c r="AI263" s="287"/>
      <c r="AJ263" s="287"/>
      <c r="AK263" s="287"/>
      <c r="AL263" s="287"/>
      <c r="AM263" s="287"/>
      <c r="AN263" s="287"/>
      <c r="AO263" s="287"/>
      <c r="AP263" s="287"/>
      <c r="AQ263" s="287"/>
      <c r="AR263" s="287"/>
      <c r="AS263" s="287"/>
      <c r="AT263" s="287"/>
      <c r="AU263" s="287"/>
      <c r="AV263" s="287"/>
      <c r="AW263" s="287"/>
      <c r="AX263" s="287"/>
      <c r="AY263" s="287"/>
      <c r="AZ263" s="287"/>
      <c r="BA263" s="287"/>
      <c r="BB263" s="287"/>
      <c r="BC263" s="287"/>
    </row>
    <row r="264" ht="15.75" customHeight="1">
      <c r="A264" s="287"/>
      <c r="B264" s="287"/>
      <c r="C264" s="287"/>
      <c r="D264" s="287"/>
      <c r="E264" s="287"/>
      <c r="F264" s="287"/>
      <c r="G264" s="287"/>
      <c r="H264" s="287"/>
      <c r="I264" s="287"/>
      <c r="J264" s="287"/>
      <c r="K264" s="287"/>
      <c r="L264" s="287"/>
      <c r="M264" s="287"/>
      <c r="N264" s="287"/>
      <c r="O264" s="287"/>
      <c r="P264" s="287"/>
      <c r="Q264" s="287"/>
      <c r="R264" s="287"/>
      <c r="S264" s="287"/>
      <c r="T264" s="287"/>
      <c r="U264" s="287"/>
      <c r="V264" s="287"/>
      <c r="W264" s="287"/>
      <c r="X264" s="287"/>
      <c r="Y264" s="287"/>
      <c r="Z264" s="287"/>
      <c r="AA264" s="287"/>
      <c r="AB264" s="287"/>
      <c r="AC264" s="287"/>
      <c r="AD264" s="287"/>
      <c r="AE264" s="287"/>
      <c r="AF264" s="287"/>
      <c r="AG264" s="287"/>
      <c r="AH264" s="287"/>
      <c r="AI264" s="287"/>
      <c r="AJ264" s="287"/>
      <c r="AK264" s="287"/>
      <c r="AL264" s="287"/>
      <c r="AM264" s="287"/>
      <c r="AN264" s="287"/>
      <c r="AO264" s="287"/>
      <c r="AP264" s="287"/>
      <c r="AQ264" s="287"/>
      <c r="AR264" s="287"/>
      <c r="AS264" s="287"/>
      <c r="AT264" s="287"/>
      <c r="AU264" s="287"/>
      <c r="AV264" s="287"/>
      <c r="AW264" s="287"/>
      <c r="AX264" s="287"/>
      <c r="AY264" s="287"/>
      <c r="AZ264" s="287"/>
      <c r="BA264" s="287"/>
      <c r="BB264" s="287"/>
      <c r="BC264" s="287"/>
    </row>
    <row r="265" ht="15.75" customHeight="1">
      <c r="A265" s="287"/>
      <c r="B265" s="287"/>
      <c r="C265" s="287"/>
      <c r="D265" s="287"/>
      <c r="E265" s="287"/>
      <c r="F265" s="287"/>
      <c r="G265" s="287"/>
      <c r="H265" s="287"/>
      <c r="I265" s="287"/>
      <c r="J265" s="287"/>
      <c r="K265" s="287"/>
      <c r="L265" s="287"/>
      <c r="M265" s="287"/>
      <c r="N265" s="287"/>
      <c r="O265" s="287"/>
      <c r="P265" s="287"/>
      <c r="Q265" s="287"/>
      <c r="R265" s="287"/>
      <c r="S265" s="287"/>
      <c r="T265" s="287"/>
      <c r="U265" s="287"/>
      <c r="V265" s="287"/>
      <c r="W265" s="287"/>
      <c r="X265" s="287"/>
      <c r="Y265" s="287"/>
      <c r="Z265" s="287"/>
      <c r="AA265" s="287"/>
      <c r="AB265" s="287"/>
      <c r="AC265" s="287"/>
      <c r="AD265" s="287"/>
      <c r="AE265" s="287"/>
      <c r="AF265" s="287"/>
      <c r="AG265" s="287"/>
      <c r="AH265" s="287"/>
      <c r="AI265" s="287"/>
      <c r="AJ265" s="287"/>
      <c r="AK265" s="287"/>
      <c r="AL265" s="287"/>
      <c r="AM265" s="287"/>
      <c r="AN265" s="287"/>
      <c r="AO265" s="287"/>
      <c r="AP265" s="287"/>
      <c r="AQ265" s="287"/>
      <c r="AR265" s="287"/>
      <c r="AS265" s="287"/>
      <c r="AT265" s="287"/>
      <c r="AU265" s="287"/>
      <c r="AV265" s="287"/>
      <c r="AW265" s="287"/>
      <c r="AX265" s="287"/>
      <c r="AY265" s="287"/>
      <c r="AZ265" s="287"/>
      <c r="BA265" s="287"/>
      <c r="BB265" s="287"/>
      <c r="BC265" s="287"/>
    </row>
    <row r="266" ht="15.75" customHeight="1">
      <c r="A266" s="287"/>
      <c r="B266" s="287"/>
      <c r="C266" s="287"/>
      <c r="D266" s="287"/>
      <c r="E266" s="287"/>
      <c r="F266" s="287"/>
      <c r="G266" s="287"/>
      <c r="H266" s="287"/>
      <c r="I266" s="287"/>
      <c r="J266" s="287"/>
      <c r="K266" s="287"/>
      <c r="L266" s="287"/>
      <c r="M266" s="287"/>
      <c r="N266" s="287"/>
      <c r="O266" s="287"/>
      <c r="P266" s="287"/>
      <c r="Q266" s="287"/>
      <c r="R266" s="287"/>
      <c r="S266" s="287"/>
      <c r="T266" s="287"/>
      <c r="U266" s="287"/>
      <c r="V266" s="287"/>
      <c r="W266" s="287"/>
      <c r="X266" s="287"/>
      <c r="Y266" s="287"/>
      <c r="Z266" s="287"/>
      <c r="AA266" s="287"/>
      <c r="AB266" s="287"/>
      <c r="AC266" s="287"/>
      <c r="AD266" s="287"/>
      <c r="AE266" s="287"/>
      <c r="AF266" s="287"/>
      <c r="AG266" s="287"/>
      <c r="AH266" s="287"/>
      <c r="AI266" s="287"/>
      <c r="AJ266" s="287"/>
      <c r="AK266" s="287"/>
      <c r="AL266" s="287"/>
      <c r="AM266" s="287"/>
      <c r="AN266" s="287"/>
      <c r="AO266" s="287"/>
      <c r="AP266" s="287"/>
      <c r="AQ266" s="287"/>
      <c r="AR266" s="287"/>
      <c r="AS266" s="287"/>
      <c r="AT266" s="287"/>
      <c r="AU266" s="287"/>
      <c r="AV266" s="287"/>
      <c r="AW266" s="287"/>
      <c r="AX266" s="287"/>
      <c r="AY266" s="287"/>
      <c r="AZ266" s="287"/>
      <c r="BA266" s="287"/>
      <c r="BB266" s="287"/>
      <c r="BC266" s="287"/>
    </row>
    <row r="267" ht="15.75" customHeight="1">
      <c r="A267" s="287"/>
      <c r="B267" s="287"/>
      <c r="C267" s="287"/>
      <c r="D267" s="287"/>
      <c r="E267" s="287"/>
      <c r="F267" s="287"/>
      <c r="G267" s="287"/>
      <c r="H267" s="287"/>
      <c r="I267" s="287"/>
      <c r="J267" s="287"/>
      <c r="K267" s="287"/>
      <c r="L267" s="287"/>
      <c r="M267" s="287"/>
      <c r="N267" s="287"/>
      <c r="O267" s="287"/>
      <c r="P267" s="287"/>
      <c r="Q267" s="287"/>
      <c r="R267" s="287"/>
      <c r="S267" s="287"/>
      <c r="T267" s="287"/>
      <c r="U267" s="287"/>
      <c r="V267" s="287"/>
      <c r="W267" s="287"/>
      <c r="X267" s="287"/>
      <c r="Y267" s="287"/>
      <c r="Z267" s="287"/>
      <c r="AA267" s="287"/>
      <c r="AB267" s="287"/>
      <c r="AC267" s="287"/>
      <c r="AD267" s="287"/>
      <c r="AE267" s="287"/>
      <c r="AF267" s="287"/>
      <c r="AG267" s="287"/>
      <c r="AH267" s="287"/>
      <c r="AI267" s="287"/>
      <c r="AJ267" s="287"/>
      <c r="AK267" s="287"/>
      <c r="AL267" s="287"/>
      <c r="AM267" s="287"/>
      <c r="AN267" s="287"/>
      <c r="AO267" s="287"/>
      <c r="AP267" s="287"/>
      <c r="AQ267" s="287"/>
      <c r="AR267" s="287"/>
      <c r="AS267" s="287"/>
      <c r="AT267" s="287"/>
      <c r="AU267" s="287"/>
      <c r="AV267" s="287"/>
      <c r="AW267" s="287"/>
      <c r="AX267" s="287"/>
      <c r="AY267" s="287"/>
      <c r="AZ267" s="287"/>
      <c r="BA267" s="287"/>
      <c r="BB267" s="287"/>
      <c r="BC267" s="287"/>
    </row>
    <row r="268" ht="15.75" customHeight="1">
      <c r="A268" s="287"/>
      <c r="B268" s="287"/>
      <c r="C268" s="287"/>
      <c r="D268" s="287"/>
      <c r="E268" s="287"/>
      <c r="F268" s="287"/>
      <c r="G268" s="287"/>
      <c r="H268" s="287"/>
      <c r="I268" s="287"/>
      <c r="J268" s="287"/>
      <c r="K268" s="287"/>
      <c r="L268" s="287"/>
      <c r="M268" s="287"/>
      <c r="N268" s="287"/>
      <c r="O268" s="287"/>
      <c r="P268" s="287"/>
      <c r="Q268" s="287"/>
      <c r="R268" s="287"/>
      <c r="S268" s="287"/>
      <c r="T268" s="287"/>
      <c r="U268" s="287"/>
      <c r="V268" s="287"/>
      <c r="W268" s="287"/>
      <c r="X268" s="287"/>
      <c r="Y268" s="287"/>
      <c r="Z268" s="287"/>
      <c r="AA268" s="287"/>
      <c r="AB268" s="287"/>
      <c r="AC268" s="287"/>
      <c r="AD268" s="287"/>
      <c r="AE268" s="287"/>
      <c r="AF268" s="287"/>
      <c r="AG268" s="287"/>
      <c r="AH268" s="287"/>
      <c r="AI268" s="287"/>
      <c r="AJ268" s="287"/>
      <c r="AK268" s="287"/>
      <c r="AL268" s="287"/>
      <c r="AM268" s="287"/>
      <c r="AN268" s="287"/>
      <c r="AO268" s="287"/>
      <c r="AP268" s="287"/>
      <c r="AQ268" s="287"/>
      <c r="AR268" s="287"/>
      <c r="AS268" s="287"/>
      <c r="AT268" s="287"/>
      <c r="AU268" s="287"/>
      <c r="AV268" s="287"/>
      <c r="AW268" s="287"/>
      <c r="AX268" s="287"/>
      <c r="AY268" s="287"/>
      <c r="AZ268" s="287"/>
      <c r="BA268" s="287"/>
      <c r="BB268" s="287"/>
      <c r="BC268" s="287"/>
    </row>
    <row r="269" ht="15.75" customHeight="1">
      <c r="A269" s="287"/>
      <c r="B269" s="287"/>
      <c r="C269" s="287"/>
      <c r="D269" s="287"/>
      <c r="E269" s="287"/>
      <c r="F269" s="287"/>
      <c r="G269" s="287"/>
      <c r="H269" s="287"/>
      <c r="I269" s="287"/>
      <c r="J269" s="287"/>
      <c r="K269" s="287"/>
      <c r="L269" s="287"/>
      <c r="M269" s="287"/>
      <c r="N269" s="287"/>
      <c r="O269" s="287"/>
      <c r="P269" s="287"/>
      <c r="Q269" s="287"/>
      <c r="R269" s="287"/>
      <c r="S269" s="287"/>
      <c r="T269" s="287"/>
      <c r="U269" s="287"/>
      <c r="V269" s="287"/>
      <c r="W269" s="287"/>
      <c r="X269" s="287"/>
      <c r="Y269" s="287"/>
      <c r="Z269" s="287"/>
      <c r="AA269" s="287"/>
      <c r="AB269" s="287"/>
      <c r="AC269" s="287"/>
      <c r="AD269" s="287"/>
      <c r="AE269" s="287"/>
      <c r="AF269" s="287"/>
      <c r="AG269" s="287"/>
      <c r="AH269" s="287"/>
      <c r="AI269" s="287"/>
      <c r="AJ269" s="287"/>
      <c r="AK269" s="287"/>
      <c r="AL269" s="287"/>
      <c r="AM269" s="287"/>
      <c r="AN269" s="287"/>
      <c r="AO269" s="287"/>
      <c r="AP269" s="287"/>
      <c r="AQ269" s="287"/>
      <c r="AR269" s="287"/>
      <c r="AS269" s="287"/>
      <c r="AT269" s="287"/>
      <c r="AU269" s="287"/>
      <c r="AV269" s="287"/>
      <c r="AW269" s="287"/>
      <c r="AX269" s="287"/>
      <c r="AY269" s="287"/>
      <c r="AZ269" s="287"/>
      <c r="BA269" s="287"/>
      <c r="BB269" s="287"/>
      <c r="BC269" s="287"/>
    </row>
    <row r="270" ht="15.75" customHeight="1">
      <c r="A270" s="287"/>
      <c r="B270" s="287"/>
      <c r="C270" s="287"/>
      <c r="D270" s="287"/>
      <c r="E270" s="287"/>
      <c r="F270" s="287"/>
      <c r="G270" s="287"/>
      <c r="H270" s="287"/>
      <c r="I270" s="287"/>
      <c r="J270" s="287"/>
      <c r="K270" s="287"/>
      <c r="L270" s="287"/>
      <c r="M270" s="287"/>
      <c r="N270" s="287"/>
      <c r="O270" s="287"/>
      <c r="P270" s="287"/>
      <c r="Q270" s="287"/>
      <c r="R270" s="287"/>
      <c r="S270" s="287"/>
      <c r="T270" s="287"/>
      <c r="U270" s="287"/>
      <c r="V270" s="287"/>
      <c r="W270" s="287"/>
      <c r="X270" s="287"/>
      <c r="Y270" s="287"/>
      <c r="Z270" s="287"/>
      <c r="AA270" s="287"/>
      <c r="AB270" s="287"/>
      <c r="AC270" s="287"/>
      <c r="AD270" s="287"/>
      <c r="AE270" s="287"/>
      <c r="AF270" s="287"/>
      <c r="AG270" s="287"/>
      <c r="AH270" s="287"/>
      <c r="AI270" s="287"/>
      <c r="AJ270" s="287"/>
      <c r="AK270" s="287"/>
      <c r="AL270" s="287"/>
      <c r="AM270" s="287"/>
      <c r="AN270" s="287"/>
      <c r="AO270" s="287"/>
      <c r="AP270" s="287"/>
      <c r="AQ270" s="287"/>
      <c r="AR270" s="287"/>
      <c r="AS270" s="287"/>
      <c r="AT270" s="287"/>
      <c r="AU270" s="287"/>
      <c r="AV270" s="287"/>
      <c r="AW270" s="287"/>
      <c r="AX270" s="287"/>
      <c r="AY270" s="287"/>
      <c r="AZ270" s="287"/>
      <c r="BA270" s="287"/>
      <c r="BB270" s="287"/>
      <c r="BC270" s="287"/>
    </row>
    <row r="271" ht="15.75" customHeight="1">
      <c r="A271" s="287"/>
      <c r="B271" s="287"/>
      <c r="C271" s="287"/>
      <c r="D271" s="287"/>
      <c r="E271" s="287"/>
      <c r="F271" s="287"/>
      <c r="G271" s="287"/>
      <c r="H271" s="287"/>
      <c r="I271" s="287"/>
      <c r="J271" s="287"/>
      <c r="K271" s="287"/>
      <c r="L271" s="287"/>
      <c r="M271" s="287"/>
      <c r="N271" s="287"/>
      <c r="O271" s="287"/>
      <c r="P271" s="287"/>
      <c r="Q271" s="287"/>
      <c r="R271" s="287"/>
      <c r="S271" s="287"/>
      <c r="T271" s="287"/>
      <c r="U271" s="287"/>
      <c r="V271" s="287"/>
      <c r="W271" s="287"/>
      <c r="X271" s="287"/>
      <c r="Y271" s="287"/>
      <c r="Z271" s="287"/>
      <c r="AA271" s="287"/>
      <c r="AB271" s="287"/>
      <c r="AC271" s="287"/>
      <c r="AD271" s="287"/>
      <c r="AE271" s="287"/>
      <c r="AF271" s="287"/>
      <c r="AG271" s="287"/>
      <c r="AH271" s="287"/>
      <c r="AI271" s="287"/>
      <c r="AJ271" s="287"/>
      <c r="AK271" s="287"/>
      <c r="AL271" s="287"/>
      <c r="AM271" s="287"/>
      <c r="AN271" s="287"/>
      <c r="AO271" s="287"/>
      <c r="AP271" s="287"/>
      <c r="AQ271" s="287"/>
      <c r="AR271" s="287"/>
      <c r="AS271" s="287"/>
      <c r="AT271" s="287"/>
      <c r="AU271" s="287"/>
      <c r="AV271" s="287"/>
      <c r="AW271" s="287"/>
      <c r="AX271" s="287"/>
      <c r="AY271" s="287"/>
      <c r="AZ271" s="287"/>
      <c r="BA271" s="287"/>
      <c r="BB271" s="287"/>
      <c r="BC271" s="287"/>
    </row>
    <row r="272" ht="15.75" customHeight="1">
      <c r="A272" s="287"/>
      <c r="B272" s="287"/>
      <c r="C272" s="287"/>
      <c r="D272" s="287"/>
      <c r="E272" s="287"/>
      <c r="F272" s="287"/>
      <c r="G272" s="287"/>
      <c r="H272" s="287"/>
      <c r="I272" s="287"/>
      <c r="J272" s="287"/>
      <c r="K272" s="287"/>
      <c r="L272" s="287"/>
      <c r="M272" s="287"/>
      <c r="N272" s="287"/>
      <c r="O272" s="287"/>
      <c r="P272" s="287"/>
      <c r="Q272" s="287"/>
      <c r="R272" s="287"/>
      <c r="S272" s="287"/>
      <c r="T272" s="287"/>
      <c r="U272" s="287"/>
      <c r="V272" s="287"/>
      <c r="W272" s="287"/>
      <c r="X272" s="287"/>
      <c r="Y272" s="287"/>
      <c r="Z272" s="287"/>
      <c r="AA272" s="287"/>
      <c r="AB272" s="287"/>
      <c r="AC272" s="287"/>
      <c r="AD272" s="287"/>
      <c r="AE272" s="287"/>
      <c r="AF272" s="287"/>
      <c r="AG272" s="287"/>
      <c r="AH272" s="287"/>
      <c r="AI272" s="287"/>
      <c r="AJ272" s="287"/>
      <c r="AK272" s="287"/>
      <c r="AL272" s="287"/>
      <c r="AM272" s="287"/>
      <c r="AN272" s="287"/>
      <c r="AO272" s="287"/>
      <c r="AP272" s="287"/>
      <c r="AQ272" s="287"/>
      <c r="AR272" s="287"/>
      <c r="AS272" s="287"/>
      <c r="AT272" s="287"/>
      <c r="AU272" s="287"/>
      <c r="AV272" s="287"/>
      <c r="AW272" s="287"/>
      <c r="AX272" s="287"/>
      <c r="AY272" s="287"/>
      <c r="AZ272" s="287"/>
      <c r="BA272" s="287"/>
      <c r="BB272" s="287"/>
      <c r="BC272" s="287"/>
    </row>
    <row r="273" ht="15.75" customHeight="1">
      <c r="A273" s="287"/>
      <c r="B273" s="287"/>
      <c r="C273" s="287"/>
      <c r="D273" s="287"/>
      <c r="E273" s="287"/>
      <c r="F273" s="287"/>
      <c r="G273" s="287"/>
      <c r="H273" s="287"/>
      <c r="I273" s="287"/>
      <c r="J273" s="287"/>
      <c r="K273" s="287"/>
      <c r="L273" s="287"/>
      <c r="M273" s="287"/>
      <c r="N273" s="287"/>
      <c r="O273" s="287"/>
      <c r="P273" s="287"/>
      <c r="Q273" s="287"/>
      <c r="R273" s="287"/>
      <c r="S273" s="287"/>
      <c r="T273" s="287"/>
      <c r="U273" s="287"/>
      <c r="V273" s="287"/>
      <c r="W273" s="287"/>
      <c r="X273" s="287"/>
      <c r="Y273" s="287"/>
      <c r="Z273" s="287"/>
      <c r="AA273" s="287"/>
      <c r="AB273" s="287"/>
      <c r="AC273" s="287"/>
      <c r="AD273" s="287"/>
      <c r="AE273" s="287"/>
      <c r="AF273" s="287"/>
      <c r="AG273" s="287"/>
      <c r="AH273" s="287"/>
      <c r="AI273" s="287"/>
      <c r="AJ273" s="287"/>
      <c r="AK273" s="287"/>
      <c r="AL273" s="287"/>
      <c r="AM273" s="287"/>
      <c r="AN273" s="287"/>
      <c r="AO273" s="287"/>
      <c r="AP273" s="287"/>
      <c r="AQ273" s="287"/>
      <c r="AR273" s="287"/>
      <c r="AS273" s="287"/>
      <c r="AT273" s="287"/>
      <c r="AU273" s="287"/>
      <c r="AV273" s="287"/>
      <c r="AW273" s="287"/>
      <c r="AX273" s="287"/>
      <c r="AY273" s="287"/>
      <c r="AZ273" s="287"/>
      <c r="BA273" s="287"/>
      <c r="BB273" s="287"/>
      <c r="BC273" s="287"/>
    </row>
    <row r="274" ht="15.75" customHeight="1">
      <c r="A274" s="287"/>
      <c r="B274" s="287"/>
      <c r="C274" s="287"/>
      <c r="D274" s="287"/>
      <c r="E274" s="287"/>
      <c r="F274" s="287"/>
      <c r="G274" s="287"/>
      <c r="H274" s="287"/>
      <c r="I274" s="287"/>
      <c r="J274" s="287"/>
      <c r="K274" s="287"/>
      <c r="L274" s="287"/>
      <c r="M274" s="287"/>
      <c r="N274" s="287"/>
      <c r="O274" s="287"/>
      <c r="P274" s="287"/>
      <c r="Q274" s="287"/>
      <c r="R274" s="287"/>
      <c r="S274" s="287"/>
      <c r="T274" s="287"/>
      <c r="U274" s="287"/>
      <c r="V274" s="287"/>
      <c r="W274" s="287"/>
      <c r="X274" s="287"/>
      <c r="Y274" s="287"/>
      <c r="Z274" s="287"/>
      <c r="AA274" s="287"/>
      <c r="AB274" s="287"/>
      <c r="AC274" s="287"/>
      <c r="AD274" s="287"/>
      <c r="AE274" s="287"/>
      <c r="AF274" s="287"/>
      <c r="AG274" s="287"/>
      <c r="AH274" s="287"/>
      <c r="AI274" s="287"/>
      <c r="AJ274" s="287"/>
      <c r="AK274" s="287"/>
      <c r="AL274" s="287"/>
      <c r="AM274" s="287"/>
      <c r="AN274" s="287"/>
      <c r="AO274" s="287"/>
      <c r="AP274" s="287"/>
      <c r="AQ274" s="287"/>
      <c r="AR274" s="287"/>
      <c r="AS274" s="287"/>
      <c r="AT274" s="287"/>
      <c r="AU274" s="287"/>
      <c r="AV274" s="287"/>
      <c r="AW274" s="287"/>
      <c r="AX274" s="287"/>
      <c r="AY274" s="287"/>
      <c r="AZ274" s="287"/>
      <c r="BA274" s="287"/>
      <c r="BB274" s="287"/>
      <c r="BC274" s="287"/>
    </row>
    <row r="275" ht="15.75" customHeight="1">
      <c r="A275" s="287"/>
      <c r="B275" s="287"/>
      <c r="C275" s="287"/>
      <c r="D275" s="287"/>
      <c r="E275" s="287"/>
      <c r="F275" s="287"/>
      <c r="G275" s="287"/>
      <c r="H275" s="287"/>
      <c r="I275" s="287"/>
      <c r="J275" s="287"/>
      <c r="K275" s="287"/>
      <c r="L275" s="287"/>
      <c r="M275" s="287"/>
      <c r="N275" s="287"/>
      <c r="O275" s="287"/>
      <c r="P275" s="287"/>
      <c r="Q275" s="287"/>
      <c r="R275" s="287"/>
      <c r="S275" s="287"/>
      <c r="T275" s="287"/>
      <c r="U275" s="287"/>
      <c r="V275" s="287"/>
      <c r="W275" s="287"/>
      <c r="X275" s="287"/>
      <c r="Y275" s="287"/>
      <c r="Z275" s="287"/>
      <c r="AA275" s="287"/>
      <c r="AB275" s="287"/>
      <c r="AC275" s="287"/>
      <c r="AD275" s="287"/>
      <c r="AE275" s="287"/>
      <c r="AF275" s="287"/>
      <c r="AG275" s="287"/>
      <c r="AH275" s="287"/>
      <c r="AI275" s="287"/>
      <c r="AJ275" s="287"/>
      <c r="AK275" s="287"/>
      <c r="AL275" s="287"/>
      <c r="AM275" s="287"/>
      <c r="AN275" s="287"/>
      <c r="AO275" s="287"/>
      <c r="AP275" s="287"/>
      <c r="AQ275" s="287"/>
      <c r="AR275" s="287"/>
      <c r="AS275" s="287"/>
      <c r="AT275" s="287"/>
      <c r="AU275" s="287"/>
      <c r="AV275" s="287"/>
      <c r="AW275" s="287"/>
      <c r="AX275" s="287"/>
      <c r="AY275" s="287"/>
      <c r="AZ275" s="287"/>
      <c r="BA275" s="287"/>
      <c r="BB275" s="287"/>
      <c r="BC275" s="287"/>
    </row>
    <row r="276" ht="15.75" customHeight="1">
      <c r="A276" s="287"/>
      <c r="B276" s="287"/>
      <c r="C276" s="287"/>
      <c r="D276" s="287"/>
      <c r="E276" s="287"/>
      <c r="F276" s="287"/>
      <c r="G276" s="287"/>
      <c r="H276" s="287"/>
      <c r="I276" s="287"/>
      <c r="J276" s="287"/>
      <c r="K276" s="287"/>
      <c r="L276" s="287"/>
      <c r="M276" s="287"/>
      <c r="N276" s="287"/>
      <c r="O276" s="287"/>
      <c r="P276" s="287"/>
      <c r="Q276" s="287"/>
      <c r="R276" s="287"/>
      <c r="S276" s="287"/>
      <c r="T276" s="287"/>
      <c r="U276" s="287"/>
      <c r="V276" s="287"/>
      <c r="W276" s="287"/>
      <c r="X276" s="287"/>
      <c r="Y276" s="287"/>
      <c r="Z276" s="287"/>
      <c r="AA276" s="287"/>
      <c r="AB276" s="287"/>
      <c r="AC276" s="287"/>
      <c r="AD276" s="287"/>
      <c r="AE276" s="287"/>
      <c r="AF276" s="287"/>
      <c r="AG276" s="287"/>
      <c r="AH276" s="287"/>
      <c r="AI276" s="287"/>
      <c r="AJ276" s="287"/>
      <c r="AK276" s="287"/>
      <c r="AL276" s="287"/>
      <c r="AM276" s="287"/>
      <c r="AN276" s="287"/>
      <c r="AO276" s="287"/>
      <c r="AP276" s="287"/>
      <c r="AQ276" s="287"/>
      <c r="AR276" s="287"/>
      <c r="AS276" s="287"/>
      <c r="AT276" s="287"/>
      <c r="AU276" s="287"/>
      <c r="AV276" s="287"/>
      <c r="AW276" s="287"/>
      <c r="AX276" s="287"/>
      <c r="AY276" s="287"/>
      <c r="AZ276" s="287"/>
      <c r="BA276" s="287"/>
      <c r="BB276" s="287"/>
      <c r="BC276" s="287"/>
    </row>
    <row r="277" ht="15.75" customHeight="1">
      <c r="A277" s="287"/>
      <c r="B277" s="287"/>
      <c r="C277" s="287"/>
      <c r="D277" s="287"/>
      <c r="E277" s="287"/>
      <c r="F277" s="287"/>
      <c r="G277" s="287"/>
      <c r="H277" s="287"/>
      <c r="I277" s="287"/>
      <c r="J277" s="287"/>
      <c r="K277" s="287"/>
      <c r="L277" s="287"/>
      <c r="M277" s="287"/>
      <c r="N277" s="287"/>
      <c r="O277" s="287"/>
      <c r="P277" s="287"/>
      <c r="Q277" s="287"/>
      <c r="R277" s="287"/>
      <c r="S277" s="287"/>
      <c r="T277" s="287"/>
      <c r="U277" s="287"/>
      <c r="V277" s="287"/>
      <c r="W277" s="287"/>
      <c r="X277" s="287"/>
      <c r="Y277" s="287"/>
      <c r="Z277" s="287"/>
      <c r="AA277" s="287"/>
      <c r="AB277" s="287"/>
      <c r="AC277" s="287"/>
      <c r="AD277" s="287"/>
      <c r="AE277" s="287"/>
      <c r="AF277" s="287"/>
      <c r="AG277" s="287"/>
      <c r="AH277" s="287"/>
      <c r="AI277" s="287"/>
      <c r="AJ277" s="287"/>
      <c r="AK277" s="287"/>
      <c r="AL277" s="287"/>
      <c r="AM277" s="287"/>
      <c r="AN277" s="287"/>
      <c r="AO277" s="287"/>
      <c r="AP277" s="287"/>
      <c r="AQ277" s="287"/>
      <c r="AR277" s="287"/>
      <c r="AS277" s="287"/>
      <c r="AT277" s="287"/>
      <c r="AU277" s="287"/>
      <c r="AV277" s="287"/>
      <c r="AW277" s="287"/>
      <c r="AX277" s="287"/>
      <c r="AY277" s="287"/>
      <c r="AZ277" s="287"/>
      <c r="BA277" s="287"/>
      <c r="BB277" s="287"/>
      <c r="BC277" s="287"/>
    </row>
    <row r="278" ht="15.75" customHeight="1">
      <c r="A278" s="287"/>
      <c r="B278" s="287"/>
      <c r="C278" s="287"/>
      <c r="D278" s="287"/>
      <c r="E278" s="287"/>
      <c r="F278" s="287"/>
      <c r="G278" s="287"/>
      <c r="H278" s="287"/>
      <c r="I278" s="287"/>
      <c r="J278" s="287"/>
      <c r="K278" s="287"/>
      <c r="L278" s="287"/>
      <c r="M278" s="287"/>
      <c r="N278" s="287"/>
      <c r="O278" s="287"/>
      <c r="P278" s="287"/>
      <c r="Q278" s="287"/>
      <c r="R278" s="287"/>
      <c r="S278" s="287"/>
      <c r="T278" s="287"/>
      <c r="U278" s="287"/>
      <c r="V278" s="287"/>
      <c r="W278" s="287"/>
      <c r="X278" s="287"/>
      <c r="Y278" s="287"/>
      <c r="Z278" s="287"/>
      <c r="AA278" s="287"/>
      <c r="AB278" s="287"/>
      <c r="AC278" s="287"/>
      <c r="AD278" s="287"/>
      <c r="AE278" s="287"/>
      <c r="AF278" s="287"/>
      <c r="AG278" s="287"/>
      <c r="AH278" s="287"/>
      <c r="AI278" s="287"/>
      <c r="AJ278" s="287"/>
      <c r="AK278" s="287"/>
      <c r="AL278" s="287"/>
      <c r="AM278" s="287"/>
      <c r="AN278" s="287"/>
      <c r="AO278" s="287"/>
      <c r="AP278" s="287"/>
      <c r="AQ278" s="287"/>
      <c r="AR278" s="287"/>
      <c r="AS278" s="287"/>
      <c r="AT278" s="287"/>
      <c r="AU278" s="287"/>
      <c r="AV278" s="287"/>
      <c r="AW278" s="287"/>
      <c r="AX278" s="287"/>
      <c r="AY278" s="287"/>
      <c r="AZ278" s="287"/>
      <c r="BA278" s="287"/>
      <c r="BB278" s="287"/>
      <c r="BC278" s="287"/>
    </row>
    <row r="279" ht="15.75" customHeight="1">
      <c r="A279" s="287"/>
      <c r="B279" s="287"/>
      <c r="C279" s="287"/>
      <c r="D279" s="287"/>
      <c r="E279" s="287"/>
      <c r="F279" s="287"/>
      <c r="G279" s="287"/>
      <c r="H279" s="287"/>
      <c r="I279" s="287"/>
      <c r="J279" s="287"/>
      <c r="K279" s="287"/>
      <c r="L279" s="287"/>
      <c r="M279" s="287"/>
      <c r="N279" s="287"/>
      <c r="O279" s="287"/>
      <c r="P279" s="287"/>
      <c r="Q279" s="287"/>
      <c r="R279" s="287"/>
      <c r="S279" s="287"/>
      <c r="T279" s="287"/>
      <c r="U279" s="287"/>
      <c r="V279" s="287"/>
      <c r="W279" s="287"/>
      <c r="X279" s="287"/>
      <c r="Y279" s="287"/>
      <c r="Z279" s="287"/>
      <c r="AA279" s="287"/>
      <c r="AB279" s="287"/>
      <c r="AC279" s="287"/>
      <c r="AD279" s="287"/>
      <c r="AE279" s="287"/>
      <c r="AF279" s="287"/>
      <c r="AG279" s="287"/>
      <c r="AH279" s="287"/>
      <c r="AI279" s="287"/>
      <c r="AJ279" s="287"/>
      <c r="AK279" s="287"/>
      <c r="AL279" s="287"/>
      <c r="AM279" s="287"/>
      <c r="AN279" s="287"/>
      <c r="AO279" s="287"/>
      <c r="AP279" s="287"/>
      <c r="AQ279" s="287"/>
      <c r="AR279" s="287"/>
      <c r="AS279" s="287"/>
      <c r="AT279" s="287"/>
      <c r="AU279" s="287"/>
      <c r="AV279" s="287"/>
      <c r="AW279" s="287"/>
      <c r="AX279" s="287"/>
      <c r="AY279" s="287"/>
      <c r="AZ279" s="287"/>
      <c r="BA279" s="287"/>
      <c r="BB279" s="287"/>
      <c r="BC279" s="287"/>
    </row>
    <row r="280" ht="15.75" customHeight="1">
      <c r="A280" s="287"/>
      <c r="B280" s="287"/>
      <c r="C280" s="287"/>
      <c r="D280" s="287"/>
      <c r="E280" s="287"/>
      <c r="F280" s="287"/>
      <c r="G280" s="287"/>
      <c r="H280" s="287"/>
      <c r="I280" s="287"/>
      <c r="J280" s="287"/>
      <c r="K280" s="287"/>
      <c r="L280" s="287"/>
      <c r="M280" s="287"/>
      <c r="N280" s="287"/>
      <c r="O280" s="287"/>
      <c r="P280" s="287"/>
      <c r="Q280" s="287"/>
      <c r="R280" s="287"/>
      <c r="S280" s="287"/>
      <c r="T280" s="287"/>
      <c r="U280" s="287"/>
      <c r="V280" s="287"/>
      <c r="W280" s="287"/>
      <c r="X280" s="287"/>
      <c r="Y280" s="287"/>
      <c r="Z280" s="287"/>
      <c r="AA280" s="287"/>
      <c r="AB280" s="287"/>
      <c r="AC280" s="287"/>
      <c r="AD280" s="287"/>
      <c r="AE280" s="287"/>
      <c r="AF280" s="287"/>
      <c r="AG280" s="287"/>
      <c r="AH280" s="287"/>
      <c r="AI280" s="287"/>
      <c r="AJ280" s="287"/>
      <c r="AK280" s="287"/>
      <c r="AL280" s="287"/>
      <c r="AM280" s="287"/>
      <c r="AN280" s="287"/>
      <c r="AO280" s="287"/>
      <c r="AP280" s="287"/>
      <c r="AQ280" s="287"/>
      <c r="AR280" s="287"/>
      <c r="AS280" s="287"/>
      <c r="AT280" s="287"/>
      <c r="AU280" s="287"/>
      <c r="AV280" s="287"/>
      <c r="AW280" s="287"/>
      <c r="AX280" s="287"/>
      <c r="AY280" s="287"/>
      <c r="AZ280" s="287"/>
      <c r="BA280" s="287"/>
      <c r="BB280" s="287"/>
      <c r="BC280" s="287"/>
    </row>
    <row r="281" ht="15.75" customHeight="1">
      <c r="A281" s="287"/>
      <c r="B281" s="287"/>
      <c r="C281" s="287"/>
      <c r="D281" s="287"/>
      <c r="E281" s="287"/>
      <c r="F281" s="287"/>
      <c r="G281" s="287"/>
      <c r="H281" s="287"/>
      <c r="I281" s="287"/>
      <c r="J281" s="287"/>
      <c r="K281" s="287"/>
      <c r="L281" s="287"/>
      <c r="M281" s="287"/>
      <c r="N281" s="287"/>
      <c r="O281" s="287"/>
      <c r="P281" s="287"/>
      <c r="Q281" s="287"/>
      <c r="R281" s="287"/>
      <c r="S281" s="287"/>
      <c r="T281" s="287"/>
      <c r="U281" s="287"/>
      <c r="V281" s="287"/>
      <c r="W281" s="287"/>
      <c r="X281" s="287"/>
      <c r="Y281" s="287"/>
      <c r="Z281" s="287"/>
      <c r="AA281" s="287"/>
      <c r="AB281" s="287"/>
      <c r="AC281" s="287"/>
      <c r="AD281" s="287"/>
      <c r="AE281" s="287"/>
      <c r="AF281" s="287"/>
      <c r="AG281" s="287"/>
      <c r="AH281" s="287"/>
      <c r="AI281" s="287"/>
      <c r="AJ281" s="287"/>
      <c r="AK281" s="287"/>
      <c r="AL281" s="287"/>
      <c r="AM281" s="287"/>
      <c r="AN281" s="287"/>
      <c r="AO281" s="287"/>
      <c r="AP281" s="287"/>
      <c r="AQ281" s="287"/>
      <c r="AR281" s="287"/>
      <c r="AS281" s="287"/>
      <c r="AT281" s="287"/>
      <c r="AU281" s="287"/>
      <c r="AV281" s="287"/>
      <c r="AW281" s="287"/>
      <c r="AX281" s="287"/>
      <c r="AY281" s="287"/>
      <c r="AZ281" s="287"/>
      <c r="BA281" s="287"/>
      <c r="BB281" s="287"/>
      <c r="BC281" s="287"/>
    </row>
    <row r="282" ht="15.75" customHeight="1">
      <c r="A282" s="287"/>
      <c r="B282" s="287"/>
      <c r="C282" s="287"/>
      <c r="D282" s="287"/>
      <c r="E282" s="287"/>
      <c r="F282" s="287"/>
      <c r="G282" s="287"/>
      <c r="H282" s="287"/>
      <c r="I282" s="287"/>
      <c r="J282" s="287"/>
      <c r="K282" s="287"/>
      <c r="L282" s="287"/>
      <c r="M282" s="287"/>
      <c r="N282" s="287"/>
      <c r="O282" s="287"/>
      <c r="P282" s="287"/>
      <c r="Q282" s="287"/>
      <c r="R282" s="287"/>
      <c r="S282" s="287"/>
      <c r="T282" s="287"/>
      <c r="U282" s="287"/>
      <c r="V282" s="287"/>
      <c r="W282" s="287"/>
      <c r="X282" s="287"/>
      <c r="Y282" s="287"/>
      <c r="Z282" s="287"/>
      <c r="AA282" s="287"/>
      <c r="AB282" s="287"/>
      <c r="AC282" s="287"/>
      <c r="AD282" s="287"/>
      <c r="AE282" s="287"/>
      <c r="AF282" s="287"/>
      <c r="AG282" s="287"/>
      <c r="AH282" s="287"/>
      <c r="AI282" s="287"/>
      <c r="AJ282" s="287"/>
      <c r="AK282" s="287"/>
      <c r="AL282" s="287"/>
      <c r="AM282" s="287"/>
      <c r="AN282" s="287"/>
      <c r="AO282" s="287"/>
      <c r="AP282" s="287"/>
      <c r="AQ282" s="287"/>
      <c r="AR282" s="287"/>
      <c r="AS282" s="287"/>
      <c r="AT282" s="287"/>
      <c r="AU282" s="287"/>
      <c r="AV282" s="287"/>
      <c r="AW282" s="287"/>
      <c r="AX282" s="287"/>
      <c r="AY282" s="287"/>
      <c r="AZ282" s="287"/>
      <c r="BA282" s="287"/>
      <c r="BB282" s="287"/>
      <c r="BC282" s="287"/>
    </row>
    <row r="283" ht="15.75" customHeight="1">
      <c r="A283" s="287"/>
      <c r="B283" s="287"/>
      <c r="C283" s="287"/>
      <c r="D283" s="287"/>
      <c r="E283" s="287"/>
      <c r="F283" s="287"/>
      <c r="G283" s="287"/>
      <c r="H283" s="287"/>
      <c r="I283" s="287"/>
      <c r="J283" s="287"/>
      <c r="K283" s="287"/>
      <c r="L283" s="287"/>
      <c r="M283" s="287"/>
      <c r="N283" s="287"/>
      <c r="O283" s="287"/>
      <c r="P283" s="287"/>
      <c r="Q283" s="287"/>
      <c r="R283" s="287"/>
      <c r="S283" s="287"/>
      <c r="T283" s="287"/>
      <c r="U283" s="287"/>
      <c r="V283" s="287"/>
      <c r="W283" s="287"/>
      <c r="X283" s="287"/>
      <c r="Y283" s="287"/>
      <c r="Z283" s="287"/>
      <c r="AA283" s="287"/>
      <c r="AB283" s="287"/>
      <c r="AC283" s="287"/>
      <c r="AD283" s="287"/>
      <c r="AE283" s="287"/>
      <c r="AF283" s="287"/>
      <c r="AG283" s="287"/>
      <c r="AH283" s="287"/>
      <c r="AI283" s="287"/>
      <c r="AJ283" s="287"/>
      <c r="AK283" s="287"/>
      <c r="AL283" s="287"/>
      <c r="AM283" s="287"/>
      <c r="AN283" s="287"/>
      <c r="AO283" s="287"/>
      <c r="AP283" s="287"/>
      <c r="AQ283" s="287"/>
      <c r="AR283" s="287"/>
      <c r="AS283" s="287"/>
      <c r="AT283" s="287"/>
      <c r="AU283" s="287"/>
      <c r="AV283" s="287"/>
      <c r="AW283" s="287"/>
      <c r="AX283" s="287"/>
      <c r="AY283" s="287"/>
      <c r="AZ283" s="287"/>
      <c r="BA283" s="287"/>
      <c r="BB283" s="287"/>
      <c r="BC283" s="287"/>
    </row>
    <row r="284" ht="15.75" customHeight="1">
      <c r="A284" s="287"/>
      <c r="B284" s="287"/>
      <c r="C284" s="287"/>
      <c r="D284" s="287"/>
      <c r="E284" s="287"/>
      <c r="F284" s="287"/>
      <c r="G284" s="287"/>
      <c r="H284" s="287"/>
      <c r="I284" s="287"/>
      <c r="J284" s="287"/>
      <c r="K284" s="287"/>
      <c r="L284" s="287"/>
      <c r="M284" s="287"/>
      <c r="N284" s="287"/>
      <c r="O284" s="287"/>
      <c r="P284" s="287"/>
      <c r="Q284" s="287"/>
      <c r="R284" s="287"/>
      <c r="S284" s="287"/>
      <c r="T284" s="287"/>
      <c r="U284" s="287"/>
      <c r="V284" s="287"/>
      <c r="W284" s="287"/>
      <c r="X284" s="287"/>
      <c r="Y284" s="287"/>
      <c r="Z284" s="287"/>
      <c r="AA284" s="287"/>
      <c r="AB284" s="287"/>
      <c r="AC284" s="287"/>
      <c r="AD284" s="287"/>
      <c r="AE284" s="287"/>
      <c r="AF284" s="287"/>
      <c r="AG284" s="287"/>
      <c r="AH284" s="287"/>
      <c r="AI284" s="287"/>
      <c r="AJ284" s="287"/>
      <c r="AK284" s="287"/>
      <c r="AL284" s="287"/>
      <c r="AM284" s="287"/>
      <c r="AN284" s="287"/>
      <c r="AO284" s="287"/>
      <c r="AP284" s="287"/>
      <c r="AQ284" s="287"/>
      <c r="AR284" s="287"/>
      <c r="AS284" s="287"/>
      <c r="AT284" s="287"/>
      <c r="AU284" s="287"/>
      <c r="AV284" s="287"/>
      <c r="AW284" s="287"/>
      <c r="AX284" s="287"/>
      <c r="AY284" s="287"/>
      <c r="AZ284" s="287"/>
      <c r="BA284" s="287"/>
      <c r="BB284" s="287"/>
      <c r="BC284" s="287"/>
    </row>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sheetData>
  <mergeCells count="460">
    <mergeCell ref="M21:P21"/>
    <mergeCell ref="M22:P22"/>
    <mergeCell ref="M23:P23"/>
    <mergeCell ref="M24:P24"/>
    <mergeCell ref="M25:P25"/>
    <mergeCell ref="M26:P26"/>
    <mergeCell ref="M27:P27"/>
    <mergeCell ref="M35:P35"/>
    <mergeCell ref="M36:P36"/>
    <mergeCell ref="M28:P28"/>
    <mergeCell ref="M29:P29"/>
    <mergeCell ref="M30:P30"/>
    <mergeCell ref="M31:P31"/>
    <mergeCell ref="M32:P32"/>
    <mergeCell ref="M33:P33"/>
    <mergeCell ref="M34:P34"/>
    <mergeCell ref="B10:D10"/>
    <mergeCell ref="B11:D11"/>
    <mergeCell ref="E12:I12"/>
    <mergeCell ref="J12:K12"/>
    <mergeCell ref="L12:P12"/>
    <mergeCell ref="R12:U13"/>
    <mergeCell ref="V12:W13"/>
    <mergeCell ref="L13:P13"/>
    <mergeCell ref="J15:K15"/>
    <mergeCell ref="L15:P15"/>
    <mergeCell ref="E13:I13"/>
    <mergeCell ref="J13:K13"/>
    <mergeCell ref="E14:I14"/>
    <mergeCell ref="J14:K14"/>
    <mergeCell ref="L14:P14"/>
    <mergeCell ref="R14:U15"/>
    <mergeCell ref="V14:W15"/>
    <mergeCell ref="B15:D15"/>
    <mergeCell ref="E15:I15"/>
    <mergeCell ref="B17:N18"/>
    <mergeCell ref="O17:S18"/>
    <mergeCell ref="T17:W18"/>
    <mergeCell ref="X17:AB18"/>
    <mergeCell ref="AC17:AG18"/>
    <mergeCell ref="C19:F19"/>
    <mergeCell ref="M19:P19"/>
    <mergeCell ref="W19:Z19"/>
    <mergeCell ref="C20:F20"/>
    <mergeCell ref="M20:P20"/>
    <mergeCell ref="C21:F21"/>
    <mergeCell ref="W22:Z22"/>
    <mergeCell ref="W20:Z20"/>
    <mergeCell ref="W21:Z21"/>
    <mergeCell ref="W23:Z23"/>
    <mergeCell ref="W24:Z24"/>
    <mergeCell ref="W25:Z25"/>
    <mergeCell ref="W26:Z26"/>
    <mergeCell ref="W27:Z27"/>
    <mergeCell ref="W28:Z28"/>
    <mergeCell ref="W29:Z29"/>
    <mergeCell ref="W30:Z30"/>
    <mergeCell ref="W31:Z31"/>
    <mergeCell ref="W32:Z32"/>
    <mergeCell ref="W33:Z33"/>
    <mergeCell ref="W34:Z34"/>
    <mergeCell ref="B2:AS6"/>
    <mergeCell ref="AT2:AV3"/>
    <mergeCell ref="AW2:AY3"/>
    <mergeCell ref="AZ2:BB3"/>
    <mergeCell ref="AT4:AV6"/>
    <mergeCell ref="AW4:AY6"/>
    <mergeCell ref="AZ4:BB6"/>
    <mergeCell ref="X10:Y10"/>
    <mergeCell ref="Z10:AC11"/>
    <mergeCell ref="X11:Y11"/>
    <mergeCell ref="X12:Y12"/>
    <mergeCell ref="Z12:AC13"/>
    <mergeCell ref="X13:Y13"/>
    <mergeCell ref="AD10:AE11"/>
    <mergeCell ref="AF10:AG10"/>
    <mergeCell ref="AF11:AG11"/>
    <mergeCell ref="AD12:AE13"/>
    <mergeCell ref="AF12:AG12"/>
    <mergeCell ref="AF13:AG13"/>
    <mergeCell ref="B8:P9"/>
    <mergeCell ref="R8:AO9"/>
    <mergeCell ref="AQ8:BB9"/>
    <mergeCell ref="E10:P10"/>
    <mergeCell ref="R10:U11"/>
    <mergeCell ref="V10:W11"/>
    <mergeCell ref="AN10:AO10"/>
    <mergeCell ref="E11:P11"/>
    <mergeCell ref="B12:D12"/>
    <mergeCell ref="B13:D13"/>
    <mergeCell ref="B14:D14"/>
    <mergeCell ref="X14:Y14"/>
    <mergeCell ref="Z14:AC15"/>
    <mergeCell ref="AD14:AE15"/>
    <mergeCell ref="AF14:AG14"/>
    <mergeCell ref="X15:Y15"/>
    <mergeCell ref="AF15:AG15"/>
    <mergeCell ref="AN13:AO13"/>
    <mergeCell ref="AN14:AO14"/>
    <mergeCell ref="AY28:BB28"/>
    <mergeCell ref="AY29:BB29"/>
    <mergeCell ref="AQ26:AV26"/>
    <mergeCell ref="AW26:BB26"/>
    <mergeCell ref="AQ27:AT28"/>
    <mergeCell ref="AU27:AX28"/>
    <mergeCell ref="AY27:BB27"/>
    <mergeCell ref="AQ29:AT30"/>
    <mergeCell ref="AU29:AX30"/>
    <mergeCell ref="AY30:BB30"/>
    <mergeCell ref="C29:F29"/>
    <mergeCell ref="C30:F30"/>
    <mergeCell ref="C31:F31"/>
    <mergeCell ref="C32:F32"/>
    <mergeCell ref="C33:F33"/>
    <mergeCell ref="C34:F34"/>
    <mergeCell ref="C35:F35"/>
    <mergeCell ref="C36:F36"/>
    <mergeCell ref="C22:F22"/>
    <mergeCell ref="C23:F23"/>
    <mergeCell ref="C24:F24"/>
    <mergeCell ref="C25:F25"/>
    <mergeCell ref="C26:F26"/>
    <mergeCell ref="C27:F27"/>
    <mergeCell ref="C28:F28"/>
    <mergeCell ref="AG32:AJ32"/>
    <mergeCell ref="AG33:AJ33"/>
    <mergeCell ref="AG35:AJ35"/>
    <mergeCell ref="AG25:AJ25"/>
    <mergeCell ref="AG26:AJ26"/>
    <mergeCell ref="AG27:AJ27"/>
    <mergeCell ref="AG28:AJ28"/>
    <mergeCell ref="AG29:AJ29"/>
    <mergeCell ref="AG30:AJ30"/>
    <mergeCell ref="AG31:AJ31"/>
    <mergeCell ref="AU33:AV34"/>
    <mergeCell ref="AW33:AZ34"/>
    <mergeCell ref="AG34:AJ34"/>
    <mergeCell ref="AQ31:AT32"/>
    <mergeCell ref="AU31:AX32"/>
    <mergeCell ref="AY31:AZ31"/>
    <mergeCell ref="BA31:BB31"/>
    <mergeCell ref="AY32:AZ32"/>
    <mergeCell ref="BA32:BB32"/>
    <mergeCell ref="BA33:BB34"/>
    <mergeCell ref="AH12:AK13"/>
    <mergeCell ref="AH14:AK15"/>
    <mergeCell ref="AL14:AM15"/>
    <mergeCell ref="AH17:AK18"/>
    <mergeCell ref="AH10:AK11"/>
    <mergeCell ref="AL10:AM11"/>
    <mergeCell ref="AQ10:BB19"/>
    <mergeCell ref="AN11:AO11"/>
    <mergeCell ref="AL12:AM13"/>
    <mergeCell ref="AN12:AO12"/>
    <mergeCell ref="AN15:AO15"/>
    <mergeCell ref="AY25:AZ25"/>
    <mergeCell ref="BA25:BB25"/>
    <mergeCell ref="AL17:AO18"/>
    <mergeCell ref="AG19:AJ19"/>
    <mergeCell ref="AG20:AJ20"/>
    <mergeCell ref="AG21:AJ21"/>
    <mergeCell ref="AG22:AJ22"/>
    <mergeCell ref="AG23:AJ23"/>
    <mergeCell ref="AG24:AJ24"/>
    <mergeCell ref="AQ21:BB22"/>
    <mergeCell ref="AQ23:AV23"/>
    <mergeCell ref="AW23:BB23"/>
    <mergeCell ref="AQ24:AV24"/>
    <mergeCell ref="AW24:BB24"/>
    <mergeCell ref="AQ25:AV25"/>
    <mergeCell ref="AW25:AX25"/>
    <mergeCell ref="AQ40:BB40"/>
    <mergeCell ref="AQ41:BB41"/>
    <mergeCell ref="AQ42:BB42"/>
    <mergeCell ref="AQ43:BB43"/>
    <mergeCell ref="AQ33:AT34"/>
    <mergeCell ref="AQ35:AT36"/>
    <mergeCell ref="AU35:AV36"/>
    <mergeCell ref="AW35:AZ36"/>
    <mergeCell ref="BA35:BB36"/>
    <mergeCell ref="AG36:AJ36"/>
    <mergeCell ref="AQ38:BB39"/>
    <mergeCell ref="S40:X40"/>
    <mergeCell ref="Y40:AB40"/>
    <mergeCell ref="S41:X41"/>
    <mergeCell ref="Y41:AB41"/>
    <mergeCell ref="AC40:AG40"/>
    <mergeCell ref="AH40:AK40"/>
    <mergeCell ref="AC41:AG41"/>
    <mergeCell ref="AH41:AK41"/>
    <mergeCell ref="AL41:AO41"/>
    <mergeCell ref="W35:Z35"/>
    <mergeCell ref="W36:Z36"/>
    <mergeCell ref="B38:AO39"/>
    <mergeCell ref="J40:L40"/>
    <mergeCell ref="M40:O40"/>
    <mergeCell ref="P40:R40"/>
    <mergeCell ref="AL40:AO40"/>
    <mergeCell ref="M42:O42"/>
    <mergeCell ref="P42:R42"/>
    <mergeCell ref="S42:X42"/>
    <mergeCell ref="Y42:AB42"/>
    <mergeCell ref="AC42:AG42"/>
    <mergeCell ref="AH42:AK42"/>
    <mergeCell ref="AL42:AO42"/>
    <mergeCell ref="B40:I40"/>
    <mergeCell ref="B41:I41"/>
    <mergeCell ref="J41:L41"/>
    <mergeCell ref="M41:O41"/>
    <mergeCell ref="P41:R41"/>
    <mergeCell ref="B42:I42"/>
    <mergeCell ref="J42:L42"/>
    <mergeCell ref="AH43:AK43"/>
    <mergeCell ref="AL43:AO43"/>
    <mergeCell ref="B43:I43"/>
    <mergeCell ref="J43:L43"/>
    <mergeCell ref="M43:O43"/>
    <mergeCell ref="P43:R43"/>
    <mergeCell ref="S43:X43"/>
    <mergeCell ref="Y43:AB43"/>
    <mergeCell ref="AC43:AG43"/>
    <mergeCell ref="Q58:U59"/>
    <mergeCell ref="V58:Z59"/>
    <mergeCell ref="Q60:U61"/>
    <mergeCell ref="G58:K59"/>
    <mergeCell ref="L58:P59"/>
    <mergeCell ref="B60:F61"/>
    <mergeCell ref="G60:K61"/>
    <mergeCell ref="L60:P61"/>
    <mergeCell ref="B66:R70"/>
    <mergeCell ref="B71:Q72"/>
    <mergeCell ref="B56:F57"/>
    <mergeCell ref="G56:K57"/>
    <mergeCell ref="L56:P57"/>
    <mergeCell ref="Q56:U57"/>
    <mergeCell ref="V56:Z57"/>
    <mergeCell ref="AA56:AE57"/>
    <mergeCell ref="B58:F59"/>
    <mergeCell ref="AA58:AE59"/>
    <mergeCell ref="AF58:AJ59"/>
    <mergeCell ref="AK58:AO59"/>
    <mergeCell ref="V60:AN60"/>
    <mergeCell ref="V61:AO61"/>
    <mergeCell ref="B63:BB64"/>
    <mergeCell ref="B65:R65"/>
    <mergeCell ref="W73:Z73"/>
    <mergeCell ref="AA73:AD73"/>
    <mergeCell ref="Z77:AK80"/>
    <mergeCell ref="AL77:AW80"/>
    <mergeCell ref="AY77:BB80"/>
    <mergeCell ref="S65:AI65"/>
    <mergeCell ref="AJ65:BB65"/>
    <mergeCell ref="S66:AI70"/>
    <mergeCell ref="AJ66:BB73"/>
    <mergeCell ref="W71:Z72"/>
    <mergeCell ref="AA71:AD72"/>
    <mergeCell ref="AE71:AI72"/>
    <mergeCell ref="AE73:AI73"/>
    <mergeCell ref="B73:R73"/>
    <mergeCell ref="B75:M76"/>
    <mergeCell ref="N75:Y76"/>
    <mergeCell ref="Z75:AK76"/>
    <mergeCell ref="AL75:AW76"/>
    <mergeCell ref="AY75:BB76"/>
    <mergeCell ref="B84:E87"/>
    <mergeCell ref="F84:I87"/>
    <mergeCell ref="J84:M87"/>
    <mergeCell ref="N84:Q87"/>
    <mergeCell ref="R84:U87"/>
    <mergeCell ref="V84:Y87"/>
    <mergeCell ref="Z84:AC87"/>
    <mergeCell ref="A89:BC89"/>
    <mergeCell ref="A90:BC90"/>
    <mergeCell ref="A91:BC91"/>
    <mergeCell ref="A92:BC92"/>
    <mergeCell ref="A93:BC93"/>
    <mergeCell ref="A94:BC94"/>
    <mergeCell ref="A95:BC95"/>
    <mergeCell ref="AH47:AK47"/>
    <mergeCell ref="AL47:AO47"/>
    <mergeCell ref="AQ47:BB47"/>
    <mergeCell ref="B47:I47"/>
    <mergeCell ref="J47:L47"/>
    <mergeCell ref="M47:O47"/>
    <mergeCell ref="P47:R47"/>
    <mergeCell ref="S47:X47"/>
    <mergeCell ref="Y47:AB47"/>
    <mergeCell ref="AC47:AG47"/>
    <mergeCell ref="B48:T49"/>
    <mergeCell ref="V48:AN49"/>
    <mergeCell ref="AQ48:BB48"/>
    <mergeCell ref="B50:F51"/>
    <mergeCell ref="G50:K51"/>
    <mergeCell ref="L50:P51"/>
    <mergeCell ref="Q50:U51"/>
    <mergeCell ref="AF50:AJ51"/>
    <mergeCell ref="V50:Z51"/>
    <mergeCell ref="AA50:AE51"/>
    <mergeCell ref="G52:K53"/>
    <mergeCell ref="L52:P53"/>
    <mergeCell ref="Q52:U53"/>
    <mergeCell ref="V52:Z53"/>
    <mergeCell ref="AA52:AE53"/>
    <mergeCell ref="AQ49:BA54"/>
    <mergeCell ref="AQ55:BB58"/>
    <mergeCell ref="AQ59:BA59"/>
    <mergeCell ref="AQ60:BB60"/>
    <mergeCell ref="AQ61:AX61"/>
    <mergeCell ref="AY61:BB61"/>
    <mergeCell ref="AF56:AJ57"/>
    <mergeCell ref="AK56:AO57"/>
    <mergeCell ref="AH46:AK46"/>
    <mergeCell ref="AL46:AO46"/>
    <mergeCell ref="AQ46:BB46"/>
    <mergeCell ref="BB49:BB54"/>
    <mergeCell ref="AK50:AO51"/>
    <mergeCell ref="AF52:AJ53"/>
    <mergeCell ref="AK52:AO53"/>
    <mergeCell ref="AH44:AK44"/>
    <mergeCell ref="AL44:AO44"/>
    <mergeCell ref="AQ44:BB44"/>
    <mergeCell ref="B44:I44"/>
    <mergeCell ref="J44:L44"/>
    <mergeCell ref="M44:O44"/>
    <mergeCell ref="P44:R44"/>
    <mergeCell ref="S44:X44"/>
    <mergeCell ref="Y44:AB44"/>
    <mergeCell ref="AC44:AG44"/>
    <mergeCell ref="AH45:AK45"/>
    <mergeCell ref="AL45:AO45"/>
    <mergeCell ref="AQ45:BB45"/>
    <mergeCell ref="B45:I45"/>
    <mergeCell ref="J45:L45"/>
    <mergeCell ref="M45:O45"/>
    <mergeCell ref="P45:R45"/>
    <mergeCell ref="S45:X45"/>
    <mergeCell ref="Y45:AB45"/>
    <mergeCell ref="AC45:AG45"/>
    <mergeCell ref="B46:I46"/>
    <mergeCell ref="J46:L46"/>
    <mergeCell ref="M46:O46"/>
    <mergeCell ref="P46:R46"/>
    <mergeCell ref="S46:X46"/>
    <mergeCell ref="Y46:AB46"/>
    <mergeCell ref="AC46:AG46"/>
    <mergeCell ref="AF54:AJ55"/>
    <mergeCell ref="AK54:AO55"/>
    <mergeCell ref="B52:F53"/>
    <mergeCell ref="B54:F55"/>
    <mergeCell ref="G54:K55"/>
    <mergeCell ref="L54:P55"/>
    <mergeCell ref="Q54:U55"/>
    <mergeCell ref="V54:Z55"/>
    <mergeCell ref="AA54:AE55"/>
    <mergeCell ref="S71:V72"/>
    <mergeCell ref="S73:V73"/>
    <mergeCell ref="N77:Y80"/>
    <mergeCell ref="B77:M80"/>
    <mergeCell ref="B82:E83"/>
    <mergeCell ref="F82:I83"/>
    <mergeCell ref="J82:M83"/>
    <mergeCell ref="N82:Q83"/>
    <mergeCell ref="R82:U83"/>
    <mergeCell ref="V82:Y83"/>
    <mergeCell ref="Z82:AC83"/>
    <mergeCell ref="AD82:AG83"/>
    <mergeCell ref="AH82:AK83"/>
    <mergeCell ref="AL82:AO83"/>
    <mergeCell ref="AP82:AS83"/>
    <mergeCell ref="AT82:AW83"/>
    <mergeCell ref="AX82:BB83"/>
    <mergeCell ref="AD84:AG87"/>
    <mergeCell ref="AH84:AK87"/>
    <mergeCell ref="AL84:AO87"/>
    <mergeCell ref="AP84:AS87"/>
    <mergeCell ref="AT84:AW87"/>
    <mergeCell ref="AX84:BB87"/>
    <mergeCell ref="AX88:BB88"/>
    <mergeCell ref="A145:BC145"/>
    <mergeCell ref="A146:BC146"/>
    <mergeCell ref="A147:BC147"/>
    <mergeCell ref="A148:BC148"/>
    <mergeCell ref="A149:BC149"/>
    <mergeCell ref="A150:BC150"/>
    <mergeCell ref="A151:BC151"/>
    <mergeCell ref="A152:BC152"/>
    <mergeCell ref="A153:BC153"/>
    <mergeCell ref="A154:BC154"/>
    <mergeCell ref="A155:BC155"/>
    <mergeCell ref="A156:BC156"/>
    <mergeCell ref="A157:BC157"/>
    <mergeCell ref="A158:BC158"/>
    <mergeCell ref="A159:BC159"/>
    <mergeCell ref="A160:BC160"/>
    <mergeCell ref="A161:BC161"/>
    <mergeCell ref="A162:BC162"/>
    <mergeCell ref="A163:BC163"/>
    <mergeCell ref="A164:BC164"/>
    <mergeCell ref="A165:BC165"/>
    <mergeCell ref="A173:BC173"/>
    <mergeCell ref="A174:BC174"/>
    <mergeCell ref="A175:BC175"/>
    <mergeCell ref="A176:BC176"/>
    <mergeCell ref="A177:BC177"/>
    <mergeCell ref="A166:BC166"/>
    <mergeCell ref="A167:BC167"/>
    <mergeCell ref="A168:BC168"/>
    <mergeCell ref="A169:BC169"/>
    <mergeCell ref="A170:BC170"/>
    <mergeCell ref="A171:BC171"/>
    <mergeCell ref="A172:BC172"/>
    <mergeCell ref="A96:BC96"/>
    <mergeCell ref="A97:BC97"/>
    <mergeCell ref="A98:BC98"/>
    <mergeCell ref="A99:BC99"/>
    <mergeCell ref="A100:BC100"/>
    <mergeCell ref="A101:BC101"/>
    <mergeCell ref="A102:BC102"/>
    <mergeCell ref="A103:BC103"/>
    <mergeCell ref="A104:BC104"/>
    <mergeCell ref="A105:BC105"/>
    <mergeCell ref="A106:BC106"/>
    <mergeCell ref="A107:BC107"/>
    <mergeCell ref="A108:BC108"/>
    <mergeCell ref="A109:BC109"/>
    <mergeCell ref="A110:BC110"/>
    <mergeCell ref="A111:BC111"/>
    <mergeCell ref="A112:BC112"/>
    <mergeCell ref="A113:BC113"/>
    <mergeCell ref="A114:BC114"/>
    <mergeCell ref="A115:BC115"/>
    <mergeCell ref="A116:BC116"/>
    <mergeCell ref="A117:BC117"/>
    <mergeCell ref="A118:BC118"/>
    <mergeCell ref="A119:BC119"/>
    <mergeCell ref="A120:BC120"/>
    <mergeCell ref="A121:BC121"/>
    <mergeCell ref="A122:BC122"/>
    <mergeCell ref="A123:BC123"/>
    <mergeCell ref="A124:BC124"/>
    <mergeCell ref="A125:BC125"/>
    <mergeCell ref="A126:BC126"/>
    <mergeCell ref="A127:BC127"/>
    <mergeCell ref="A128:BC128"/>
    <mergeCell ref="A129:BC129"/>
    <mergeCell ref="A130:BC130"/>
    <mergeCell ref="A131:BC131"/>
    <mergeCell ref="A132:BC132"/>
    <mergeCell ref="A133:BC133"/>
    <mergeCell ref="A134:BC134"/>
    <mergeCell ref="A135:BC135"/>
    <mergeCell ref="A136:BC136"/>
    <mergeCell ref="A137:BC137"/>
    <mergeCell ref="A138:BC138"/>
    <mergeCell ref="A139:BC139"/>
    <mergeCell ref="A140:BC140"/>
    <mergeCell ref="A141:BC141"/>
    <mergeCell ref="A142:BC142"/>
    <mergeCell ref="A143:BC143"/>
    <mergeCell ref="A144:BC144"/>
  </mergeCells>
  <conditionalFormatting sqref="B19:B36 L19:L36 V19:V36 AF19:AF36">
    <cfRule type="containsText" dxfId="0" priority="1" operator="containsText" text="✖">
      <formula>NOT(ISERROR(SEARCH(("✖"),(B19))))</formula>
    </cfRule>
  </conditionalFormatting>
  <conditionalFormatting sqref="B19:B36 L19:L36 V19:V36 AF19:AF36">
    <cfRule type="containsText" dxfId="1" priority="2" operator="containsText" text="✔">
      <formula>NOT(ISERROR(SEARCH(("✔"),(B19))))</formula>
    </cfRule>
  </conditionalFormatting>
  <conditionalFormatting sqref="C19:F19">
    <cfRule type="expression" dxfId="2" priority="3">
      <formula>H19&gt;0</formula>
    </cfRule>
  </conditionalFormatting>
  <conditionalFormatting sqref="C20:F20">
    <cfRule type="expression" dxfId="2" priority="4">
      <formula>H20&gt;0</formula>
    </cfRule>
  </conditionalFormatting>
  <conditionalFormatting sqref="C21:F21">
    <cfRule type="expression" dxfId="2" priority="5">
      <formula>H21&gt;0</formula>
    </cfRule>
  </conditionalFormatting>
  <conditionalFormatting sqref="C22:F22">
    <cfRule type="expression" dxfId="2" priority="6">
      <formula>H22&gt;0</formula>
    </cfRule>
  </conditionalFormatting>
  <conditionalFormatting sqref="C23:F23">
    <cfRule type="expression" dxfId="2" priority="7">
      <formula>H23&gt;0</formula>
    </cfRule>
  </conditionalFormatting>
  <conditionalFormatting sqref="C24:F24">
    <cfRule type="expression" dxfId="2" priority="8">
      <formula>H24&gt;0</formula>
    </cfRule>
  </conditionalFormatting>
  <conditionalFormatting sqref="C25:F25">
    <cfRule type="expression" dxfId="2" priority="9">
      <formula>H25&gt;0</formula>
    </cfRule>
  </conditionalFormatting>
  <conditionalFormatting sqref="C26:F26">
    <cfRule type="expression" dxfId="2" priority="10">
      <formula>H26&gt;0</formula>
    </cfRule>
  </conditionalFormatting>
  <conditionalFormatting sqref="C27:F27">
    <cfRule type="expression" dxfId="2" priority="11">
      <formula>H27&gt;0</formula>
    </cfRule>
  </conditionalFormatting>
  <conditionalFormatting sqref="C28:F28">
    <cfRule type="expression" dxfId="2" priority="12">
      <formula>H28&gt;0</formula>
    </cfRule>
  </conditionalFormatting>
  <conditionalFormatting sqref="C29:F29">
    <cfRule type="expression" dxfId="2" priority="13">
      <formula>H29&gt;0</formula>
    </cfRule>
  </conditionalFormatting>
  <conditionalFormatting sqref="C30:F30">
    <cfRule type="expression" dxfId="2" priority="14">
      <formula>H30&gt;0</formula>
    </cfRule>
  </conditionalFormatting>
  <conditionalFormatting sqref="C31:F31">
    <cfRule type="expression" dxfId="2" priority="15">
      <formula>H31&gt;0</formula>
    </cfRule>
  </conditionalFormatting>
  <conditionalFormatting sqref="C32:F32">
    <cfRule type="expression" dxfId="2" priority="16">
      <formula>H32&gt;0</formula>
    </cfRule>
  </conditionalFormatting>
  <conditionalFormatting sqref="C33:F33">
    <cfRule type="expression" dxfId="2" priority="17">
      <formula>H33&gt;0</formula>
    </cfRule>
  </conditionalFormatting>
  <conditionalFormatting sqref="C34:F34">
    <cfRule type="expression" dxfId="2" priority="18">
      <formula>H34&gt;0</formula>
    </cfRule>
  </conditionalFormatting>
  <conditionalFormatting sqref="C35:F35">
    <cfRule type="expression" dxfId="2" priority="19">
      <formula>H35&gt;0</formula>
    </cfRule>
  </conditionalFormatting>
  <conditionalFormatting sqref="C36:F36">
    <cfRule type="expression" dxfId="2" priority="20">
      <formula>H36&gt;0</formula>
    </cfRule>
  </conditionalFormatting>
  <conditionalFormatting sqref="M19:P19">
    <cfRule type="expression" dxfId="2" priority="21">
      <formula>R19&gt;0</formula>
    </cfRule>
  </conditionalFormatting>
  <conditionalFormatting sqref="M20:P20">
    <cfRule type="expression" dxfId="2" priority="22">
      <formula>R20&gt;0</formula>
    </cfRule>
  </conditionalFormatting>
  <conditionalFormatting sqref="M21:P21">
    <cfRule type="expression" dxfId="2" priority="23">
      <formula>R21&gt;0</formula>
    </cfRule>
  </conditionalFormatting>
  <conditionalFormatting sqref="M22:P22">
    <cfRule type="expression" dxfId="2" priority="24">
      <formula>R22&gt;0</formula>
    </cfRule>
  </conditionalFormatting>
  <conditionalFormatting sqref="M23:P23">
    <cfRule type="expression" dxfId="2" priority="25">
      <formula>R23&gt;0</formula>
    </cfRule>
  </conditionalFormatting>
  <conditionalFormatting sqref="M24:P24">
    <cfRule type="expression" dxfId="2" priority="26">
      <formula>R24&gt;0</formula>
    </cfRule>
  </conditionalFormatting>
  <conditionalFormatting sqref="M25:P25">
    <cfRule type="expression" dxfId="2" priority="27">
      <formula>R25&gt;0</formula>
    </cfRule>
  </conditionalFormatting>
  <conditionalFormatting sqref="M26:P26">
    <cfRule type="expression" dxfId="2" priority="28">
      <formula>R26&gt;0</formula>
    </cfRule>
  </conditionalFormatting>
  <conditionalFormatting sqref="M27:P27">
    <cfRule type="expression" dxfId="2" priority="29">
      <formula>R27&gt;0</formula>
    </cfRule>
  </conditionalFormatting>
  <conditionalFormatting sqref="M28:P28">
    <cfRule type="expression" dxfId="2" priority="30">
      <formula>R28&gt;0</formula>
    </cfRule>
  </conditionalFormatting>
  <conditionalFormatting sqref="M29:P29">
    <cfRule type="expression" dxfId="2" priority="31">
      <formula>R29&gt;0</formula>
    </cfRule>
  </conditionalFormatting>
  <conditionalFormatting sqref="M30:P30">
    <cfRule type="expression" dxfId="2" priority="32">
      <formula>R30&gt;0</formula>
    </cfRule>
  </conditionalFormatting>
  <conditionalFormatting sqref="M31:P31">
    <cfRule type="expression" dxfId="2" priority="33">
      <formula>R31&gt;0</formula>
    </cfRule>
  </conditionalFormatting>
  <conditionalFormatting sqref="M32:P32">
    <cfRule type="expression" dxfId="2" priority="34">
      <formula>R32&gt;0</formula>
    </cfRule>
  </conditionalFormatting>
  <conditionalFormatting sqref="M33:P33">
    <cfRule type="expression" dxfId="2" priority="35">
      <formula>R33&gt;0</formula>
    </cfRule>
  </conditionalFormatting>
  <conditionalFormatting sqref="M34:P34">
    <cfRule type="expression" dxfId="2" priority="36">
      <formula>R34&gt;0</formula>
    </cfRule>
  </conditionalFormatting>
  <conditionalFormatting sqref="M35:P35">
    <cfRule type="expression" dxfId="2" priority="37">
      <formula>R35&gt;0</formula>
    </cfRule>
  </conditionalFormatting>
  <conditionalFormatting sqref="M36:P36">
    <cfRule type="expression" dxfId="2" priority="38">
      <formula>R36&gt;0</formula>
    </cfRule>
  </conditionalFormatting>
  <conditionalFormatting sqref="W19:Z19">
    <cfRule type="expression" dxfId="2" priority="39">
      <formula>AB19&gt;0</formula>
    </cfRule>
  </conditionalFormatting>
  <conditionalFormatting sqref="W20:Z20">
    <cfRule type="expression" dxfId="2" priority="40">
      <formula>AB20&gt;0</formula>
    </cfRule>
  </conditionalFormatting>
  <conditionalFormatting sqref="W21:Z21">
    <cfRule type="expression" dxfId="2" priority="41">
      <formula>AB21&gt;0</formula>
    </cfRule>
  </conditionalFormatting>
  <conditionalFormatting sqref="W22:Z22">
    <cfRule type="expression" dxfId="2" priority="42">
      <formula>AB22&gt;0</formula>
    </cfRule>
  </conditionalFormatting>
  <conditionalFormatting sqref="W23:Z23">
    <cfRule type="expression" dxfId="2" priority="43">
      <formula>AB23&gt;0</formula>
    </cfRule>
  </conditionalFormatting>
  <conditionalFormatting sqref="W24:Z24">
    <cfRule type="expression" dxfId="2" priority="44">
      <formula>AB24&gt;0</formula>
    </cfRule>
  </conditionalFormatting>
  <conditionalFormatting sqref="W25:Z25">
    <cfRule type="expression" dxfId="2" priority="45">
      <formula>AB25&gt;0</formula>
    </cfRule>
  </conditionalFormatting>
  <conditionalFormatting sqref="W26:Z26">
    <cfRule type="expression" dxfId="2" priority="46">
      <formula>AB26&gt;0</formula>
    </cfRule>
  </conditionalFormatting>
  <conditionalFormatting sqref="W27:Z27">
    <cfRule type="expression" dxfId="2" priority="47">
      <formula>AB27&gt;0</formula>
    </cfRule>
  </conditionalFormatting>
  <conditionalFormatting sqref="W28:Z28">
    <cfRule type="expression" dxfId="2" priority="48">
      <formula>AB28&gt;0</formula>
    </cfRule>
  </conditionalFormatting>
  <conditionalFormatting sqref="W29:Z29">
    <cfRule type="expression" dxfId="2" priority="49">
      <formula>AB29&gt;0</formula>
    </cfRule>
  </conditionalFormatting>
  <conditionalFormatting sqref="W30:Z30">
    <cfRule type="expression" dxfId="2" priority="50">
      <formula>AB30&gt;0</formula>
    </cfRule>
  </conditionalFormatting>
  <conditionalFormatting sqref="W31:Z31">
    <cfRule type="expression" dxfId="2" priority="51">
      <formula>AB31&gt;0</formula>
    </cfRule>
  </conditionalFormatting>
  <conditionalFormatting sqref="W32:Z32">
    <cfRule type="expression" dxfId="2" priority="52">
      <formula>AB32&gt;0</formula>
    </cfRule>
  </conditionalFormatting>
  <conditionalFormatting sqref="W33:Z33">
    <cfRule type="expression" dxfId="2" priority="53">
      <formula>AB33&gt;0</formula>
    </cfRule>
  </conditionalFormatting>
  <conditionalFormatting sqref="W34:Z34">
    <cfRule type="expression" dxfId="2" priority="54">
      <formula>AB34&gt;0</formula>
    </cfRule>
  </conditionalFormatting>
  <conditionalFormatting sqref="W35:Z35">
    <cfRule type="expression" dxfId="2" priority="55">
      <formula>AB35&gt;0</formula>
    </cfRule>
  </conditionalFormatting>
  <conditionalFormatting sqref="W36:Z36">
    <cfRule type="expression" dxfId="2" priority="56">
      <formula>AB36&gt;0</formula>
    </cfRule>
  </conditionalFormatting>
  <conditionalFormatting sqref="AG19:AJ19">
    <cfRule type="expression" dxfId="2" priority="57">
      <formula>AL19&gt;0</formula>
    </cfRule>
  </conditionalFormatting>
  <conditionalFormatting sqref="AG20:AJ20">
    <cfRule type="expression" dxfId="2" priority="58">
      <formula>AL20&gt;0</formula>
    </cfRule>
  </conditionalFormatting>
  <conditionalFormatting sqref="AG21:AJ21">
    <cfRule type="expression" dxfId="2" priority="59">
      <formula>AL21&gt;0</formula>
    </cfRule>
  </conditionalFormatting>
  <conditionalFormatting sqref="AG22:AJ22">
    <cfRule type="expression" dxfId="2" priority="60">
      <formula>AL22&gt;0</formula>
    </cfRule>
  </conditionalFormatting>
  <conditionalFormatting sqref="AG23:AJ23">
    <cfRule type="expression" dxfId="2" priority="61">
      <formula>AL23&gt;0</formula>
    </cfRule>
  </conditionalFormatting>
  <conditionalFormatting sqref="AG24:AJ24">
    <cfRule type="expression" dxfId="2" priority="62">
      <formula>AL24&gt;0</formula>
    </cfRule>
  </conditionalFormatting>
  <conditionalFormatting sqref="AG25:AJ25">
    <cfRule type="expression" dxfId="2" priority="63">
      <formula>AL25&gt;0</formula>
    </cfRule>
  </conditionalFormatting>
  <conditionalFormatting sqref="AG26:AJ26">
    <cfRule type="expression" dxfId="2" priority="64">
      <formula>AL26&gt;0</formula>
    </cfRule>
  </conditionalFormatting>
  <conditionalFormatting sqref="AG27:AJ27">
    <cfRule type="expression" dxfId="2" priority="65">
      <formula>AL27&gt;0</formula>
    </cfRule>
  </conditionalFormatting>
  <conditionalFormatting sqref="AG28:AJ28">
    <cfRule type="expression" dxfId="2" priority="66">
      <formula>AL28&gt;0</formula>
    </cfRule>
  </conditionalFormatting>
  <conditionalFormatting sqref="AG29:AJ29">
    <cfRule type="expression" dxfId="2" priority="67">
      <formula>AL29&gt;0</formula>
    </cfRule>
  </conditionalFormatting>
  <conditionalFormatting sqref="AG30:AJ30">
    <cfRule type="expression" dxfId="2" priority="68">
      <formula>AL30&gt;0</formula>
    </cfRule>
  </conditionalFormatting>
  <conditionalFormatting sqref="AG31:AJ31">
    <cfRule type="expression" dxfId="2" priority="69">
      <formula>AL31&gt;0</formula>
    </cfRule>
  </conditionalFormatting>
  <conditionalFormatting sqref="AG32:AJ32">
    <cfRule type="expression" dxfId="2" priority="70">
      <formula>AL32&gt;0</formula>
    </cfRule>
  </conditionalFormatting>
  <conditionalFormatting sqref="AG33:AJ33">
    <cfRule type="expression" dxfId="2" priority="71">
      <formula>AL33&gt;0</formula>
    </cfRule>
  </conditionalFormatting>
  <conditionalFormatting sqref="AG34:AJ34">
    <cfRule type="expression" dxfId="2" priority="72">
      <formula>AL34&gt;0</formula>
    </cfRule>
  </conditionalFormatting>
  <conditionalFormatting sqref="AG35:AJ35">
    <cfRule type="expression" dxfId="2" priority="73">
      <formula>AL35&gt;0</formula>
    </cfRule>
  </conditionalFormatting>
  <conditionalFormatting sqref="AG36:AJ36">
    <cfRule type="expression" dxfId="2" priority="74">
      <formula>AL36&gt;0</formula>
    </cfRule>
  </conditionalFormatting>
  <dataValidations>
    <dataValidation type="list" allowBlank="1" sqref="U49 AO49 BB49 BB59 AO60 R72">
      <formula1>"1,2,3,4,5,6,7,8,9,10"</formula1>
    </dataValidation>
    <dataValidation type="list" allowBlank="1" sqref="AU33 BA33 AU35 BA35 B19:B36 L19:L36 V19:V36 AF19:AF36">
      <formula1>"✖,✔"</formula1>
    </dataValidation>
    <dataValidation type="list" allowBlank="1" sqref="E12">
      <formula1>"간호사,갱 보스,건달,건 몰,건축가,경관,고고학자,곡예사,골동품상,골동품 연구가,과학자,광부,광신자,교수,교주,기술자,기자,깡패,노조 활동가,농부,단독 범죄자,대학생,도둑,도박사,등반가,디자이너,디프로그래머,딜레탕트,떠돌이,리포터,매춘부,맹수사냥꾼,미술가,밀수꾼,밀주업자,바텐더,박물관 큐레이터,배우,벌목꾼,법의학자,변호사,병사,병원 보조원,복서/레슬러,부랑자,부족민,부하 조직원,비서,비행사,사기꾼,사립탐정,사무원,사서,사육사,사진가,사진기자,서적상,선교"&amp;"사,선원,선출직 공무원,성직자,소방관,수병,스턴트맨,스턴트우먼,스파이,신비학자,신사/숙녀,심령학자,심리학자,약사,엔지니어,연구실 조수,연구자,연방 요원,연예인,연주자,외신 기자,운동선수,운전사,웨이터,웨이트리스,위조업자,은행강도,의사,인턴,자객,자연 애호가,작가,잠수부,장교,장물아비,장의사,장인,전속 기사,점장,정신감정사,정신과 의사,정신병원 직원,정신분석가,조련사,조종사,중상급 관리자,집사,카우걸/카우보이,컴퓨터 테크니션,탐광인,탐험가,택시 운전사,판"&amp;"매원,판사,편집자,폭력배,프로그래머,하녀,하인,해커,현상금 사냥꾼,형사,회계사,회사 탐정,ETC"</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55" width="2.5"/>
  </cols>
  <sheetData>
    <row r="1" ht="11.25" customHeight="1">
      <c r="A1" s="1">
        <v>35.0</v>
      </c>
      <c r="B1" s="2"/>
      <c r="C1" s="2"/>
      <c r="D1" s="2"/>
      <c r="E1" s="2"/>
      <c r="F1" s="2"/>
      <c r="G1" s="2"/>
      <c r="H1" s="2"/>
      <c r="I1" s="2"/>
      <c r="J1" s="2"/>
      <c r="K1" s="2"/>
      <c r="L1" s="2"/>
      <c r="M1" s="2"/>
      <c r="N1" s="2"/>
      <c r="O1" s="2"/>
      <c r="P1" s="2"/>
      <c r="Q1" s="2"/>
      <c r="R1" s="2"/>
      <c r="S1" s="2"/>
      <c r="T1" s="2"/>
      <c r="U1" s="2"/>
      <c r="V1" s="2"/>
      <c r="W1" s="2"/>
      <c r="X1" s="2"/>
      <c r="Y1" s="2"/>
      <c r="Z1" s="2"/>
      <c r="AA1" s="2"/>
      <c r="AB1" s="2"/>
      <c r="AC1" s="3"/>
      <c r="AD1" s="3"/>
      <c r="AE1" s="3"/>
      <c r="AF1" s="3"/>
      <c r="AG1" s="3"/>
      <c r="AH1" s="3"/>
      <c r="AI1" s="3"/>
      <c r="AJ1" s="3"/>
      <c r="AK1" s="3"/>
      <c r="AL1" s="3"/>
      <c r="AM1" s="3"/>
      <c r="AN1" s="3"/>
      <c r="AO1" s="3"/>
      <c r="AP1" s="3"/>
      <c r="AQ1" s="3"/>
      <c r="AR1" s="3"/>
      <c r="AS1" s="3"/>
      <c r="AT1" s="3"/>
      <c r="AU1" s="3"/>
      <c r="AV1" s="3"/>
      <c r="AW1" s="3"/>
      <c r="AX1" s="3"/>
      <c r="AY1" s="3"/>
      <c r="AZ1" s="3"/>
      <c r="BA1" s="3"/>
      <c r="BB1" s="3"/>
      <c r="BC1" s="3"/>
    </row>
    <row r="2" ht="9.0" customHeight="1">
      <c r="A2" s="2"/>
      <c r="B2" s="325" t="s">
        <v>0</v>
      </c>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326" t="s">
        <v>1</v>
      </c>
      <c r="AU2" s="5"/>
      <c r="AV2" s="7"/>
      <c r="AW2" s="326" t="s">
        <v>2</v>
      </c>
      <c r="AX2" s="5"/>
      <c r="AY2" s="7"/>
      <c r="AZ2" s="326" t="s">
        <v>3</v>
      </c>
      <c r="BA2" s="5"/>
      <c r="BB2" s="7"/>
      <c r="BC2" s="3"/>
    </row>
    <row r="3" ht="9.0" customHeight="1">
      <c r="A3" s="8"/>
      <c r="B3" s="9"/>
      <c r="AT3" s="10"/>
      <c r="AU3" s="11"/>
      <c r="AV3" s="12"/>
      <c r="AW3" s="10"/>
      <c r="AX3" s="11"/>
      <c r="AY3" s="12"/>
      <c r="AZ3" s="10"/>
      <c r="BA3" s="11"/>
      <c r="BB3" s="12"/>
      <c r="BC3" s="3"/>
    </row>
    <row r="4" ht="9.0" customHeight="1">
      <c r="A4" s="8"/>
      <c r="B4" s="9"/>
      <c r="AT4" s="13"/>
      <c r="AU4" s="5"/>
      <c r="AV4" s="7"/>
      <c r="AW4" s="326" t="s">
        <v>4</v>
      </c>
      <c r="AX4" s="5"/>
      <c r="AY4" s="7"/>
      <c r="AZ4" s="327" t="s">
        <v>5</v>
      </c>
      <c r="BA4" s="5"/>
      <c r="BB4" s="7"/>
      <c r="BC4" s="3"/>
    </row>
    <row r="5" ht="9.0" customHeight="1">
      <c r="A5" s="8"/>
      <c r="B5" s="9"/>
      <c r="AT5" s="9"/>
      <c r="AV5" s="15"/>
      <c r="AW5" s="9"/>
      <c r="AY5" s="15"/>
      <c r="AZ5" s="9"/>
      <c r="BB5" s="15"/>
      <c r="BC5" s="3"/>
    </row>
    <row r="6" ht="9.0" customHeight="1">
      <c r="A6" s="2"/>
      <c r="B6" s="9"/>
      <c r="AT6" s="10"/>
      <c r="AU6" s="11"/>
      <c r="AV6" s="12"/>
      <c r="AW6" s="10"/>
      <c r="AX6" s="11"/>
      <c r="AY6" s="12"/>
      <c r="AZ6" s="10"/>
      <c r="BA6" s="11"/>
      <c r="BB6" s="12"/>
      <c r="BC6" s="2"/>
    </row>
    <row r="7" ht="13.5" customHeight="1">
      <c r="A7" s="16"/>
      <c r="B7" s="17"/>
      <c r="C7" s="17"/>
      <c r="D7" s="17"/>
      <c r="E7" s="17"/>
      <c r="F7" s="17"/>
      <c r="G7" s="17"/>
      <c r="H7" s="17"/>
      <c r="I7" s="17"/>
      <c r="J7" s="17"/>
      <c r="K7" s="17"/>
      <c r="L7" s="17"/>
      <c r="M7" s="17"/>
      <c r="N7" s="17"/>
      <c r="O7" s="18"/>
      <c r="P7" s="18"/>
      <c r="Q7" s="19"/>
      <c r="R7" s="18"/>
      <c r="S7" s="18"/>
      <c r="T7" s="18"/>
      <c r="U7" s="18"/>
      <c r="V7" s="18"/>
      <c r="W7" s="18"/>
      <c r="X7" s="18"/>
      <c r="Y7" s="18"/>
      <c r="Z7" s="18"/>
      <c r="AA7" s="18"/>
      <c r="AB7" s="18"/>
      <c r="AC7" s="18"/>
      <c r="AD7" s="18"/>
      <c r="AE7" s="18"/>
      <c r="AF7" s="18"/>
      <c r="AG7" s="18"/>
      <c r="AH7" s="18"/>
      <c r="AI7" s="18"/>
      <c r="AJ7" s="18"/>
      <c r="AK7" s="18"/>
      <c r="AL7" s="18"/>
      <c r="AM7" s="18"/>
      <c r="AN7" s="18"/>
      <c r="AO7" s="18"/>
      <c r="AP7" s="20"/>
      <c r="AQ7" s="17"/>
      <c r="AR7" s="17"/>
      <c r="AS7" s="17"/>
      <c r="AT7" s="17"/>
      <c r="AU7" s="17"/>
      <c r="AV7" s="17"/>
      <c r="AW7" s="17"/>
      <c r="AX7" s="17"/>
      <c r="AY7" s="17"/>
      <c r="AZ7" s="17"/>
      <c r="BA7" s="17"/>
      <c r="BB7" s="17"/>
      <c r="BC7" s="21"/>
    </row>
    <row r="8" ht="13.5" customHeight="1">
      <c r="A8" s="22"/>
      <c r="B8" s="328" t="s">
        <v>6</v>
      </c>
      <c r="C8" s="24"/>
      <c r="D8" s="24"/>
      <c r="E8" s="24"/>
      <c r="F8" s="24"/>
      <c r="G8" s="24"/>
      <c r="H8" s="24"/>
      <c r="I8" s="24"/>
      <c r="J8" s="24"/>
      <c r="K8" s="24"/>
      <c r="L8" s="24"/>
      <c r="M8" s="24"/>
      <c r="N8" s="24"/>
      <c r="O8" s="24"/>
      <c r="P8" s="25"/>
      <c r="Q8" s="26"/>
      <c r="R8" s="328" t="s">
        <v>7</v>
      </c>
      <c r="S8" s="24"/>
      <c r="T8" s="24"/>
      <c r="U8" s="24"/>
      <c r="V8" s="24"/>
      <c r="W8" s="24"/>
      <c r="X8" s="24"/>
      <c r="Y8" s="24"/>
      <c r="Z8" s="24"/>
      <c r="AA8" s="24"/>
      <c r="AB8" s="24"/>
      <c r="AC8" s="24"/>
      <c r="AD8" s="24"/>
      <c r="AE8" s="24"/>
      <c r="AF8" s="24"/>
      <c r="AG8" s="24"/>
      <c r="AH8" s="24"/>
      <c r="AI8" s="24"/>
      <c r="AJ8" s="24"/>
      <c r="AK8" s="24"/>
      <c r="AL8" s="24"/>
      <c r="AM8" s="24"/>
      <c r="AN8" s="24"/>
      <c r="AO8" s="25"/>
      <c r="AP8" s="27"/>
      <c r="AQ8" s="328" t="s">
        <v>8</v>
      </c>
      <c r="AR8" s="24"/>
      <c r="AS8" s="24"/>
      <c r="AT8" s="24"/>
      <c r="AU8" s="24"/>
      <c r="AV8" s="24"/>
      <c r="AW8" s="24"/>
      <c r="AX8" s="24"/>
      <c r="AY8" s="24"/>
      <c r="AZ8" s="24"/>
      <c r="BA8" s="24"/>
      <c r="BB8" s="25"/>
      <c r="BC8" s="28"/>
    </row>
    <row r="9" ht="13.5" customHeight="1">
      <c r="A9" s="29"/>
      <c r="B9" s="30"/>
      <c r="C9" s="31"/>
      <c r="D9" s="31"/>
      <c r="E9" s="31"/>
      <c r="F9" s="31"/>
      <c r="G9" s="31"/>
      <c r="H9" s="31"/>
      <c r="I9" s="31"/>
      <c r="J9" s="31"/>
      <c r="K9" s="31"/>
      <c r="L9" s="31"/>
      <c r="M9" s="31"/>
      <c r="N9" s="31"/>
      <c r="O9" s="31"/>
      <c r="P9" s="32"/>
      <c r="Q9" s="26"/>
      <c r="R9" s="30"/>
      <c r="S9" s="31"/>
      <c r="T9" s="31"/>
      <c r="U9" s="31"/>
      <c r="V9" s="31"/>
      <c r="W9" s="31"/>
      <c r="X9" s="31"/>
      <c r="Y9" s="31"/>
      <c r="Z9" s="31"/>
      <c r="AA9" s="31"/>
      <c r="AB9" s="31"/>
      <c r="AC9" s="31"/>
      <c r="AD9" s="31"/>
      <c r="AE9" s="31"/>
      <c r="AF9" s="31"/>
      <c r="AG9" s="31"/>
      <c r="AH9" s="31"/>
      <c r="AI9" s="31"/>
      <c r="AJ9" s="31"/>
      <c r="AK9" s="31"/>
      <c r="AL9" s="31"/>
      <c r="AM9" s="31"/>
      <c r="AN9" s="31"/>
      <c r="AO9" s="32"/>
      <c r="AP9" s="27"/>
      <c r="AQ9" s="30"/>
      <c r="AR9" s="31"/>
      <c r="AS9" s="31"/>
      <c r="AT9" s="31"/>
      <c r="AU9" s="31"/>
      <c r="AV9" s="31"/>
      <c r="AW9" s="31"/>
      <c r="AX9" s="31"/>
      <c r="AY9" s="31"/>
      <c r="AZ9" s="31"/>
      <c r="BA9" s="31"/>
      <c r="BB9" s="32"/>
      <c r="BC9" s="28"/>
    </row>
    <row r="10" ht="13.5" customHeight="1">
      <c r="A10" s="22"/>
      <c r="B10" s="329" t="s">
        <v>9</v>
      </c>
      <c r="C10" s="34"/>
      <c r="D10" s="35"/>
      <c r="E10" s="36"/>
      <c r="F10" s="34"/>
      <c r="G10" s="34"/>
      <c r="H10" s="34"/>
      <c r="I10" s="34"/>
      <c r="J10" s="34"/>
      <c r="K10" s="34"/>
      <c r="L10" s="34"/>
      <c r="M10" s="34"/>
      <c r="N10" s="34"/>
      <c r="O10" s="34"/>
      <c r="P10" s="35"/>
      <c r="Q10" s="26"/>
      <c r="R10" s="330" t="s">
        <v>10</v>
      </c>
      <c r="S10" s="24"/>
      <c r="T10" s="24"/>
      <c r="U10" s="25"/>
      <c r="V10" s="38"/>
      <c r="W10" s="25"/>
      <c r="X10" s="331">
        <f>Int(DIVIDE(V10,2))</f>
        <v>0</v>
      </c>
      <c r="Y10" s="35"/>
      <c r="Z10" s="332" t="s">
        <v>11</v>
      </c>
      <c r="AA10" s="24"/>
      <c r="AB10" s="24"/>
      <c r="AC10" s="25"/>
      <c r="AD10" s="38"/>
      <c r="AE10" s="25"/>
      <c r="AF10" s="331">
        <f>Int(DIVIDE(AD10,2))</f>
        <v>0</v>
      </c>
      <c r="AG10" s="35"/>
      <c r="AH10" s="332" t="s">
        <v>12</v>
      </c>
      <c r="AI10" s="24"/>
      <c r="AJ10" s="24"/>
      <c r="AK10" s="25"/>
      <c r="AL10" s="38"/>
      <c r="AM10" s="25"/>
      <c r="AN10" s="331">
        <f>Int(DIVIDE(AL10,2))</f>
        <v>0</v>
      </c>
      <c r="AO10" s="35"/>
      <c r="AP10" s="28"/>
      <c r="AQ10" s="290"/>
      <c r="BB10" s="15"/>
      <c r="BC10" s="3"/>
    </row>
    <row r="11" ht="13.5" customHeight="1">
      <c r="A11" s="22"/>
      <c r="B11" s="329" t="s">
        <v>13</v>
      </c>
      <c r="C11" s="34"/>
      <c r="D11" s="35"/>
      <c r="E11" s="42"/>
      <c r="F11" s="34"/>
      <c r="G11" s="34"/>
      <c r="H11" s="34"/>
      <c r="I11" s="34"/>
      <c r="J11" s="34"/>
      <c r="K11" s="34"/>
      <c r="L11" s="34"/>
      <c r="M11" s="34"/>
      <c r="N11" s="34"/>
      <c r="O11" s="34"/>
      <c r="P11" s="35"/>
      <c r="Q11" s="26"/>
      <c r="R11" s="30"/>
      <c r="S11" s="31"/>
      <c r="T11" s="31"/>
      <c r="U11" s="32"/>
      <c r="V11" s="30"/>
      <c r="W11" s="32"/>
      <c r="X11" s="333">
        <f>int(DIVIDE(V10,5))</f>
        <v>0</v>
      </c>
      <c r="Y11" s="35"/>
      <c r="Z11" s="30"/>
      <c r="AA11" s="31"/>
      <c r="AB11" s="31"/>
      <c r="AC11" s="32"/>
      <c r="AD11" s="30"/>
      <c r="AE11" s="32"/>
      <c r="AF11" s="333">
        <f>int(DIVIDE(AD10,5))</f>
        <v>0</v>
      </c>
      <c r="AG11" s="35"/>
      <c r="AH11" s="30"/>
      <c r="AI11" s="31"/>
      <c r="AJ11" s="31"/>
      <c r="AK11" s="32"/>
      <c r="AL11" s="30"/>
      <c r="AM11" s="32"/>
      <c r="AN11" s="333">
        <f>int(DIVIDE(AL10,5))</f>
        <v>0</v>
      </c>
      <c r="AO11" s="35"/>
      <c r="AP11" s="28"/>
      <c r="AQ11" s="9"/>
      <c r="BB11" s="15"/>
      <c r="BC11" s="2"/>
    </row>
    <row r="12" ht="13.5" customHeight="1">
      <c r="A12" s="22"/>
      <c r="B12" s="334" t="s">
        <v>14</v>
      </c>
      <c r="C12" s="34"/>
      <c r="D12" s="35"/>
      <c r="E12" s="45" t="s">
        <v>164</v>
      </c>
      <c r="J12" s="335" t="s">
        <v>16</v>
      </c>
      <c r="K12" s="35"/>
      <c r="L12" s="36"/>
      <c r="M12" s="34"/>
      <c r="N12" s="34"/>
      <c r="O12" s="34"/>
      <c r="P12" s="35"/>
      <c r="Q12" s="26"/>
      <c r="R12" s="330" t="s">
        <v>17</v>
      </c>
      <c r="S12" s="24"/>
      <c r="T12" s="24"/>
      <c r="U12" s="25"/>
      <c r="V12" s="38"/>
      <c r="W12" s="25"/>
      <c r="X12" s="331">
        <f>Int(DIVIDE(V12,2))</f>
        <v>0</v>
      </c>
      <c r="Y12" s="35"/>
      <c r="Z12" s="330" t="s">
        <v>18</v>
      </c>
      <c r="AA12" s="24"/>
      <c r="AB12" s="24"/>
      <c r="AC12" s="25"/>
      <c r="AD12" s="38"/>
      <c r="AE12" s="25"/>
      <c r="AF12" s="331">
        <f>Int(DIVIDE(AD12,2))</f>
        <v>0</v>
      </c>
      <c r="AG12" s="35"/>
      <c r="AH12" s="332" t="s">
        <v>19</v>
      </c>
      <c r="AI12" s="24"/>
      <c r="AJ12" s="24"/>
      <c r="AK12" s="25"/>
      <c r="AL12" s="38"/>
      <c r="AM12" s="25"/>
      <c r="AN12" s="331">
        <f>Int(DIVIDE(AL12,2))</f>
        <v>0</v>
      </c>
      <c r="AO12" s="35"/>
      <c r="AP12" s="28"/>
      <c r="AQ12" s="9"/>
      <c r="BB12" s="15"/>
      <c r="BC12" s="3"/>
    </row>
    <row r="13" ht="13.5" customHeight="1">
      <c r="A13" s="22"/>
      <c r="B13" s="329" t="s">
        <v>20</v>
      </c>
      <c r="C13" s="34"/>
      <c r="D13" s="35"/>
      <c r="E13" s="47"/>
      <c r="F13" s="34"/>
      <c r="G13" s="34"/>
      <c r="H13" s="34"/>
      <c r="I13" s="35"/>
      <c r="J13" s="336" t="s">
        <v>21</v>
      </c>
      <c r="K13" s="35"/>
      <c r="L13" s="36"/>
      <c r="M13" s="34"/>
      <c r="N13" s="34"/>
      <c r="O13" s="34"/>
      <c r="P13" s="35"/>
      <c r="Q13" s="26"/>
      <c r="R13" s="30"/>
      <c r="S13" s="31"/>
      <c r="T13" s="31"/>
      <c r="U13" s="32"/>
      <c r="V13" s="30"/>
      <c r="W13" s="32"/>
      <c r="X13" s="333">
        <f>int(DIVIDE(V12,5))</f>
        <v>0</v>
      </c>
      <c r="Y13" s="35"/>
      <c r="Z13" s="30"/>
      <c r="AA13" s="31"/>
      <c r="AB13" s="31"/>
      <c r="AC13" s="32"/>
      <c r="AD13" s="30"/>
      <c r="AE13" s="32"/>
      <c r="AF13" s="333">
        <f>int(DIVIDE(AD12,5))</f>
        <v>0</v>
      </c>
      <c r="AG13" s="35"/>
      <c r="AH13" s="30"/>
      <c r="AI13" s="31"/>
      <c r="AJ13" s="31"/>
      <c r="AK13" s="32"/>
      <c r="AL13" s="30"/>
      <c r="AM13" s="32"/>
      <c r="AN13" s="333">
        <f>int(DIVIDE(AL12,5))</f>
        <v>0</v>
      </c>
      <c r="AO13" s="35"/>
      <c r="AP13" s="28"/>
      <c r="AQ13" s="9"/>
      <c r="BB13" s="15"/>
      <c r="BC13" s="3"/>
    </row>
    <row r="14" ht="13.5" customHeight="1">
      <c r="A14" s="22"/>
      <c r="B14" s="329" t="s">
        <v>22</v>
      </c>
      <c r="C14" s="34"/>
      <c r="D14" s="35"/>
      <c r="E14" s="47"/>
      <c r="F14" s="34"/>
      <c r="G14" s="34"/>
      <c r="H14" s="34"/>
      <c r="I14" s="35"/>
      <c r="J14" s="336" t="s">
        <v>23</v>
      </c>
      <c r="K14" s="35"/>
      <c r="L14" s="36"/>
      <c r="M14" s="34"/>
      <c r="N14" s="34"/>
      <c r="O14" s="34"/>
      <c r="P14" s="35"/>
      <c r="Q14" s="26"/>
      <c r="R14" s="330" t="s">
        <v>24</v>
      </c>
      <c r="S14" s="24"/>
      <c r="T14" s="24"/>
      <c r="U14" s="25"/>
      <c r="V14" s="38"/>
      <c r="W14" s="25"/>
      <c r="X14" s="337">
        <f>Int(DIVIDE(V14,2))</f>
        <v>0</v>
      </c>
      <c r="Y14" s="35"/>
      <c r="Z14" s="332" t="s">
        <v>25</v>
      </c>
      <c r="AA14" s="24"/>
      <c r="AB14" s="24"/>
      <c r="AC14" s="25"/>
      <c r="AD14" s="38"/>
      <c r="AE14" s="25"/>
      <c r="AF14" s="337">
        <f>Int(DIVIDE(AD14,2))</f>
        <v>0</v>
      </c>
      <c r="AG14" s="35"/>
      <c r="AH14" s="330" t="s">
        <v>26</v>
      </c>
      <c r="AI14" s="24"/>
      <c r="AJ14" s="24"/>
      <c r="AK14" s="25"/>
      <c r="AL14" s="38"/>
      <c r="AM14" s="25"/>
      <c r="AN14" s="337">
        <f>Int(DIVIDE(AL14,2))</f>
        <v>0</v>
      </c>
      <c r="AO14" s="35"/>
      <c r="AP14" s="28"/>
      <c r="AQ14" s="9"/>
      <c r="BB14" s="15"/>
      <c r="BC14" s="3"/>
    </row>
    <row r="15" ht="13.5" customHeight="1">
      <c r="A15" s="22"/>
      <c r="B15" s="329" t="s">
        <v>27</v>
      </c>
      <c r="C15" s="34"/>
      <c r="D15" s="35"/>
      <c r="E15" s="47"/>
      <c r="F15" s="34"/>
      <c r="G15" s="34"/>
      <c r="H15" s="34"/>
      <c r="I15" s="35"/>
      <c r="J15" s="336" t="s">
        <v>28</v>
      </c>
      <c r="K15" s="35"/>
      <c r="L15" s="36"/>
      <c r="M15" s="34"/>
      <c r="N15" s="34"/>
      <c r="O15" s="34"/>
      <c r="P15" s="35"/>
      <c r="Q15" s="26"/>
      <c r="R15" s="30"/>
      <c r="S15" s="31"/>
      <c r="T15" s="31"/>
      <c r="U15" s="32"/>
      <c r="V15" s="30"/>
      <c r="W15" s="32"/>
      <c r="X15" s="338">
        <f>int(DIVIDE(V14,5))</f>
        <v>0</v>
      </c>
      <c r="Y15" s="35"/>
      <c r="Z15" s="30"/>
      <c r="AA15" s="31"/>
      <c r="AB15" s="31"/>
      <c r="AC15" s="32"/>
      <c r="AD15" s="30"/>
      <c r="AE15" s="32"/>
      <c r="AF15" s="338">
        <f>int(DIVIDE(AD14,5))</f>
        <v>0</v>
      </c>
      <c r="AG15" s="35"/>
      <c r="AH15" s="30"/>
      <c r="AI15" s="31"/>
      <c r="AJ15" s="31"/>
      <c r="AK15" s="32"/>
      <c r="AL15" s="30"/>
      <c r="AM15" s="32"/>
      <c r="AN15" s="338">
        <f>int(DIVIDE(AL14,5))</f>
        <v>0</v>
      </c>
      <c r="AO15" s="35"/>
      <c r="AP15" s="28"/>
      <c r="AQ15" s="9"/>
      <c r="BB15" s="15"/>
      <c r="BC15" s="3"/>
    </row>
    <row r="16" ht="13.5" customHeight="1">
      <c r="A16" s="2"/>
      <c r="B16" s="51"/>
      <c r="C16" s="51"/>
      <c r="D16" s="51"/>
      <c r="E16" s="51"/>
      <c r="F16" s="51"/>
      <c r="G16" s="51"/>
      <c r="H16" s="51"/>
      <c r="I16" s="51"/>
      <c r="J16" s="51"/>
      <c r="K16" s="51"/>
      <c r="L16" s="51"/>
      <c r="M16" s="51"/>
      <c r="N16" s="51"/>
      <c r="O16" s="51"/>
      <c r="P16" s="51"/>
      <c r="Q16" s="52"/>
      <c r="R16" s="51"/>
      <c r="S16" s="51"/>
      <c r="T16" s="51"/>
      <c r="U16" s="51"/>
      <c r="V16" s="51"/>
      <c r="W16" s="51"/>
      <c r="X16" s="51"/>
      <c r="Y16" s="51"/>
      <c r="Z16" s="51"/>
      <c r="AA16" s="51"/>
      <c r="AB16" s="51"/>
      <c r="AC16" s="53"/>
      <c r="AD16" s="53"/>
      <c r="AE16" s="53"/>
      <c r="AF16" s="53"/>
      <c r="AG16" s="53"/>
      <c r="AH16" s="53"/>
      <c r="AI16" s="53"/>
      <c r="AJ16" s="53"/>
      <c r="AK16" s="53"/>
      <c r="AL16" s="53"/>
      <c r="AM16" s="53"/>
      <c r="AN16" s="53"/>
      <c r="AO16" s="53"/>
      <c r="AP16" s="3"/>
      <c r="AQ16" s="9"/>
      <c r="BB16" s="15"/>
      <c r="BC16" s="3"/>
    </row>
    <row r="17" ht="13.5" customHeight="1">
      <c r="A17" s="22"/>
      <c r="B17" s="339" t="s">
        <v>29</v>
      </c>
      <c r="C17" s="310"/>
      <c r="D17" s="310"/>
      <c r="E17" s="310"/>
      <c r="F17" s="310"/>
      <c r="G17" s="310"/>
      <c r="H17" s="310"/>
      <c r="I17" s="310"/>
      <c r="J17" s="310"/>
      <c r="K17" s="310"/>
      <c r="L17" s="310"/>
      <c r="M17" s="310"/>
      <c r="N17" s="311"/>
      <c r="O17" s="340" t="s">
        <v>30</v>
      </c>
      <c r="P17" s="310"/>
      <c r="Q17" s="310"/>
      <c r="R17" s="310"/>
      <c r="S17" s="311"/>
      <c r="T17" s="341">
        <f>IF(E12="간호사", AL12*4,
IF(E12="갱 보스", AL12*2+AD12*2,
IF(E12="건달", AL12*2+MAX(V10*2,AD10*2),
IF(E12="건 몰", AL12*2+AD12*2,
IF(E12="건축가", AL12*4,
IF(E12="경관", AL12*2+MAX(V10*2,AD10*2),
IF(E12="고고학자", AL12*4,
IF(E12="곡예사", AL12*2+AD10*2,
IF(E12="골동품상", AL12*4,
IF(E12="골동품 연구가", AL12*4,
IF(E12="과학자", AL12*4,
IF(E12="광부", AL12*2+MAX(V10*2,AD10*2),
IF(E12="광신자", AL12*2+MAX(AD12*2,AL10*2),
IF(E12="교수", AL12*4,
IF(E12="교주", AL12*2+AD12*2,
IF(E12="기술자", AL12*4,
IF(E12="기자", AL12*4,
IF(E12="깡패", AL12*2+V10*2,
IF(E12="노조 활동가", AL12*4,
IF(E12="농부", AL12*2+MAX(V10*2,AD10*2),
IF(E12="단독 범죄자", AL12*2+MAX(AD10*2,AD12*2),
IF(E12="대학생", AL12*4,
IF(E12="도둑", AL12*2+AD10*2,
IF(E12="도박사", AL12*2+MAX(AD10*2,AD12*2),
IF(E12="등반가", AL12*2+MAX(V10*2,AD10*2),
IF(E12="디자이너", AL12*4,
IF(E12="디프로그래머", AL12*4,
IF(E12="딜레탕트", AL12*2+AD12*2,
IF(E12="떠돌이", AL12*2+MAX(AD10*2,AD12*2),
IF(E12="리포터", AL12*4,
IF(E12="매춘부", AL12*2+AD12*2,
IF(E12="맹수사냥꾼", AL12*2+MAX(V10*2,AD10*2),
IF(E12="미술가", AL12*2+MAX(AD10*2,AL10*2),
IF(E12="밀수꾼", AL12*2+MAX(AD10*2,AD12*2),
IF(E12="밀주업자", AL12*2+V10*2,
IF(E12="바텐더", AL12*2+AD12*2,
IF(E12="박물관 큐레이터", AL12*4,
IF(E12="배우", AL12*2+AD12*2,
IF(E12="벌목꾼", AL12*2+MAX(V10*2,AD10*2),
IF(E12="법의학자", AL12*4,
IF(E12="변호사", AL12*4,
IF(E12="병사", AL12*2+MAX(V10*2,AD10*2),
IF(E12="병원 보조원", AL12*2+V10*2,
IF(E12="복서/레슬러", AL12*2+V10*2,
IF(E12="부랑자", AL12*2+MAX(AD12*2,V10*2,AD10*2),
IF(E12="부족민", AL12*2+MAX(V10*2,AD10*2),
IF(E12="부하 조직원", AL12*2+MAX(V10*2,AD10*2),
IF(E12="비서", AL12*2+MAX(AD10*2,AD12*2),
IF(E12="비숙련공", AL12*2+MAX(V10*2,AD10*2),
IF(E12="비행사", AL12*4,
IF(E12="사립탐정", AL12*2+MAX(V10*2,AD10*2),
IF(E12="사무원", AL12*4,
IF(E12="사서", AL12*4,
IF(E12="사육사", AL12*4,
IF(E12="사진가", AL12*4,
IF(E12="사진기자", AL12*4,
IF(E12="서적상", AL12*4,
IF(E12="선교사", AL12*2+AD12*2,
IF(E12="선원", AL12*2+MAX(V10*2,AD10*2),
IF(E12="선출직 공무원", AL12*2+AD12*2,
IF(E12="성직자", AL12*4,
IF(E12="소방관", AL12*2+MAX(V10*2,AD10*2),
IF(E12="수병", AL12*2+MAX(V10*2,AD10*2),
IF(E12="스턴트맨", AL12*2+MAX(V10*2,AD10*2),
IF(E12="스턴트우먼", AL12*2+MAX(V10*2,AD10*2),
IF(E12="스파이", AL12*2+MAX(AD10*2,AD12*2),
IF(E12="신비학자", AL12*4,
IF(E12="신사/숙녀", AL12*2+AD12*2,
IF(E12="심령학자", AL12*4,
IF(E12="심리학자", AL12*4,
IF(E12="약사", AL12*4,
IF(E12="엔지니어", AL12*4,
IF(E12="연구실 조수", AL12*4,
IF(E12="연구자", AL12*4,
IF(E12="연방 요원", AL12*4,
IF(E12="연예인", AL12*2+AD12*2,
IF(E12="연주자", AL12*2+MAX(AD10*2,AD12*2),
IF(E12="외신 기자", AL12*4,
IF(E12="운동선수", AL12*2+MAX(V10*2,AD10*2),
IF(E12="운전사", AL12*2+MAX(V10*2,AD10*2),
IF(E12="웨이터", AL12*2+MAX(AD10*2,AD12*2),
IF(E12="웨이트리스", AL12*2+MAX(AD10*2,AD12*2),
IF(E12="위조업자", AL12*4,
IF(E12="은행강도", AL12*2+MAX(V10*2,AD10*2),
IF(E12="의사", AL12*4,
IF(E12="인턴", AL12*4,
IF(E12="자객", AL12*2+MAX(V10*2,AD10*2),
IF(E12="자연 애호가", ,
IF(E12="작가", AL12*4,
IF(E12="잠수부", AL12*2+AD10*2,
IF(E12="장교", AL12*2+MAX(V10*2,AD10*2),
IF(E12="장물아비", AL12*2+AD12*2,
IF(E12="장의사", AL12*4,
IF(E12="장인", AL12*2+AD10*2,
IF(E12="전속 기사", AL12*2+AD10*2,
IF(E12="점장", AL12*2+MAX(AD10*2,AD12*2),
IF(E12="정신감정사", AL12*4,
IF(E12="정신과 의사", AL12*4,
IF(E12="정신병원 직원", AL12*2+MAX(V10*2,AD10*2),
IF(E12="정신분석가", AL12*4,
IF(E12="조련사", AL12*2+MAX(AD12*2,AL10*2),
IF(E12="조종사", AL12*2+AD10*2,
IF(E12="중상급 관리자", AL12*4,
IF(E12="집사", AL12*4,
IF(E12="카우걸/카우보이", AL12*2+MAX(V10*2,AD10*2),
IF(E12="컴퓨터 테크니션", AL12*4,
IF(E12="탐광인", AL12*2+MAX(V10*2,AD10*2),
IF(E12="탐험가", AL12*2+MAX(AD12*2,V10*2,AD10*2),
IF(E12="택시 운전사", AL12*2+AD10*2,
IF(E12="판매원", AL12*2+AD12*2,
IF(E12="판사", AL12*4,
IF(E12="편집자", AL12*4,
IF(E12="폭력배", AL12*2+V10*2,
IF(E12="프로그래머", AL12*4,
IF(E12="하녀", AL12*4,
IF(E12="하인", AL12*4,
IF(E12="해커", AL12*4,
IF(E12="현상금 사냥꾼", AL12*2+MAX(V10*2,AD10*2),
IF(E12="형사", AL12*2+MAX(V10*2,AD10*2),
IF(E12="회계사", AL12*4,
IF(E12="ETC", AL12*4,
IF(E12="회사 탐정", AL12*2+MAX(V10*2,AD10*2),"0"))))))))))))))))))))))))))))))))))))))))))))))))))))))))))))))))))))))))))))))))))))))))))))))))))))))))))))))))))))))))))</f>
        <v>0</v>
      </c>
      <c r="U17" s="310"/>
      <c r="V17" s="310"/>
      <c r="W17" s="311"/>
      <c r="X17" s="340" t="s">
        <v>31</v>
      </c>
      <c r="Y17" s="310"/>
      <c r="Z17" s="310"/>
      <c r="AA17" s="310"/>
      <c r="AB17" s="311"/>
      <c r="AC17" s="341">
        <f>(AD14*2)</f>
        <v>0</v>
      </c>
      <c r="AD17" s="310"/>
      <c r="AE17" s="310"/>
      <c r="AF17" s="310"/>
      <c r="AG17" s="311"/>
      <c r="AH17" s="340" t="s">
        <v>32</v>
      </c>
      <c r="AI17" s="310"/>
      <c r="AJ17" s="310"/>
      <c r="AK17" s="311"/>
      <c r="AL17" s="341">
        <f>(SUM(T17,AC17))-(SUM(H19:H36,R19:R36,AB19:AB36,AL19:AL36))+AY61+AB19</f>
        <v>0</v>
      </c>
      <c r="AM17" s="310"/>
      <c r="AN17" s="310"/>
      <c r="AO17" s="311"/>
      <c r="AP17" s="28"/>
      <c r="AQ17" s="9"/>
      <c r="BB17" s="15"/>
      <c r="BC17" s="3"/>
    </row>
    <row r="18" ht="13.5" customHeight="1">
      <c r="A18" s="22"/>
      <c r="B18" s="306"/>
      <c r="C18" s="304"/>
      <c r="D18" s="304"/>
      <c r="E18" s="304"/>
      <c r="F18" s="304"/>
      <c r="G18" s="304"/>
      <c r="H18" s="304"/>
      <c r="I18" s="304"/>
      <c r="J18" s="304"/>
      <c r="K18" s="304"/>
      <c r="L18" s="304"/>
      <c r="M18" s="304"/>
      <c r="N18" s="305"/>
      <c r="O18" s="306"/>
      <c r="P18" s="304"/>
      <c r="Q18" s="304"/>
      <c r="R18" s="304"/>
      <c r="S18" s="305"/>
      <c r="T18" s="306"/>
      <c r="U18" s="304"/>
      <c r="V18" s="304"/>
      <c r="W18" s="305"/>
      <c r="X18" s="306"/>
      <c r="Y18" s="304"/>
      <c r="Z18" s="304"/>
      <c r="AA18" s="304"/>
      <c r="AB18" s="305"/>
      <c r="AC18" s="306"/>
      <c r="AD18" s="304"/>
      <c r="AE18" s="304"/>
      <c r="AF18" s="304"/>
      <c r="AG18" s="305"/>
      <c r="AH18" s="306"/>
      <c r="AI18" s="304"/>
      <c r="AJ18" s="304"/>
      <c r="AK18" s="305"/>
      <c r="AL18" s="306"/>
      <c r="AM18" s="304"/>
      <c r="AN18" s="304"/>
      <c r="AO18" s="305"/>
      <c r="AP18" s="60"/>
      <c r="AQ18" s="9"/>
      <c r="BB18" s="15"/>
      <c r="BC18" s="3"/>
    </row>
    <row r="19" ht="16.5" customHeight="1">
      <c r="A19" s="22"/>
      <c r="B19" s="342" t="s">
        <v>33</v>
      </c>
      <c r="C19" s="343" t="s">
        <v>34</v>
      </c>
      <c r="G19" s="343">
        <v>25.0</v>
      </c>
      <c r="H19" s="344"/>
      <c r="I19" s="345">
        <f t="shared" ref="I19:I36" si="1">SUM(G19,H19)</f>
        <v>25</v>
      </c>
      <c r="J19" s="346">
        <f>int(DIVIDE(I19,2))</f>
        <v>12</v>
      </c>
      <c r="K19" s="347">
        <f t="shared" ref="K19:K36" si="2">int(DIVIDE(I19,5))</f>
        <v>5</v>
      </c>
      <c r="L19" s="342" t="s">
        <v>33</v>
      </c>
      <c r="M19" s="343" t="s">
        <v>35</v>
      </c>
      <c r="Q19" s="343">
        <v>0.0</v>
      </c>
      <c r="R19" s="348"/>
      <c r="S19" s="345">
        <f t="shared" ref="S19:S36" si="3">SUM(Q19,R19)</f>
        <v>0</v>
      </c>
      <c r="T19" s="349">
        <f t="shared" ref="T19:T36" si="4">Int(DIVIDE(S19,2))</f>
        <v>0</v>
      </c>
      <c r="U19" s="350">
        <f t="shared" ref="U19:U36" si="5">int(DIVIDE(S19,5))</f>
        <v>0</v>
      </c>
      <c r="V19" s="342" t="s">
        <v>33</v>
      </c>
      <c r="W19" s="343" t="s">
        <v>36</v>
      </c>
      <c r="AA19" s="343">
        <v>0.0</v>
      </c>
      <c r="AB19" s="351"/>
      <c r="AC19" s="345">
        <f t="shared" ref="AC19:AC36" si="6">SUM(AA19,AB19)</f>
        <v>0</v>
      </c>
      <c r="AD19" s="349">
        <f t="shared" ref="AD19:AD36" si="7">Int(DIVIDE(AC19,2))</f>
        <v>0</v>
      </c>
      <c r="AE19" s="350">
        <f t="shared" ref="AE19:AE36" si="8">int(DIVIDE(AC19,5))</f>
        <v>0</v>
      </c>
      <c r="AF19" s="342" t="s">
        <v>33</v>
      </c>
      <c r="AG19" s="343" t="s">
        <v>37</v>
      </c>
      <c r="AK19" s="352">
        <v>1.0</v>
      </c>
      <c r="AL19" s="353"/>
      <c r="AM19" s="354">
        <f t="shared" ref="AM19:AM36" si="9">SUM(AK19,AL19)</f>
        <v>1</v>
      </c>
      <c r="AN19" s="346">
        <f t="shared" ref="AN19:AN36" si="10">Int(DIVIDE(AM19,2))</f>
        <v>0</v>
      </c>
      <c r="AO19" s="355">
        <f t="shared" ref="AO19:AO36" si="11">int(DIVIDE(AM19,5))</f>
        <v>0</v>
      </c>
      <c r="AP19" s="60"/>
      <c r="AQ19" s="10"/>
      <c r="AR19" s="11"/>
      <c r="AS19" s="11"/>
      <c r="AT19" s="11"/>
      <c r="AU19" s="11"/>
      <c r="AV19" s="11"/>
      <c r="AW19" s="11"/>
      <c r="AX19" s="11"/>
      <c r="AY19" s="11"/>
      <c r="AZ19" s="11"/>
      <c r="BA19" s="11"/>
      <c r="BB19" s="12"/>
      <c r="BC19" s="3"/>
    </row>
    <row r="20" ht="16.5" customHeight="1">
      <c r="A20" s="22"/>
      <c r="B20" s="342" t="s">
        <v>33</v>
      </c>
      <c r="C20" s="343" t="s">
        <v>38</v>
      </c>
      <c r="G20" s="343">
        <v>20.0</v>
      </c>
      <c r="H20" s="348"/>
      <c r="I20" s="345">
        <f t="shared" si="1"/>
        <v>20</v>
      </c>
      <c r="J20" s="346">
        <f t="shared" ref="J20:J22" si="12">Int(DIVIDE(I20,2))</f>
        <v>10</v>
      </c>
      <c r="K20" s="347">
        <f t="shared" si="2"/>
        <v>4</v>
      </c>
      <c r="L20" s="342" t="s">
        <v>33</v>
      </c>
      <c r="M20" s="343" t="s">
        <v>39</v>
      </c>
      <c r="Q20" s="343">
        <v>5.0</v>
      </c>
      <c r="R20" s="353"/>
      <c r="S20" s="345">
        <f t="shared" si="3"/>
        <v>5</v>
      </c>
      <c r="T20" s="349">
        <f t="shared" si="4"/>
        <v>2</v>
      </c>
      <c r="U20" s="350">
        <f t="shared" si="5"/>
        <v>1</v>
      </c>
      <c r="V20" s="356" t="s">
        <v>33</v>
      </c>
      <c r="W20" s="343" t="s">
        <v>40</v>
      </c>
      <c r="AA20" s="343">
        <v>5.0</v>
      </c>
      <c r="AB20" s="348"/>
      <c r="AC20" s="345">
        <f t="shared" si="6"/>
        <v>5</v>
      </c>
      <c r="AD20" s="349">
        <f t="shared" si="7"/>
        <v>2</v>
      </c>
      <c r="AE20" s="350">
        <f t="shared" si="8"/>
        <v>1</v>
      </c>
      <c r="AF20" s="342" t="s">
        <v>33</v>
      </c>
      <c r="AG20" s="343" t="s">
        <v>41</v>
      </c>
      <c r="AK20" s="352">
        <v>30.0</v>
      </c>
      <c r="AL20" s="348"/>
      <c r="AM20" s="354">
        <f t="shared" si="9"/>
        <v>30</v>
      </c>
      <c r="AN20" s="346">
        <f t="shared" si="10"/>
        <v>15</v>
      </c>
      <c r="AO20" s="355">
        <f t="shared" si="11"/>
        <v>6</v>
      </c>
      <c r="AP20" s="28"/>
      <c r="AQ20" s="98"/>
      <c r="AR20" s="98"/>
      <c r="AS20" s="98"/>
      <c r="AT20" s="98"/>
      <c r="AU20" s="98"/>
      <c r="AV20" s="98"/>
      <c r="AW20" s="98"/>
      <c r="AX20" s="98"/>
      <c r="AY20" s="98"/>
      <c r="AZ20" s="98"/>
      <c r="BA20" s="98"/>
      <c r="BB20" s="98"/>
      <c r="BC20" s="3"/>
    </row>
    <row r="21" ht="16.5" customHeight="1">
      <c r="A21" s="22"/>
      <c r="B21" s="342" t="s">
        <v>33</v>
      </c>
      <c r="C21" s="343" t="s">
        <v>42</v>
      </c>
      <c r="G21" s="343">
        <v>20.0</v>
      </c>
      <c r="H21" s="348"/>
      <c r="I21" s="345">
        <f t="shared" si="1"/>
        <v>20</v>
      </c>
      <c r="J21" s="346">
        <f t="shared" si="12"/>
        <v>10</v>
      </c>
      <c r="K21" s="347">
        <f t="shared" si="2"/>
        <v>4</v>
      </c>
      <c r="L21" s="342" t="s">
        <v>33</v>
      </c>
      <c r="M21" s="343" t="s">
        <v>43</v>
      </c>
      <c r="Q21" s="343">
        <v>10.0</v>
      </c>
      <c r="R21" s="353"/>
      <c r="S21" s="345">
        <f t="shared" si="3"/>
        <v>10</v>
      </c>
      <c r="T21" s="349">
        <f t="shared" si="4"/>
        <v>5</v>
      </c>
      <c r="U21" s="350">
        <f t="shared" si="5"/>
        <v>2</v>
      </c>
      <c r="V21" s="342" t="s">
        <v>33</v>
      </c>
      <c r="W21" s="343" t="s">
        <v>44</v>
      </c>
      <c r="AA21" s="343">
        <v>1.0</v>
      </c>
      <c r="AB21" s="353"/>
      <c r="AC21" s="345">
        <f t="shared" si="6"/>
        <v>1</v>
      </c>
      <c r="AD21" s="349">
        <f t="shared" si="7"/>
        <v>0</v>
      </c>
      <c r="AE21" s="350">
        <f t="shared" si="8"/>
        <v>0</v>
      </c>
      <c r="AF21" s="342" t="s">
        <v>33</v>
      </c>
      <c r="AG21" s="343" t="s">
        <v>45</v>
      </c>
      <c r="AK21" s="352">
        <v>10.0</v>
      </c>
      <c r="AL21" s="353"/>
      <c r="AM21" s="354">
        <f t="shared" si="9"/>
        <v>10</v>
      </c>
      <c r="AN21" s="346">
        <f t="shared" si="10"/>
        <v>5</v>
      </c>
      <c r="AO21" s="355">
        <f t="shared" si="11"/>
        <v>2</v>
      </c>
      <c r="AP21" s="99"/>
      <c r="AQ21" s="357" t="s">
        <v>46</v>
      </c>
      <c r="AR21" s="5"/>
      <c r="AS21" s="5"/>
      <c r="AT21" s="5"/>
      <c r="AU21" s="5"/>
      <c r="AV21" s="5"/>
      <c r="AW21" s="5"/>
      <c r="AX21" s="5"/>
      <c r="AY21" s="5"/>
      <c r="AZ21" s="5"/>
      <c r="BA21" s="5"/>
      <c r="BB21" s="7"/>
      <c r="BC21" s="3"/>
    </row>
    <row r="22" ht="16.5" customHeight="1">
      <c r="A22" s="22"/>
      <c r="B22" s="342" t="s">
        <v>33</v>
      </c>
      <c r="C22" s="343" t="s">
        <v>47</v>
      </c>
      <c r="G22" s="343">
        <v>5.0</v>
      </c>
      <c r="H22" s="348"/>
      <c r="I22" s="345">
        <f t="shared" si="1"/>
        <v>5</v>
      </c>
      <c r="J22" s="346">
        <f t="shared" si="12"/>
        <v>2</v>
      </c>
      <c r="K22" s="347">
        <f t="shared" si="2"/>
        <v>1</v>
      </c>
      <c r="L22" s="342" t="s">
        <v>33</v>
      </c>
      <c r="M22" s="358" t="s">
        <v>48</v>
      </c>
      <c r="Q22" s="343">
        <v>1.0</v>
      </c>
      <c r="R22" s="348"/>
      <c r="S22" s="345">
        <f t="shared" si="3"/>
        <v>1</v>
      </c>
      <c r="T22" s="349">
        <f t="shared" si="4"/>
        <v>0</v>
      </c>
      <c r="U22" s="350">
        <f t="shared" si="5"/>
        <v>0</v>
      </c>
      <c r="V22" s="342" t="s">
        <v>33</v>
      </c>
      <c r="W22" s="343" t="s">
        <v>49</v>
      </c>
      <c r="AA22" s="343">
        <v>10.0</v>
      </c>
      <c r="AB22" s="348"/>
      <c r="AC22" s="345">
        <f t="shared" si="6"/>
        <v>10</v>
      </c>
      <c r="AD22" s="349">
        <f t="shared" si="7"/>
        <v>5</v>
      </c>
      <c r="AE22" s="350">
        <f t="shared" si="8"/>
        <v>2</v>
      </c>
      <c r="AF22" s="342" t="s">
        <v>33</v>
      </c>
      <c r="AG22" s="343" t="s">
        <v>50</v>
      </c>
      <c r="AK22" s="352">
        <v>20.0</v>
      </c>
      <c r="AL22" s="348"/>
      <c r="AM22" s="354">
        <f t="shared" si="9"/>
        <v>20</v>
      </c>
      <c r="AN22" s="346">
        <f t="shared" si="10"/>
        <v>10</v>
      </c>
      <c r="AO22" s="355">
        <f t="shared" si="11"/>
        <v>4</v>
      </c>
      <c r="AP22" s="28"/>
      <c r="AQ22" s="10"/>
      <c r="AR22" s="11"/>
      <c r="AS22" s="11"/>
      <c r="AT22" s="11"/>
      <c r="AU22" s="11"/>
      <c r="AV22" s="11"/>
      <c r="AW22" s="11"/>
      <c r="AX22" s="11"/>
      <c r="AY22" s="11"/>
      <c r="AZ22" s="11"/>
      <c r="BA22" s="11"/>
      <c r="BB22" s="12"/>
      <c r="BC22" s="3"/>
    </row>
    <row r="23" ht="16.5" customHeight="1">
      <c r="A23" s="22"/>
      <c r="B23" s="342" t="s">
        <v>33</v>
      </c>
      <c r="C23" s="343" t="s">
        <v>51</v>
      </c>
      <c r="G23" s="343">
        <v>1.0</v>
      </c>
      <c r="H23" s="348"/>
      <c r="I23" s="345">
        <f t="shared" si="1"/>
        <v>1</v>
      </c>
      <c r="J23" s="346">
        <f>int(DIVIDE(I23,2))</f>
        <v>0</v>
      </c>
      <c r="K23" s="347">
        <f t="shared" si="2"/>
        <v>0</v>
      </c>
      <c r="L23" s="342" t="s">
        <v>33</v>
      </c>
      <c r="M23" s="359"/>
      <c r="Q23" s="343"/>
      <c r="R23" s="353"/>
      <c r="S23" s="345">
        <f t="shared" si="3"/>
        <v>0</v>
      </c>
      <c r="T23" s="349">
        <f t="shared" si="4"/>
        <v>0</v>
      </c>
      <c r="U23" s="350">
        <f t="shared" si="5"/>
        <v>0</v>
      </c>
      <c r="V23" s="342" t="s">
        <v>33</v>
      </c>
      <c r="W23" s="343" t="s">
        <v>52</v>
      </c>
      <c r="AA23" s="343">
        <v>15.0</v>
      </c>
      <c r="AB23" s="353"/>
      <c r="AC23" s="345">
        <f t="shared" si="6"/>
        <v>15</v>
      </c>
      <c r="AD23" s="349">
        <f t="shared" si="7"/>
        <v>7</v>
      </c>
      <c r="AE23" s="350">
        <f t="shared" si="8"/>
        <v>3</v>
      </c>
      <c r="AF23" s="342" t="s">
        <v>33</v>
      </c>
      <c r="AG23" s="343" t="s">
        <v>53</v>
      </c>
      <c r="AK23" s="352">
        <v>20.0</v>
      </c>
      <c r="AL23" s="348"/>
      <c r="AM23" s="354">
        <f t="shared" si="9"/>
        <v>20</v>
      </c>
      <c r="AN23" s="346">
        <f t="shared" si="10"/>
        <v>10</v>
      </c>
      <c r="AO23" s="355">
        <f t="shared" si="11"/>
        <v>4</v>
      </c>
      <c r="AP23" s="28"/>
      <c r="AQ23" s="360" t="s">
        <v>54</v>
      </c>
      <c r="AR23" s="105"/>
      <c r="AS23" s="105"/>
      <c r="AT23" s="105"/>
      <c r="AU23" s="105"/>
      <c r="AV23" s="105"/>
      <c r="AW23" s="361">
        <f>if((V10+V14)&lt;=64,-2,if((V10+V14)&lt;=84,-1,if((V10+V14)&lt;=124,0,if((V10+V14)&lt;=164,"+1D4",if((V10+V14)&lt;=204,"+1D6",if((V10+V14)&lt;=284,"+2D6",if((V10+V14)&lt;=20364,"+3D6",if((V10+V14)&lt;=444,"+4D6",if((V10+V14)&lt;=524,"+5D6")))))))))
</f>
        <v>-2</v>
      </c>
      <c r="AX23" s="105"/>
      <c r="AY23" s="105"/>
      <c r="AZ23" s="105"/>
      <c r="BA23" s="105"/>
      <c r="BB23" s="107"/>
      <c r="BC23" s="3"/>
    </row>
    <row r="24" ht="16.5" customHeight="1">
      <c r="A24" s="22"/>
      <c r="B24" s="342" t="s">
        <v>33</v>
      </c>
      <c r="C24" s="343" t="s">
        <v>55</v>
      </c>
      <c r="G24" s="343">
        <v>10.0</v>
      </c>
      <c r="H24" s="348"/>
      <c r="I24" s="345">
        <f t="shared" si="1"/>
        <v>10</v>
      </c>
      <c r="J24" s="346">
        <f t="shared" ref="J24:J26" si="13">Int(DIVIDE(I24,2))</f>
        <v>5</v>
      </c>
      <c r="K24" s="347">
        <f t="shared" si="2"/>
        <v>2</v>
      </c>
      <c r="L24" s="342" t="s">
        <v>33</v>
      </c>
      <c r="M24" s="359"/>
      <c r="Q24" s="343"/>
      <c r="R24" s="353"/>
      <c r="S24" s="345">
        <f t="shared" si="3"/>
        <v>0</v>
      </c>
      <c r="T24" s="349">
        <f t="shared" si="4"/>
        <v>0</v>
      </c>
      <c r="U24" s="350">
        <f t="shared" si="5"/>
        <v>0</v>
      </c>
      <c r="V24" s="342" t="s">
        <v>33</v>
      </c>
      <c r="W24" s="343" t="s">
        <v>56</v>
      </c>
      <c r="AA24" s="343">
        <v>15.0</v>
      </c>
      <c r="AB24" s="348"/>
      <c r="AC24" s="345">
        <f t="shared" si="6"/>
        <v>15</v>
      </c>
      <c r="AD24" s="349">
        <f t="shared" si="7"/>
        <v>7</v>
      </c>
      <c r="AE24" s="350">
        <f t="shared" si="8"/>
        <v>3</v>
      </c>
      <c r="AF24" s="342" t="s">
        <v>33</v>
      </c>
      <c r="AG24" s="343" t="s">
        <v>57</v>
      </c>
      <c r="AK24" s="352">
        <v>20.0</v>
      </c>
      <c r="AL24" s="348"/>
      <c r="AM24" s="354">
        <f t="shared" si="9"/>
        <v>20</v>
      </c>
      <c r="AN24" s="346">
        <f t="shared" si="10"/>
        <v>10</v>
      </c>
      <c r="AO24" s="355">
        <f t="shared" si="11"/>
        <v>4</v>
      </c>
      <c r="AP24" s="28"/>
      <c r="AQ24" s="360" t="s">
        <v>58</v>
      </c>
      <c r="AR24" s="105"/>
      <c r="AS24" s="105"/>
      <c r="AT24" s="105"/>
      <c r="AU24" s="105"/>
      <c r="AV24" s="105"/>
      <c r="AW24" s="361">
        <f>if((V10+V14)&lt;=64,-2,if((V10+V14)&lt;=84,-1,if((V10+V14)&lt;=124,0,if((V10+V14)&lt;=164,"+1",if((V10+V14)&lt;=204,"+2",if((V10+V14)&lt;=284,"+3",if((V10+V14)&lt;=20364,"+4",if((V10+V14)&lt;=444,"+5",if((V10+V14)&lt;=524,"+6")))))))))</f>
        <v>-2</v>
      </c>
      <c r="AX24" s="105"/>
      <c r="AY24" s="105"/>
      <c r="AZ24" s="105"/>
      <c r="BA24" s="105"/>
      <c r="BB24" s="107"/>
      <c r="BC24" s="3"/>
    </row>
    <row r="25" ht="16.5" customHeight="1">
      <c r="A25" s="22"/>
      <c r="B25" s="342" t="s">
        <v>33</v>
      </c>
      <c r="C25" s="343" t="s">
        <v>59</v>
      </c>
      <c r="G25" s="343">
        <v>10.0</v>
      </c>
      <c r="H25" s="348"/>
      <c r="I25" s="345">
        <f t="shared" si="1"/>
        <v>10</v>
      </c>
      <c r="J25" s="346">
        <f t="shared" si="13"/>
        <v>5</v>
      </c>
      <c r="K25" s="347">
        <f t="shared" si="2"/>
        <v>2</v>
      </c>
      <c r="L25" s="342" t="s">
        <v>33</v>
      </c>
      <c r="M25" s="343" t="s">
        <v>60</v>
      </c>
      <c r="Q25" s="343">
        <v>5.0</v>
      </c>
      <c r="R25" s="348"/>
      <c r="S25" s="345">
        <f t="shared" si="3"/>
        <v>5</v>
      </c>
      <c r="T25" s="349">
        <f t="shared" si="4"/>
        <v>2</v>
      </c>
      <c r="U25" s="350">
        <f t="shared" si="5"/>
        <v>1</v>
      </c>
      <c r="V25" s="342" t="s">
        <v>33</v>
      </c>
      <c r="W25" s="343" t="s">
        <v>61</v>
      </c>
      <c r="AA25" s="343">
        <v>5.0</v>
      </c>
      <c r="AB25" s="348"/>
      <c r="AC25" s="345">
        <f t="shared" si="6"/>
        <v>5</v>
      </c>
      <c r="AD25" s="349">
        <f t="shared" si="7"/>
        <v>2</v>
      </c>
      <c r="AE25" s="350">
        <f t="shared" si="8"/>
        <v>1</v>
      </c>
      <c r="AF25" s="342" t="s">
        <v>33</v>
      </c>
      <c r="AG25" s="343" t="s">
        <v>62</v>
      </c>
      <c r="AK25" s="352">
        <f>Int(DIVIDE(AD10,2))</f>
        <v>0</v>
      </c>
      <c r="AL25" s="353"/>
      <c r="AM25" s="354">
        <f t="shared" si="9"/>
        <v>0</v>
      </c>
      <c r="AN25" s="346">
        <f t="shared" si="10"/>
        <v>0</v>
      </c>
      <c r="AO25" s="355">
        <f t="shared" si="11"/>
        <v>0</v>
      </c>
      <c r="AP25" s="60"/>
      <c r="AQ25" s="360" t="s">
        <v>62</v>
      </c>
      <c r="AR25" s="105"/>
      <c r="AS25" s="105"/>
      <c r="AT25" s="105"/>
      <c r="AU25" s="105"/>
      <c r="AV25" s="105"/>
      <c r="AW25" s="361">
        <f>Int(DIVIDE(AD10,2))</f>
        <v>0</v>
      </c>
      <c r="AX25" s="105"/>
      <c r="AY25" s="362">
        <f>int(AW25/2)</f>
        <v>0</v>
      </c>
      <c r="AZ25" s="105"/>
      <c r="BA25" s="363">
        <f>int(AW25/5)</f>
        <v>0</v>
      </c>
      <c r="BB25" s="107"/>
      <c r="BC25" s="3"/>
    </row>
    <row r="26" ht="16.5" customHeight="1">
      <c r="A26" s="22"/>
      <c r="B26" s="342" t="s">
        <v>33</v>
      </c>
      <c r="C26" s="343" t="s">
        <v>63</v>
      </c>
      <c r="G26" s="343">
        <v>20.0</v>
      </c>
      <c r="H26" s="348"/>
      <c r="I26" s="345">
        <f t="shared" si="1"/>
        <v>20</v>
      </c>
      <c r="J26" s="346">
        <f t="shared" si="13"/>
        <v>10</v>
      </c>
      <c r="K26" s="347">
        <f t="shared" si="2"/>
        <v>4</v>
      </c>
      <c r="L26" s="342" t="s">
        <v>33</v>
      </c>
      <c r="M26" s="343" t="s">
        <v>64</v>
      </c>
      <c r="Q26" s="343">
        <v>1.0</v>
      </c>
      <c r="R26" s="353"/>
      <c r="S26" s="345">
        <f t="shared" si="3"/>
        <v>1</v>
      </c>
      <c r="T26" s="349">
        <f t="shared" si="4"/>
        <v>0</v>
      </c>
      <c r="U26" s="350">
        <f t="shared" si="5"/>
        <v>0</v>
      </c>
      <c r="V26" s="342" t="s">
        <v>33</v>
      </c>
      <c r="W26" s="343" t="s">
        <v>65</v>
      </c>
      <c r="AA26" s="343">
        <v>10.0</v>
      </c>
      <c r="AB26" s="353"/>
      <c r="AC26" s="345">
        <f t="shared" si="6"/>
        <v>10</v>
      </c>
      <c r="AD26" s="349">
        <f t="shared" si="7"/>
        <v>5</v>
      </c>
      <c r="AE26" s="350">
        <f t="shared" si="8"/>
        <v>2</v>
      </c>
      <c r="AF26" s="342" t="s">
        <v>33</v>
      </c>
      <c r="AG26" s="343" t="s">
        <v>66</v>
      </c>
      <c r="AK26" s="352">
        <v>5.0</v>
      </c>
      <c r="AL26" s="348"/>
      <c r="AM26" s="354">
        <f t="shared" si="9"/>
        <v>5</v>
      </c>
      <c r="AN26" s="346">
        <f t="shared" si="10"/>
        <v>2</v>
      </c>
      <c r="AO26" s="355">
        <f t="shared" si="11"/>
        <v>1</v>
      </c>
      <c r="AP26" s="60"/>
      <c r="AQ26" s="364" t="s">
        <v>67</v>
      </c>
      <c r="AR26" s="105"/>
      <c r="AS26" s="105"/>
      <c r="AT26" s="105"/>
      <c r="AU26" s="105"/>
      <c r="AV26" s="107"/>
      <c r="AW26" s="365">
        <f>IF(AND(V10&gt;V14,AD10&gt;V14),if(int(divide(L13,10))&gt;=4,12-int(divide(L13,10)),9),if(and(V10&lt;V14,AD10&lt;V14),if(int(divide(L13,10))&gt;=4,10-int(divide(L13,10)),7),if(int(divide(L13,10))&gt;=4,11-int(divide(L13,10)),8)))</f>
        <v>8</v>
      </c>
      <c r="AX26" s="105"/>
      <c r="AY26" s="105"/>
      <c r="AZ26" s="105"/>
      <c r="BA26" s="105"/>
      <c r="BB26" s="107"/>
      <c r="BC26" s="3"/>
    </row>
    <row r="27" ht="16.5" customHeight="1">
      <c r="A27" s="22"/>
      <c r="B27" s="342" t="s">
        <v>33</v>
      </c>
      <c r="C27" s="343" t="s">
        <v>68</v>
      </c>
      <c r="G27" s="343">
        <v>1.0</v>
      </c>
      <c r="H27" s="348"/>
      <c r="I27" s="345">
        <f t="shared" si="1"/>
        <v>1</v>
      </c>
      <c r="J27" s="346">
        <f>int(DIVIDE(I27,2))</f>
        <v>0</v>
      </c>
      <c r="K27" s="347">
        <f t="shared" si="2"/>
        <v>0</v>
      </c>
      <c r="L27" s="342" t="s">
        <v>33</v>
      </c>
      <c r="M27" s="343" t="s">
        <v>69</v>
      </c>
      <c r="Q27" s="343">
        <v>5.0</v>
      </c>
      <c r="R27" s="353"/>
      <c r="S27" s="345">
        <f t="shared" si="3"/>
        <v>5</v>
      </c>
      <c r="T27" s="349">
        <f t="shared" si="4"/>
        <v>2</v>
      </c>
      <c r="U27" s="350">
        <f t="shared" si="5"/>
        <v>1</v>
      </c>
      <c r="V27" s="342" t="s">
        <v>33</v>
      </c>
      <c r="W27" s="359" t="str">
        <f>"모국어"&amp;IF(ISBLANK(L14),"",":"&amp;L14)</f>
        <v>모국어</v>
      </c>
      <c r="AA27" s="343">
        <f>(AL12*1)</f>
        <v>0</v>
      </c>
      <c r="AB27" s="353"/>
      <c r="AC27" s="345">
        <f t="shared" si="6"/>
        <v>0</v>
      </c>
      <c r="AD27" s="349">
        <f t="shared" si="7"/>
        <v>0</v>
      </c>
      <c r="AE27" s="350">
        <f t="shared" si="8"/>
        <v>0</v>
      </c>
      <c r="AF27" s="342" t="s">
        <v>33</v>
      </c>
      <c r="AG27" s="343" t="s">
        <v>70</v>
      </c>
      <c r="AK27" s="352">
        <v>20.0</v>
      </c>
      <c r="AL27" s="353"/>
      <c r="AM27" s="354">
        <f t="shared" si="9"/>
        <v>20</v>
      </c>
      <c r="AN27" s="346">
        <f t="shared" si="10"/>
        <v>10</v>
      </c>
      <c r="AO27" s="355">
        <f t="shared" si="11"/>
        <v>4</v>
      </c>
      <c r="AP27" s="60"/>
      <c r="AQ27" s="366" t="s">
        <v>71</v>
      </c>
      <c r="AR27" s="5"/>
      <c r="AS27" s="5"/>
      <c r="AT27" s="7"/>
      <c r="AU27" s="113"/>
      <c r="AV27" s="5"/>
      <c r="AW27" s="5"/>
      <c r="AX27" s="7"/>
      <c r="AY27" s="367" t="s">
        <v>72</v>
      </c>
      <c r="AZ27" s="105"/>
      <c r="BA27" s="105"/>
      <c r="BB27" s="107"/>
      <c r="BC27" s="3"/>
    </row>
    <row r="28" ht="16.5" customHeight="1">
      <c r="A28" s="22"/>
      <c r="B28" s="342" t="s">
        <v>33</v>
      </c>
      <c r="C28" s="359" t="s">
        <v>73</v>
      </c>
      <c r="G28" s="343">
        <v>1.0</v>
      </c>
      <c r="H28" s="353"/>
      <c r="I28" s="345">
        <f t="shared" si="1"/>
        <v>1</v>
      </c>
      <c r="J28" s="346">
        <f t="shared" ref="J28:J29" si="14">Int(DIVIDE(I28,2))</f>
        <v>0</v>
      </c>
      <c r="K28" s="347">
        <f t="shared" si="2"/>
        <v>0</v>
      </c>
      <c r="L28" s="342" t="s">
        <v>33</v>
      </c>
      <c r="M28" s="343" t="s">
        <v>74</v>
      </c>
      <c r="Q28" s="343">
        <v>1.0</v>
      </c>
      <c r="R28" s="353"/>
      <c r="S28" s="345">
        <f t="shared" si="3"/>
        <v>1</v>
      </c>
      <c r="T28" s="349">
        <f t="shared" si="4"/>
        <v>0</v>
      </c>
      <c r="U28" s="350">
        <f t="shared" si="5"/>
        <v>0</v>
      </c>
      <c r="V28" s="342" t="s">
        <v>33</v>
      </c>
      <c r="W28" s="359" t="s">
        <v>75</v>
      </c>
      <c r="AA28" s="343">
        <v>1.0</v>
      </c>
      <c r="AB28" s="353"/>
      <c r="AC28" s="345">
        <f t="shared" si="6"/>
        <v>1</v>
      </c>
      <c r="AD28" s="349">
        <f t="shared" si="7"/>
        <v>0</v>
      </c>
      <c r="AE28" s="350">
        <f t="shared" si="8"/>
        <v>0</v>
      </c>
      <c r="AF28" s="342" t="s">
        <v>33</v>
      </c>
      <c r="AG28" s="343" t="s">
        <v>76</v>
      </c>
      <c r="AK28" s="352">
        <v>10.0</v>
      </c>
      <c r="AL28" s="348"/>
      <c r="AM28" s="354">
        <f t="shared" si="9"/>
        <v>10</v>
      </c>
      <c r="AN28" s="346">
        <f t="shared" si="10"/>
        <v>5</v>
      </c>
      <c r="AO28" s="355">
        <f t="shared" si="11"/>
        <v>2</v>
      </c>
      <c r="AP28" s="60"/>
      <c r="AQ28" s="10"/>
      <c r="AR28" s="11"/>
      <c r="AS28" s="11"/>
      <c r="AT28" s="12"/>
      <c r="AU28" s="10"/>
      <c r="AV28" s="11"/>
      <c r="AW28" s="11"/>
      <c r="AX28" s="12"/>
      <c r="AY28" s="368">
        <f>Int((V14+V12)/10)</f>
        <v>0</v>
      </c>
      <c r="AZ28" s="105"/>
      <c r="BA28" s="105"/>
      <c r="BB28" s="107"/>
      <c r="BC28" s="3"/>
    </row>
    <row r="29" ht="16.5" customHeight="1">
      <c r="A29" s="22"/>
      <c r="B29" s="342" t="s">
        <v>33</v>
      </c>
      <c r="C29" s="358"/>
      <c r="G29" s="369"/>
      <c r="H29" s="348"/>
      <c r="I29" s="345">
        <f t="shared" si="1"/>
        <v>0</v>
      </c>
      <c r="J29" s="346">
        <f t="shared" si="14"/>
        <v>0</v>
      </c>
      <c r="K29" s="347">
        <f t="shared" si="2"/>
        <v>0</v>
      </c>
      <c r="L29" s="342" t="s">
        <v>33</v>
      </c>
      <c r="M29" s="343" t="s">
        <v>77</v>
      </c>
      <c r="Q29" s="343">
        <v>5.0</v>
      </c>
      <c r="R29" s="353"/>
      <c r="S29" s="345">
        <f t="shared" si="3"/>
        <v>5</v>
      </c>
      <c r="T29" s="349">
        <f t="shared" si="4"/>
        <v>2</v>
      </c>
      <c r="U29" s="350">
        <f t="shared" si="5"/>
        <v>1</v>
      </c>
      <c r="V29" s="342" t="s">
        <v>33</v>
      </c>
      <c r="W29" s="359"/>
      <c r="AA29" s="343"/>
      <c r="AB29" s="353"/>
      <c r="AC29" s="345">
        <f t="shared" si="6"/>
        <v>0</v>
      </c>
      <c r="AD29" s="349">
        <f t="shared" si="7"/>
        <v>0</v>
      </c>
      <c r="AE29" s="350">
        <f t="shared" si="8"/>
        <v>0</v>
      </c>
      <c r="AF29" s="342" t="s">
        <v>33</v>
      </c>
      <c r="AG29" s="343" t="s">
        <v>78</v>
      </c>
      <c r="AK29" s="352">
        <v>1.0</v>
      </c>
      <c r="AL29" s="353"/>
      <c r="AM29" s="354">
        <f t="shared" si="9"/>
        <v>1</v>
      </c>
      <c r="AN29" s="346">
        <f t="shared" si="10"/>
        <v>0</v>
      </c>
      <c r="AO29" s="355">
        <f t="shared" si="11"/>
        <v>0</v>
      </c>
      <c r="AP29" s="28"/>
      <c r="AQ29" s="366" t="s">
        <v>79</v>
      </c>
      <c r="AR29" s="5"/>
      <c r="AS29" s="5"/>
      <c r="AT29" s="7"/>
      <c r="AU29" s="113"/>
      <c r="AV29" s="5"/>
      <c r="AW29" s="5"/>
      <c r="AX29" s="7"/>
      <c r="AY29" s="367" t="s">
        <v>80</v>
      </c>
      <c r="AZ29" s="105"/>
      <c r="BA29" s="105"/>
      <c r="BB29" s="107"/>
      <c r="BC29" s="3"/>
    </row>
    <row r="30" ht="16.5" customHeight="1">
      <c r="A30" s="22"/>
      <c r="B30" s="342" t="s">
        <v>33</v>
      </c>
      <c r="C30" s="343" t="s">
        <v>81</v>
      </c>
      <c r="G30" s="352">
        <v>10.0</v>
      </c>
      <c r="H30" s="353"/>
      <c r="I30" s="345">
        <f t="shared" si="1"/>
        <v>10</v>
      </c>
      <c r="J30" s="346">
        <f>int(DIVIDE(I30,2))</f>
        <v>5</v>
      </c>
      <c r="K30" s="347">
        <f t="shared" si="2"/>
        <v>2</v>
      </c>
      <c r="L30" s="342" t="s">
        <v>33</v>
      </c>
      <c r="M30" s="343" t="s">
        <v>82</v>
      </c>
      <c r="Q30" s="343">
        <v>5.0</v>
      </c>
      <c r="R30" s="348"/>
      <c r="S30" s="345">
        <f t="shared" si="3"/>
        <v>5</v>
      </c>
      <c r="T30" s="349">
        <f t="shared" si="4"/>
        <v>2</v>
      </c>
      <c r="U30" s="350">
        <f t="shared" si="5"/>
        <v>1</v>
      </c>
      <c r="V30" s="342" t="s">
        <v>33</v>
      </c>
      <c r="W30" s="343" t="s">
        <v>83</v>
      </c>
      <c r="AA30" s="352">
        <v>20.0</v>
      </c>
      <c r="AB30" s="348"/>
      <c r="AC30" s="354">
        <f t="shared" si="6"/>
        <v>20</v>
      </c>
      <c r="AD30" s="346">
        <f t="shared" si="7"/>
        <v>10</v>
      </c>
      <c r="AE30" s="347">
        <f t="shared" si="8"/>
        <v>4</v>
      </c>
      <c r="AF30" s="342" t="s">
        <v>33</v>
      </c>
      <c r="AG30" s="359" t="s">
        <v>84</v>
      </c>
      <c r="AK30" s="352">
        <v>20.0</v>
      </c>
      <c r="AL30" s="353"/>
      <c r="AM30" s="345">
        <f t="shared" si="9"/>
        <v>20</v>
      </c>
      <c r="AN30" s="349">
        <f t="shared" si="10"/>
        <v>10</v>
      </c>
      <c r="AO30" s="370">
        <f t="shared" si="11"/>
        <v>4</v>
      </c>
      <c r="AP30" s="28"/>
      <c r="AQ30" s="10"/>
      <c r="AR30" s="11"/>
      <c r="AS30" s="11"/>
      <c r="AT30" s="12"/>
      <c r="AU30" s="10"/>
      <c r="AV30" s="11"/>
      <c r="AW30" s="11"/>
      <c r="AX30" s="12"/>
      <c r="AY30" s="368">
        <f>int(AL10/5)</f>
        <v>0</v>
      </c>
      <c r="AZ30" s="105"/>
      <c r="BA30" s="105"/>
      <c r="BB30" s="107"/>
      <c r="BC30" s="3"/>
    </row>
    <row r="31" ht="16.5" customHeight="1">
      <c r="A31" s="22"/>
      <c r="B31" s="342" t="s">
        <v>33</v>
      </c>
      <c r="C31" s="343" t="s">
        <v>85</v>
      </c>
      <c r="G31" s="352">
        <v>10.0</v>
      </c>
      <c r="H31" s="353"/>
      <c r="I31" s="345">
        <f t="shared" si="1"/>
        <v>10</v>
      </c>
      <c r="J31" s="346">
        <f t="shared" ref="J31:J36" si="15">Int(DIVIDE(I31,2))</f>
        <v>5</v>
      </c>
      <c r="K31" s="347">
        <f t="shared" si="2"/>
        <v>2</v>
      </c>
      <c r="L31" s="342" t="s">
        <v>33</v>
      </c>
      <c r="M31" s="343"/>
      <c r="Q31" s="343"/>
      <c r="R31" s="353"/>
      <c r="S31" s="345">
        <f t="shared" si="3"/>
        <v>0</v>
      </c>
      <c r="T31" s="349">
        <f t="shared" si="4"/>
        <v>0</v>
      </c>
      <c r="U31" s="350">
        <f t="shared" si="5"/>
        <v>0</v>
      </c>
      <c r="V31" s="342" t="s">
        <v>33</v>
      </c>
      <c r="W31" s="359" t="s">
        <v>86</v>
      </c>
      <c r="AA31" s="352">
        <v>25.0</v>
      </c>
      <c r="AB31" s="348"/>
      <c r="AC31" s="354">
        <f t="shared" si="6"/>
        <v>25</v>
      </c>
      <c r="AD31" s="346">
        <f t="shared" si="7"/>
        <v>12</v>
      </c>
      <c r="AE31" s="347">
        <f t="shared" si="8"/>
        <v>5</v>
      </c>
      <c r="AF31" s="342" t="s">
        <v>33</v>
      </c>
      <c r="AG31" s="359" t="s">
        <v>87</v>
      </c>
      <c r="AK31" s="352">
        <v>25.0</v>
      </c>
      <c r="AL31" s="353"/>
      <c r="AM31" s="345">
        <f t="shared" si="9"/>
        <v>25</v>
      </c>
      <c r="AN31" s="349">
        <f t="shared" si="10"/>
        <v>12</v>
      </c>
      <c r="AO31" s="370">
        <f t="shared" si="11"/>
        <v>5</v>
      </c>
      <c r="AP31" s="28"/>
      <c r="AQ31" s="366" t="s">
        <v>88</v>
      </c>
      <c r="AR31" s="5"/>
      <c r="AS31" s="5"/>
      <c r="AT31" s="7"/>
      <c r="AU31" s="113"/>
      <c r="AV31" s="5"/>
      <c r="AW31" s="5"/>
      <c r="AX31" s="7"/>
      <c r="AY31" s="367" t="s">
        <v>89</v>
      </c>
      <c r="AZ31" s="107"/>
      <c r="BA31" s="367" t="s">
        <v>90</v>
      </c>
      <c r="BB31" s="107"/>
      <c r="BC31" s="3"/>
    </row>
    <row r="32" ht="16.5" customHeight="1">
      <c r="A32" s="22"/>
      <c r="B32" s="342" t="s">
        <v>33</v>
      </c>
      <c r="C32" s="343" t="s">
        <v>91</v>
      </c>
      <c r="G32" s="352">
        <v>5.0</v>
      </c>
      <c r="H32" s="348"/>
      <c r="I32" s="345">
        <f t="shared" si="1"/>
        <v>5</v>
      </c>
      <c r="J32" s="346">
        <f t="shared" si="15"/>
        <v>2</v>
      </c>
      <c r="K32" s="347">
        <f t="shared" si="2"/>
        <v>1</v>
      </c>
      <c r="L32" s="342" t="s">
        <v>33</v>
      </c>
      <c r="M32" s="343" t="s">
        <v>92</v>
      </c>
      <c r="Q32" s="352">
        <v>1.0</v>
      </c>
      <c r="R32" s="353"/>
      <c r="S32" s="345">
        <f t="shared" si="3"/>
        <v>1</v>
      </c>
      <c r="T32" s="349">
        <f t="shared" si="4"/>
        <v>0</v>
      </c>
      <c r="U32" s="350">
        <f t="shared" si="5"/>
        <v>0</v>
      </c>
      <c r="V32" s="342" t="s">
        <v>33</v>
      </c>
      <c r="W32" s="359" t="s">
        <v>93</v>
      </c>
      <c r="AA32" s="352">
        <v>20.0</v>
      </c>
      <c r="AB32" s="353"/>
      <c r="AC32" s="354">
        <f t="shared" si="6"/>
        <v>20</v>
      </c>
      <c r="AD32" s="346">
        <f t="shared" si="7"/>
        <v>10</v>
      </c>
      <c r="AE32" s="347">
        <f t="shared" si="8"/>
        <v>4</v>
      </c>
      <c r="AF32" s="342" t="s">
        <v>33</v>
      </c>
      <c r="AG32" s="359" t="s">
        <v>94</v>
      </c>
      <c r="AK32" s="352">
        <v>15.0</v>
      </c>
      <c r="AL32" s="353"/>
      <c r="AM32" s="345">
        <f t="shared" si="9"/>
        <v>15</v>
      </c>
      <c r="AN32" s="349">
        <f t="shared" si="10"/>
        <v>7</v>
      </c>
      <c r="AO32" s="370">
        <f t="shared" si="11"/>
        <v>3</v>
      </c>
      <c r="AP32" s="28"/>
      <c r="AQ32" s="10"/>
      <c r="AR32" s="11"/>
      <c r="AS32" s="11"/>
      <c r="AT32" s="12"/>
      <c r="AU32" s="10"/>
      <c r="AV32" s="11"/>
      <c r="AW32" s="11"/>
      <c r="AX32" s="12"/>
      <c r="AY32" s="368" t="str">
        <f>IF(AL10=0,"자동",MIN(AL10,BA32))</f>
        <v>자동</v>
      </c>
      <c r="AZ32" s="107"/>
      <c r="BA32" s="368">
        <f>99-AB19</f>
        <v>99</v>
      </c>
      <c r="BB32" s="107"/>
      <c r="BC32" s="3"/>
    </row>
    <row r="33" ht="16.5" customHeight="1">
      <c r="A33" s="22"/>
      <c r="B33" s="342" t="s">
        <v>33</v>
      </c>
      <c r="C33" s="343" t="s">
        <v>165</v>
      </c>
      <c r="G33" s="343">
        <v>5.0</v>
      </c>
      <c r="H33" s="353"/>
      <c r="I33" s="345">
        <f t="shared" si="1"/>
        <v>5</v>
      </c>
      <c r="J33" s="346">
        <f t="shared" si="15"/>
        <v>2</v>
      </c>
      <c r="K33" s="347">
        <f t="shared" si="2"/>
        <v>1</v>
      </c>
      <c r="L33" s="342" t="s">
        <v>33</v>
      </c>
      <c r="M33" s="343" t="s">
        <v>95</v>
      </c>
      <c r="Q33" s="352">
        <v>5.0</v>
      </c>
      <c r="R33" s="353"/>
      <c r="S33" s="345">
        <f t="shared" si="3"/>
        <v>5</v>
      </c>
      <c r="T33" s="349">
        <f t="shared" si="4"/>
        <v>2</v>
      </c>
      <c r="U33" s="350">
        <f t="shared" si="5"/>
        <v>1</v>
      </c>
      <c r="V33" s="342" t="s">
        <v>33</v>
      </c>
      <c r="W33" s="359" t="s">
        <v>96</v>
      </c>
      <c r="AA33" s="352">
        <v>15.0</v>
      </c>
      <c r="AB33" s="353"/>
      <c r="AC33" s="354">
        <f t="shared" si="6"/>
        <v>15</v>
      </c>
      <c r="AD33" s="346">
        <f t="shared" si="7"/>
        <v>7</v>
      </c>
      <c r="AE33" s="347">
        <f t="shared" si="8"/>
        <v>3</v>
      </c>
      <c r="AF33" s="342" t="s">
        <v>33</v>
      </c>
      <c r="AG33" s="359" t="s">
        <v>97</v>
      </c>
      <c r="AK33" s="352">
        <v>10.0</v>
      </c>
      <c r="AL33" s="353"/>
      <c r="AM33" s="345">
        <f t="shared" si="9"/>
        <v>10</v>
      </c>
      <c r="AN33" s="349">
        <f t="shared" si="10"/>
        <v>5</v>
      </c>
      <c r="AO33" s="370">
        <f t="shared" si="11"/>
        <v>2</v>
      </c>
      <c r="AP33" s="28"/>
      <c r="AQ33" s="128" t="s">
        <v>98</v>
      </c>
      <c r="AR33" s="5"/>
      <c r="AS33" s="5"/>
      <c r="AT33" s="7"/>
      <c r="AU33" s="129" t="s">
        <v>33</v>
      </c>
      <c r="AV33" s="7"/>
      <c r="AW33" s="130" t="s">
        <v>99</v>
      </c>
      <c r="AX33" s="5"/>
      <c r="AY33" s="5"/>
      <c r="AZ33" s="7"/>
      <c r="BA33" s="131" t="s">
        <v>33</v>
      </c>
      <c r="BB33" s="7"/>
      <c r="BC33" s="3"/>
    </row>
    <row r="34" ht="16.5" customHeight="1">
      <c r="A34" s="22"/>
      <c r="B34" s="342" t="s">
        <v>33</v>
      </c>
      <c r="C34" s="343"/>
      <c r="G34" s="343"/>
      <c r="H34" s="353"/>
      <c r="I34" s="345">
        <f t="shared" si="1"/>
        <v>0</v>
      </c>
      <c r="J34" s="346">
        <f t="shared" si="15"/>
        <v>0</v>
      </c>
      <c r="K34" s="347">
        <f t="shared" si="2"/>
        <v>0</v>
      </c>
      <c r="L34" s="342" t="s">
        <v>33</v>
      </c>
      <c r="M34" s="343" t="s">
        <v>100</v>
      </c>
      <c r="Q34" s="352">
        <v>1.0</v>
      </c>
      <c r="R34" s="353"/>
      <c r="S34" s="345">
        <f t="shared" si="3"/>
        <v>1</v>
      </c>
      <c r="T34" s="349">
        <f t="shared" si="4"/>
        <v>0</v>
      </c>
      <c r="U34" s="350">
        <f t="shared" si="5"/>
        <v>0</v>
      </c>
      <c r="V34" s="342" t="s">
        <v>33</v>
      </c>
      <c r="W34" s="359" t="s">
        <v>101</v>
      </c>
      <c r="AA34" s="352">
        <v>20.0</v>
      </c>
      <c r="AB34" s="353"/>
      <c r="AC34" s="354">
        <f t="shared" si="6"/>
        <v>20</v>
      </c>
      <c r="AD34" s="346">
        <f t="shared" si="7"/>
        <v>10</v>
      </c>
      <c r="AE34" s="347">
        <f t="shared" si="8"/>
        <v>4</v>
      </c>
      <c r="AF34" s="342" t="s">
        <v>33</v>
      </c>
      <c r="AG34" s="359" t="s">
        <v>102</v>
      </c>
      <c r="AK34" s="352">
        <v>15.0</v>
      </c>
      <c r="AL34" s="353"/>
      <c r="AM34" s="345">
        <f t="shared" si="9"/>
        <v>15</v>
      </c>
      <c r="AN34" s="349">
        <f t="shared" si="10"/>
        <v>7</v>
      </c>
      <c r="AO34" s="370">
        <f t="shared" si="11"/>
        <v>3</v>
      </c>
      <c r="AP34" s="28"/>
      <c r="AQ34" s="10"/>
      <c r="AR34" s="11"/>
      <c r="AS34" s="11"/>
      <c r="AT34" s="12"/>
      <c r="AU34" s="10"/>
      <c r="AV34" s="12"/>
      <c r="AW34" s="10"/>
      <c r="AX34" s="11"/>
      <c r="AY34" s="11"/>
      <c r="AZ34" s="12"/>
      <c r="BA34" s="10"/>
      <c r="BB34" s="12"/>
      <c r="BC34" s="3"/>
    </row>
    <row r="35" ht="16.5" customHeight="1">
      <c r="A35" s="22"/>
      <c r="B35" s="342" t="s">
        <v>33</v>
      </c>
      <c r="C35" s="343" t="s">
        <v>103</v>
      </c>
      <c r="G35" s="343">
        <v>1.0</v>
      </c>
      <c r="H35" s="353"/>
      <c r="I35" s="345">
        <f t="shared" si="1"/>
        <v>1</v>
      </c>
      <c r="J35" s="346">
        <f t="shared" si="15"/>
        <v>0</v>
      </c>
      <c r="K35" s="347">
        <f t="shared" si="2"/>
        <v>0</v>
      </c>
      <c r="L35" s="342" t="s">
        <v>33</v>
      </c>
      <c r="M35" s="343" t="s">
        <v>104</v>
      </c>
      <c r="Q35" s="352">
        <v>1.0</v>
      </c>
      <c r="R35" s="353"/>
      <c r="S35" s="345">
        <f t="shared" si="3"/>
        <v>1</v>
      </c>
      <c r="T35" s="349">
        <f t="shared" si="4"/>
        <v>0</v>
      </c>
      <c r="U35" s="350">
        <f t="shared" si="5"/>
        <v>0</v>
      </c>
      <c r="V35" s="342" t="s">
        <v>33</v>
      </c>
      <c r="W35" s="359" t="s">
        <v>105</v>
      </c>
      <c r="AA35" s="352">
        <v>5.0</v>
      </c>
      <c r="AB35" s="353"/>
      <c r="AC35" s="354">
        <f t="shared" si="6"/>
        <v>5</v>
      </c>
      <c r="AD35" s="346">
        <f t="shared" si="7"/>
        <v>2</v>
      </c>
      <c r="AE35" s="347">
        <f t="shared" si="8"/>
        <v>1</v>
      </c>
      <c r="AF35" s="342" t="s">
        <v>33</v>
      </c>
      <c r="AG35" s="359" t="s">
        <v>106</v>
      </c>
      <c r="AK35" s="352">
        <v>10.0</v>
      </c>
      <c r="AL35" s="353"/>
      <c r="AM35" s="354">
        <f t="shared" si="9"/>
        <v>10</v>
      </c>
      <c r="AN35" s="346">
        <f t="shared" si="10"/>
        <v>5</v>
      </c>
      <c r="AO35" s="355">
        <f t="shared" si="11"/>
        <v>2</v>
      </c>
      <c r="AP35" s="28"/>
      <c r="AQ35" s="133" t="s">
        <v>107</v>
      </c>
      <c r="AR35" s="5"/>
      <c r="AS35" s="5"/>
      <c r="AT35" s="7"/>
      <c r="AU35" s="134" t="s">
        <v>33</v>
      </c>
      <c r="AV35" s="7"/>
      <c r="AW35" s="135" t="s">
        <v>108</v>
      </c>
      <c r="AX35" s="5"/>
      <c r="AY35" s="5"/>
      <c r="AZ35" s="7"/>
      <c r="BA35" s="136" t="s">
        <v>33</v>
      </c>
      <c r="BB35" s="7"/>
      <c r="BC35" s="3"/>
    </row>
    <row r="36" ht="16.5" customHeight="1">
      <c r="A36" s="22"/>
      <c r="B36" s="342" t="s">
        <v>33</v>
      </c>
      <c r="C36" s="343" t="s">
        <v>109</v>
      </c>
      <c r="G36" s="343">
        <v>1.0</v>
      </c>
      <c r="H36" s="353"/>
      <c r="I36" s="345">
        <f t="shared" si="1"/>
        <v>1</v>
      </c>
      <c r="J36" s="346">
        <f t="shared" si="15"/>
        <v>0</v>
      </c>
      <c r="K36" s="347">
        <f t="shared" si="2"/>
        <v>0</v>
      </c>
      <c r="L36" s="342" t="s">
        <v>33</v>
      </c>
      <c r="M36" s="343" t="s">
        <v>110</v>
      </c>
      <c r="Q36" s="352">
        <v>1.0</v>
      </c>
      <c r="R36" s="353"/>
      <c r="S36" s="345">
        <f t="shared" si="3"/>
        <v>1</v>
      </c>
      <c r="T36" s="349">
        <f t="shared" si="4"/>
        <v>0</v>
      </c>
      <c r="U36" s="350">
        <f t="shared" si="5"/>
        <v>0</v>
      </c>
      <c r="V36" s="342" t="s">
        <v>33</v>
      </c>
      <c r="W36" s="343" t="s">
        <v>111</v>
      </c>
      <c r="AA36" s="343">
        <v>10.0</v>
      </c>
      <c r="AB36" s="353"/>
      <c r="AC36" s="345">
        <f t="shared" si="6"/>
        <v>10</v>
      </c>
      <c r="AD36" s="349">
        <f t="shared" si="7"/>
        <v>5</v>
      </c>
      <c r="AE36" s="350">
        <f t="shared" si="8"/>
        <v>2</v>
      </c>
      <c r="AF36" s="342" t="s">
        <v>33</v>
      </c>
      <c r="AG36" s="343" t="s">
        <v>112</v>
      </c>
      <c r="AK36" s="352">
        <v>10.0</v>
      </c>
      <c r="AL36" s="353"/>
      <c r="AM36" s="354">
        <f t="shared" si="9"/>
        <v>10</v>
      </c>
      <c r="AN36" s="346">
        <f t="shared" si="10"/>
        <v>5</v>
      </c>
      <c r="AO36" s="355">
        <f t="shared" si="11"/>
        <v>2</v>
      </c>
      <c r="AP36" s="28"/>
      <c r="AQ36" s="10"/>
      <c r="AR36" s="11"/>
      <c r="AS36" s="11"/>
      <c r="AT36" s="12"/>
      <c r="AU36" s="10"/>
      <c r="AV36" s="12"/>
      <c r="AW36" s="10"/>
      <c r="AX36" s="11"/>
      <c r="AY36" s="11"/>
      <c r="AZ36" s="12"/>
      <c r="BA36" s="10"/>
      <c r="BB36" s="12"/>
      <c r="BC36" s="3"/>
    </row>
    <row r="37" ht="15.0" customHeight="1">
      <c r="A37" s="2"/>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3"/>
      <c r="AD37" s="53"/>
      <c r="AE37" s="53"/>
      <c r="AF37" s="53"/>
      <c r="AG37" s="53"/>
      <c r="AH37" s="53"/>
      <c r="AI37" s="53"/>
      <c r="AJ37" s="53"/>
      <c r="AK37" s="53"/>
      <c r="AL37" s="53"/>
      <c r="AM37" s="53"/>
      <c r="AN37" s="53"/>
      <c r="AO37" s="53"/>
      <c r="AP37" s="3"/>
      <c r="AQ37" s="8"/>
      <c r="AR37" s="8"/>
      <c r="AS37" s="8"/>
      <c r="AT37" s="8"/>
      <c r="AU37" s="8"/>
      <c r="AV37" s="8"/>
      <c r="AW37" s="8"/>
      <c r="AX37" s="8"/>
      <c r="AY37" s="8"/>
      <c r="AZ37" s="8"/>
      <c r="BA37" s="8"/>
      <c r="BB37" s="8"/>
      <c r="BC37" s="3"/>
    </row>
    <row r="38" ht="13.5" customHeight="1">
      <c r="A38" s="22"/>
      <c r="B38" s="328" t="s">
        <v>113</v>
      </c>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5"/>
      <c r="AP38" s="28"/>
      <c r="AQ38" s="371" t="s">
        <v>15</v>
      </c>
      <c r="AR38" s="5"/>
      <c r="AS38" s="5"/>
      <c r="AT38" s="5"/>
      <c r="AU38" s="5"/>
      <c r="AV38" s="5"/>
      <c r="AW38" s="5"/>
      <c r="AX38" s="5"/>
      <c r="AY38" s="5"/>
      <c r="AZ38" s="5"/>
      <c r="BA38" s="5"/>
      <c r="BB38" s="7"/>
      <c r="BC38" s="3"/>
    </row>
    <row r="39" ht="13.5" customHeight="1">
      <c r="A39" s="22"/>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2"/>
      <c r="AP39" s="28"/>
      <c r="AQ39" s="10"/>
      <c r="AR39" s="11"/>
      <c r="AS39" s="11"/>
      <c r="AT39" s="11"/>
      <c r="AU39" s="11"/>
      <c r="AV39" s="11"/>
      <c r="AW39" s="11"/>
      <c r="AX39" s="11"/>
      <c r="AY39" s="11"/>
      <c r="AZ39" s="11"/>
      <c r="BA39" s="11"/>
      <c r="BB39" s="12"/>
      <c r="BC39" s="3"/>
    </row>
    <row r="40" ht="13.5" customHeight="1">
      <c r="A40" s="22"/>
      <c r="B40" s="372" t="s">
        <v>113</v>
      </c>
      <c r="C40" s="34"/>
      <c r="D40" s="34"/>
      <c r="E40" s="34"/>
      <c r="F40" s="34"/>
      <c r="G40" s="34"/>
      <c r="H40" s="34"/>
      <c r="I40" s="35"/>
      <c r="J40" s="372" t="s">
        <v>114</v>
      </c>
      <c r="K40" s="34"/>
      <c r="L40" s="35"/>
      <c r="M40" s="372" t="s">
        <v>115</v>
      </c>
      <c r="N40" s="34"/>
      <c r="O40" s="35"/>
      <c r="P40" s="372" t="s">
        <v>116</v>
      </c>
      <c r="Q40" s="34"/>
      <c r="R40" s="35"/>
      <c r="S40" s="372" t="s">
        <v>117</v>
      </c>
      <c r="T40" s="34"/>
      <c r="U40" s="34"/>
      <c r="V40" s="34"/>
      <c r="W40" s="34"/>
      <c r="X40" s="35"/>
      <c r="Y40" s="372" t="s">
        <v>118</v>
      </c>
      <c r="Z40" s="34"/>
      <c r="AA40" s="34"/>
      <c r="AB40" s="35"/>
      <c r="AC40" s="372" t="s">
        <v>119</v>
      </c>
      <c r="AD40" s="34"/>
      <c r="AE40" s="34"/>
      <c r="AF40" s="34"/>
      <c r="AG40" s="35"/>
      <c r="AH40" s="372" t="s">
        <v>120</v>
      </c>
      <c r="AI40" s="34"/>
      <c r="AJ40" s="34"/>
      <c r="AK40" s="35"/>
      <c r="AL40" s="372" t="s">
        <v>121</v>
      </c>
      <c r="AM40" s="34"/>
      <c r="AN40" s="34"/>
      <c r="AO40" s="35"/>
      <c r="AP40" s="28"/>
      <c r="AQ40" s="156"/>
      <c r="AR40" s="157"/>
      <c r="AS40" s="157"/>
      <c r="AT40" s="157"/>
      <c r="AU40" s="157"/>
      <c r="AV40" s="157"/>
      <c r="AW40" s="157"/>
      <c r="AX40" s="157"/>
      <c r="AY40" s="157"/>
      <c r="AZ40" s="157"/>
      <c r="BA40" s="157"/>
      <c r="BB40" s="158"/>
      <c r="BC40" s="3"/>
    </row>
    <row r="41" ht="13.5" customHeight="1">
      <c r="A41" s="2"/>
      <c r="B41" s="159" t="s">
        <v>122</v>
      </c>
      <c r="I41" s="160"/>
      <c r="J41" s="161">
        <v>25.0</v>
      </c>
      <c r="M41" s="161">
        <f t="shared" ref="M41:M47" si="16">Int(DIVIDE(J41,2))</f>
        <v>12</v>
      </c>
      <c r="O41" s="160"/>
      <c r="P41" s="161">
        <f t="shared" ref="P41:P47" si="17">Int(DIVIDE(J41,5))</f>
        <v>5</v>
      </c>
      <c r="R41" s="160"/>
      <c r="S41" s="162" t="s">
        <v>123</v>
      </c>
      <c r="X41" s="160"/>
      <c r="Y41" s="161" t="s">
        <v>124</v>
      </c>
      <c r="AB41" s="160"/>
      <c r="AC41" s="161">
        <v>1.0</v>
      </c>
      <c r="AG41" s="160"/>
      <c r="AH41" s="161" t="s">
        <v>124</v>
      </c>
      <c r="AK41" s="160"/>
      <c r="AL41" s="161" t="s">
        <v>124</v>
      </c>
      <c r="AO41" s="15"/>
      <c r="AP41" s="3"/>
      <c r="AQ41" s="163" t="str">
        <f>IF(S19=0,"무일푼, 노숙.",(IF(AND(1&lt;=S19,10&gt;S19),"가난, 최소한의 재산만 소유.",IF(AND(10&lt;=S19,50&gt;S19),"보통, 적당히 안락한 생활.",(IF(AND(50&lt;=S19,90&gt;S19),"부유, 약간의 사치 가능.",(IF(AND(90&lt;=S19,99&gt;S19),"자산가, 막대한 부와 사치.",(IF(S19=99,"갑부, 돈은 문제가 되지 않는 수준."))))))))))</f>
        <v>무일푼, 노숙.</v>
      </c>
      <c r="AR41" s="164"/>
      <c r="AS41" s="164"/>
      <c r="AT41" s="164"/>
      <c r="AU41" s="164"/>
      <c r="AV41" s="164"/>
      <c r="AW41" s="164"/>
      <c r="AX41" s="164"/>
      <c r="AY41" s="164"/>
      <c r="AZ41" s="164"/>
      <c r="BA41" s="164"/>
      <c r="BB41" s="165"/>
      <c r="BC41" s="3"/>
    </row>
    <row r="42" ht="13.5" customHeight="1">
      <c r="A42" s="22"/>
      <c r="B42" s="166"/>
      <c r="C42" s="167"/>
      <c r="D42" s="167"/>
      <c r="E42" s="167"/>
      <c r="F42" s="167"/>
      <c r="G42" s="167"/>
      <c r="H42" s="167"/>
      <c r="I42" s="168"/>
      <c r="J42" s="169"/>
      <c r="K42" s="167"/>
      <c r="L42" s="168"/>
      <c r="M42" s="170">
        <f t="shared" si="16"/>
        <v>0</v>
      </c>
      <c r="N42" s="167"/>
      <c r="O42" s="168"/>
      <c r="P42" s="170">
        <f t="shared" si="17"/>
        <v>0</v>
      </c>
      <c r="Q42" s="167"/>
      <c r="R42" s="168"/>
      <c r="S42" s="171"/>
      <c r="T42" s="167"/>
      <c r="U42" s="167"/>
      <c r="V42" s="167"/>
      <c r="W42" s="167"/>
      <c r="X42" s="168"/>
      <c r="Y42" s="169"/>
      <c r="Z42" s="167"/>
      <c r="AA42" s="167"/>
      <c r="AB42" s="168"/>
      <c r="AC42" s="169"/>
      <c r="AD42" s="167"/>
      <c r="AE42" s="167"/>
      <c r="AF42" s="167"/>
      <c r="AG42" s="168"/>
      <c r="AH42" s="169"/>
      <c r="AI42" s="167"/>
      <c r="AJ42" s="167"/>
      <c r="AK42" s="168"/>
      <c r="AL42" s="169"/>
      <c r="AM42" s="167"/>
      <c r="AN42" s="167"/>
      <c r="AO42" s="172"/>
      <c r="AP42" s="28"/>
      <c r="AQ42" s="163" t="str">
        <f>IF(V10=0,"서있거나 컵을 들 힘조차 없음.",(IF(AND(1&lt;=V10,30&gt;V10),"힘없고 허약한 사람.",IF(AND(30&lt;=V10,70&gt;V10),"평균적 근력의 소유자.",(IF(AND(70&lt;=V10,85&gt;V10),"근력이 좋은 사람.",(IF(AND(85&lt;=V10,99&gt;V10),"보기 드물게 강한 사람.",(IF(V10=99,"인간의 한계에 다다른 강한 근력."))))))))))</f>
        <v>서있거나 컵을 들 힘조차 없음.</v>
      </c>
      <c r="AR42" s="164"/>
      <c r="AS42" s="164"/>
      <c r="AT42" s="164"/>
      <c r="AU42" s="164"/>
      <c r="AV42" s="164"/>
      <c r="AW42" s="164"/>
      <c r="AX42" s="164"/>
      <c r="AY42" s="164"/>
      <c r="AZ42" s="164"/>
      <c r="BA42" s="164"/>
      <c r="BB42" s="165"/>
      <c r="BC42" s="3"/>
    </row>
    <row r="43" ht="13.5" customHeight="1">
      <c r="A43" s="22"/>
      <c r="B43" s="173"/>
      <c r="C43" s="167"/>
      <c r="D43" s="167"/>
      <c r="E43" s="167"/>
      <c r="F43" s="167"/>
      <c r="G43" s="167"/>
      <c r="H43" s="167"/>
      <c r="I43" s="168"/>
      <c r="J43" s="169"/>
      <c r="K43" s="167"/>
      <c r="L43" s="168"/>
      <c r="M43" s="170">
        <f t="shared" si="16"/>
        <v>0</v>
      </c>
      <c r="N43" s="167"/>
      <c r="O43" s="168"/>
      <c r="P43" s="170">
        <f t="shared" si="17"/>
        <v>0</v>
      </c>
      <c r="Q43" s="167"/>
      <c r="R43" s="168"/>
      <c r="S43" s="169"/>
      <c r="T43" s="167"/>
      <c r="U43" s="167"/>
      <c r="V43" s="167"/>
      <c r="W43" s="167"/>
      <c r="X43" s="168"/>
      <c r="Y43" s="169"/>
      <c r="Z43" s="167"/>
      <c r="AA43" s="167"/>
      <c r="AB43" s="168"/>
      <c r="AC43" s="169"/>
      <c r="AD43" s="167"/>
      <c r="AE43" s="167"/>
      <c r="AF43" s="167"/>
      <c r="AG43" s="168"/>
      <c r="AH43" s="169"/>
      <c r="AI43" s="167"/>
      <c r="AJ43" s="167"/>
      <c r="AK43" s="168"/>
      <c r="AL43" s="169"/>
      <c r="AM43" s="167"/>
      <c r="AN43" s="167"/>
      <c r="AO43" s="172"/>
      <c r="AP43" s="28"/>
      <c r="AQ43" s="163" t="str">
        <f>IF(V12=0,"산 송장.",(IF(AND(1&lt;=V12,10&gt;V12),"병자. 혼자 움직일 수 없음.",(IF(AND(10&lt;=V12,30&gt;V12),"건강 나쁨. 면역력이 아주 약하다.",IF(AND(30&lt;=V12,70&gt;V12),"평균적으로 건강한 사람.",(IF(AND(70&lt;=V12,99&gt;V12),"잔병치레 없는 수준의 건강함.",(IF(V12=99,"철의 인간, 엄청나게 건강."))))))))))</f>
        <v>산 송장.</v>
      </c>
      <c r="AR43" s="164"/>
      <c r="AS43" s="164"/>
      <c r="AT43" s="164"/>
      <c r="AU43" s="164"/>
      <c r="AV43" s="164"/>
      <c r="AW43" s="164"/>
      <c r="AX43" s="164"/>
      <c r="AY43" s="164"/>
      <c r="AZ43" s="164"/>
      <c r="BA43" s="164"/>
      <c r="BB43" s="165"/>
      <c r="BC43" s="3"/>
    </row>
    <row r="44" ht="13.5" customHeight="1">
      <c r="A44" s="22"/>
      <c r="B44" s="173"/>
      <c r="C44" s="167"/>
      <c r="D44" s="167"/>
      <c r="E44" s="167"/>
      <c r="F44" s="167"/>
      <c r="G44" s="167"/>
      <c r="H44" s="167"/>
      <c r="I44" s="168"/>
      <c r="J44" s="169"/>
      <c r="K44" s="167"/>
      <c r="L44" s="168"/>
      <c r="M44" s="174">
        <f t="shared" si="16"/>
        <v>0</v>
      </c>
      <c r="N44" s="167"/>
      <c r="O44" s="168"/>
      <c r="P44" s="174">
        <f t="shared" si="17"/>
        <v>0</v>
      </c>
      <c r="Q44" s="167"/>
      <c r="R44" s="168"/>
      <c r="S44" s="169"/>
      <c r="T44" s="167"/>
      <c r="U44" s="167"/>
      <c r="V44" s="167"/>
      <c r="W44" s="167"/>
      <c r="X44" s="168"/>
      <c r="Y44" s="169"/>
      <c r="Z44" s="167"/>
      <c r="AA44" s="167"/>
      <c r="AB44" s="168"/>
      <c r="AC44" s="169"/>
      <c r="AD44" s="167"/>
      <c r="AE44" s="167"/>
      <c r="AF44" s="167"/>
      <c r="AG44" s="168"/>
      <c r="AH44" s="169"/>
      <c r="AI44" s="167"/>
      <c r="AJ44" s="167"/>
      <c r="AK44" s="168"/>
      <c r="AL44" s="169"/>
      <c r="AM44" s="167"/>
      <c r="AN44" s="167"/>
      <c r="AO44" s="172"/>
      <c r="AP44" s="28"/>
      <c r="AQ44" s="163" t="str">
        <f>IF(AL12=0,"갓난아기 수준의 교육.",(IF(AND(1&lt;=AL12,30&gt;AL12),"제대로 된 교육을 받지 못했다.",IF(AND(30&lt;=AL12,70&gt;AL12),"평균적인 수준의 교육을 받음.",(IF(AND(70&lt;=AL12,85&gt;AL12),"대졸 수준 이상의 교육을 받음.",(IF(AND(85&lt;=AL12,99&gt;AL12),"교육받은 분야의 전문가.",(IF(AL12=99,"세계적으로 저명한 엘리트."))))))))))</f>
        <v>갓난아기 수준의 교육.</v>
      </c>
      <c r="AR44" s="164"/>
      <c r="AS44" s="164"/>
      <c r="AT44" s="164"/>
      <c r="AU44" s="164"/>
      <c r="AV44" s="164"/>
      <c r="AW44" s="164"/>
      <c r="AX44" s="164"/>
      <c r="AY44" s="164"/>
      <c r="AZ44" s="164"/>
      <c r="BA44" s="164"/>
      <c r="BB44" s="165"/>
      <c r="BC44" s="3"/>
    </row>
    <row r="45" ht="13.5" customHeight="1">
      <c r="A45" s="22"/>
      <c r="B45" s="173"/>
      <c r="C45" s="167"/>
      <c r="D45" s="167"/>
      <c r="E45" s="167"/>
      <c r="F45" s="167"/>
      <c r="G45" s="167"/>
      <c r="H45" s="167"/>
      <c r="I45" s="168"/>
      <c r="J45" s="169"/>
      <c r="K45" s="167"/>
      <c r="L45" s="168"/>
      <c r="M45" s="174">
        <f t="shared" si="16"/>
        <v>0</v>
      </c>
      <c r="N45" s="167"/>
      <c r="O45" s="168"/>
      <c r="P45" s="174">
        <f t="shared" si="17"/>
        <v>0</v>
      </c>
      <c r="Q45" s="167"/>
      <c r="R45" s="168"/>
      <c r="S45" s="169"/>
      <c r="T45" s="167"/>
      <c r="U45" s="167"/>
      <c r="V45" s="167"/>
      <c r="W45" s="167"/>
      <c r="X45" s="168"/>
      <c r="Y45" s="169"/>
      <c r="Z45" s="167"/>
      <c r="AA45" s="167"/>
      <c r="AB45" s="168"/>
      <c r="AC45" s="169"/>
      <c r="AD45" s="167"/>
      <c r="AE45" s="167"/>
      <c r="AF45" s="167"/>
      <c r="AG45" s="168"/>
      <c r="AH45" s="169"/>
      <c r="AI45" s="167"/>
      <c r="AJ45" s="167"/>
      <c r="AK45" s="168"/>
      <c r="AL45" s="169"/>
      <c r="AM45" s="167"/>
      <c r="AN45" s="167"/>
      <c r="AO45" s="172"/>
      <c r="AP45" s="28"/>
      <c r="AQ45" s="163" t="str">
        <f>IF(AD10=0,"도움이 없이는 움직일 수 없다.",(IF(AND(1&lt;=AD10,30&gt;AD10),"느리고 덤벙대며 둔하다.",IF(AND(30&lt;=AD10,70&gt;AD10),"일반 사람의 민첩성.",(IF(AND(70&lt;=AD10,85&gt;AD10),"민첩하고 반응속도가 빠른 사람.",(IF(AND(85&lt;=AD10,99&gt;AD10),"국가대표 체조 선수 수준의 민첩성.",(IF(AD10=99,"세계 최고 민첩성의 소유자."))))))))))</f>
        <v>도움이 없이는 움직일 수 없다.</v>
      </c>
      <c r="AR45" s="164"/>
      <c r="AS45" s="164"/>
      <c r="AT45" s="164"/>
      <c r="AU45" s="164"/>
      <c r="AV45" s="164"/>
      <c r="AW45" s="164"/>
      <c r="AX45" s="164"/>
      <c r="AY45" s="164"/>
      <c r="AZ45" s="164"/>
      <c r="BA45" s="164"/>
      <c r="BB45" s="165"/>
      <c r="BC45" s="3"/>
    </row>
    <row r="46" ht="13.5" customHeight="1">
      <c r="A46" s="22"/>
      <c r="B46" s="173"/>
      <c r="C46" s="167"/>
      <c r="D46" s="167"/>
      <c r="E46" s="167"/>
      <c r="F46" s="167"/>
      <c r="G46" s="167"/>
      <c r="H46" s="167"/>
      <c r="I46" s="168"/>
      <c r="J46" s="169"/>
      <c r="K46" s="167"/>
      <c r="L46" s="168"/>
      <c r="M46" s="174">
        <f t="shared" si="16"/>
        <v>0</v>
      </c>
      <c r="N46" s="167"/>
      <c r="O46" s="168"/>
      <c r="P46" s="174">
        <f t="shared" si="17"/>
        <v>0</v>
      </c>
      <c r="Q46" s="167"/>
      <c r="R46" s="168"/>
      <c r="S46" s="169"/>
      <c r="T46" s="167"/>
      <c r="U46" s="167"/>
      <c r="V46" s="167"/>
      <c r="W46" s="167"/>
      <c r="X46" s="168"/>
      <c r="Y46" s="169"/>
      <c r="Z46" s="167"/>
      <c r="AA46" s="167"/>
      <c r="AB46" s="168"/>
      <c r="AC46" s="169"/>
      <c r="AD46" s="167"/>
      <c r="AE46" s="167"/>
      <c r="AF46" s="167"/>
      <c r="AG46" s="168"/>
      <c r="AH46" s="169"/>
      <c r="AI46" s="167"/>
      <c r="AJ46" s="167"/>
      <c r="AK46" s="168"/>
      <c r="AL46" s="169"/>
      <c r="AM46" s="167"/>
      <c r="AN46" s="167"/>
      <c r="AO46" s="172"/>
      <c r="AP46" s="28"/>
      <c r="AQ46" s="163" t="str">
        <f>IF(AD14=0,"주변의 아무 것도 이해하지 못함.",(IF(AND(1&lt;=AD14,30&gt;AD14),"배우는 것이 느림, 기초적 학습만 가능.",IF(AND(30&lt;=AD14,70&gt;AD14),"보통 사람의 아이큐.",(IF(AND(70&lt;=AD14,85&gt;AD14),"재치가 있고 머리회전이 빠르다.",(IF(AND(85&lt;=AD14,99&gt;AD14),"머리가 좋아 다양한 지식을 가지고 있다.",(IF(AD14=99,"아인슈타인 수준의 두뇌."))))))))))</f>
        <v>주변의 아무 것도 이해하지 못함.</v>
      </c>
      <c r="AR46" s="164"/>
      <c r="AS46" s="164"/>
      <c r="AT46" s="164"/>
      <c r="AU46" s="164"/>
      <c r="AV46" s="164"/>
      <c r="AW46" s="164"/>
      <c r="AX46" s="164"/>
      <c r="AY46" s="164"/>
      <c r="AZ46" s="164"/>
      <c r="BA46" s="164"/>
      <c r="BB46" s="165"/>
      <c r="BC46" s="3"/>
    </row>
    <row r="47" ht="13.5" customHeight="1">
      <c r="A47" s="22"/>
      <c r="B47" s="175"/>
      <c r="C47" s="176"/>
      <c r="D47" s="176"/>
      <c r="E47" s="176"/>
      <c r="F47" s="176"/>
      <c r="G47" s="176"/>
      <c r="H47" s="176"/>
      <c r="I47" s="177"/>
      <c r="J47" s="178"/>
      <c r="K47" s="176"/>
      <c r="L47" s="177"/>
      <c r="M47" s="179">
        <f t="shared" si="16"/>
        <v>0</v>
      </c>
      <c r="N47" s="176"/>
      <c r="O47" s="177"/>
      <c r="P47" s="179">
        <f t="shared" si="17"/>
        <v>0</v>
      </c>
      <c r="Q47" s="176"/>
      <c r="R47" s="177"/>
      <c r="S47" s="178"/>
      <c r="T47" s="176"/>
      <c r="U47" s="176"/>
      <c r="V47" s="176"/>
      <c r="W47" s="176"/>
      <c r="X47" s="177"/>
      <c r="Y47" s="178"/>
      <c r="Z47" s="176"/>
      <c r="AA47" s="176"/>
      <c r="AB47" s="177"/>
      <c r="AC47" s="178"/>
      <c r="AD47" s="176"/>
      <c r="AE47" s="176"/>
      <c r="AF47" s="176"/>
      <c r="AG47" s="177"/>
      <c r="AH47" s="178"/>
      <c r="AI47" s="176"/>
      <c r="AJ47" s="176"/>
      <c r="AK47" s="177"/>
      <c r="AL47" s="178"/>
      <c r="AM47" s="176"/>
      <c r="AN47" s="176"/>
      <c r="AO47" s="180"/>
      <c r="AP47" s="28"/>
      <c r="AQ47" s="163" t="str">
        <f>IF(AL10=0,"어떠한 의지도 의욕도 없는 사람.",(IF(AND(1&lt;=AL10,30&gt;AL10),"의지가 약하고 남들에게 곧잘 휘둘림.",IF(AND(30&lt;=AL10,70&gt;AL10),"보통 사람의 의지를 가졌다.",(IF(AND(70&lt;=AL10,85&gt;AL10),"의지가 강한 사람.",(IF(AND(85&lt;=AL10,99&gt;AL10),"아주 높은 정신력, 영적 감이 있을 수도.",(IF(AL10=99,"철의 의지. 이세계와 깊게 연관됨."))))))))))</f>
        <v>어떠한 의지도 의욕도 없는 사람.</v>
      </c>
      <c r="AR47" s="164"/>
      <c r="AS47" s="164"/>
      <c r="AT47" s="164"/>
      <c r="AU47" s="164"/>
      <c r="AV47" s="164"/>
      <c r="AW47" s="164"/>
      <c r="AX47" s="164"/>
      <c r="AY47" s="164"/>
      <c r="AZ47" s="164"/>
      <c r="BA47" s="164"/>
      <c r="BB47" s="165"/>
      <c r="BC47" s="3"/>
    </row>
    <row r="48" ht="13.5" customHeight="1">
      <c r="A48" s="22"/>
      <c r="B48" s="328" t="s">
        <v>125</v>
      </c>
      <c r="C48" s="24"/>
      <c r="D48" s="24"/>
      <c r="E48" s="24"/>
      <c r="F48" s="24"/>
      <c r="G48" s="24"/>
      <c r="H48" s="24"/>
      <c r="I48" s="24"/>
      <c r="J48" s="24"/>
      <c r="K48" s="24"/>
      <c r="L48" s="24"/>
      <c r="M48" s="24"/>
      <c r="N48" s="24"/>
      <c r="O48" s="24"/>
      <c r="P48" s="24"/>
      <c r="Q48" s="24"/>
      <c r="R48" s="24"/>
      <c r="S48" s="24"/>
      <c r="T48" s="24"/>
      <c r="U48" s="373"/>
      <c r="V48" s="374" t="s">
        <v>126</v>
      </c>
      <c r="W48" s="24"/>
      <c r="X48" s="24"/>
      <c r="Y48" s="24"/>
      <c r="Z48" s="24"/>
      <c r="AA48" s="24"/>
      <c r="AB48" s="24"/>
      <c r="AC48" s="24"/>
      <c r="AD48" s="24"/>
      <c r="AE48" s="24"/>
      <c r="AF48" s="24"/>
      <c r="AG48" s="24"/>
      <c r="AH48" s="24"/>
      <c r="AI48" s="24"/>
      <c r="AJ48" s="24"/>
      <c r="AK48" s="24"/>
      <c r="AL48" s="24"/>
      <c r="AM48" s="24"/>
      <c r="AN48" s="24"/>
      <c r="AO48" s="373"/>
      <c r="AP48" s="28"/>
      <c r="AQ48" s="184"/>
      <c r="AR48" s="185"/>
      <c r="AS48" s="185"/>
      <c r="AT48" s="185"/>
      <c r="AU48" s="185"/>
      <c r="AV48" s="185"/>
      <c r="AW48" s="185"/>
      <c r="AX48" s="185"/>
      <c r="AY48" s="185"/>
      <c r="AZ48" s="185"/>
      <c r="BA48" s="185"/>
      <c r="BB48" s="186"/>
      <c r="BC48" s="3"/>
    </row>
    <row r="49" ht="13.5" customHeight="1">
      <c r="A49" s="22"/>
      <c r="B49" s="30"/>
      <c r="C49" s="31"/>
      <c r="D49" s="31"/>
      <c r="E49" s="31"/>
      <c r="F49" s="31"/>
      <c r="G49" s="31"/>
      <c r="H49" s="31"/>
      <c r="I49" s="31"/>
      <c r="J49" s="31"/>
      <c r="K49" s="31"/>
      <c r="L49" s="31"/>
      <c r="M49" s="31"/>
      <c r="N49" s="31"/>
      <c r="O49" s="31"/>
      <c r="P49" s="31"/>
      <c r="Q49" s="31"/>
      <c r="R49" s="31"/>
      <c r="S49" s="31"/>
      <c r="T49" s="31"/>
      <c r="U49" s="189"/>
      <c r="V49" s="188"/>
      <c r="W49" s="31"/>
      <c r="X49" s="31"/>
      <c r="Y49" s="31"/>
      <c r="Z49" s="31"/>
      <c r="AA49" s="31"/>
      <c r="AB49" s="31"/>
      <c r="AC49" s="31"/>
      <c r="AD49" s="31"/>
      <c r="AE49" s="31"/>
      <c r="AF49" s="31"/>
      <c r="AG49" s="31"/>
      <c r="AH49" s="31"/>
      <c r="AI49" s="31"/>
      <c r="AJ49" s="31"/>
      <c r="AK49" s="31"/>
      <c r="AL49" s="31"/>
      <c r="AM49" s="31"/>
      <c r="AN49" s="31"/>
      <c r="AO49" s="189"/>
      <c r="AP49" s="28"/>
      <c r="AQ49" s="375" t="s">
        <v>127</v>
      </c>
      <c r="AR49" s="294"/>
      <c r="AS49" s="294"/>
      <c r="AT49" s="294"/>
      <c r="AU49" s="294"/>
      <c r="AV49" s="294"/>
      <c r="AW49" s="294"/>
      <c r="AX49" s="294"/>
      <c r="AY49" s="294"/>
      <c r="AZ49" s="294"/>
      <c r="BA49" s="294"/>
      <c r="BB49" s="295"/>
      <c r="BC49" s="3"/>
    </row>
    <row r="50" ht="64.5" customHeight="1">
      <c r="A50" s="22"/>
      <c r="B50" s="296" t="str">
        <f>if(or(U49&gt;10,U49&lt;0),"",
if(U49=1,"가장 높은 기능과 관련된 물건",
if(U49=2,"직업에 필수적인 물건",
if(U49=3,"어린 시절 추억의 물건",
if(U49=4,"중요한 사람의 유품",
if(U49=5,"중요한 사람에게서 받은 물건",
if(U49=6,"수집품",
if(U49=7,"출처가 불분명한 물건",
if(U49=8,"스포츠용품",
if(U49=9,"무기",
if(U49=10,"아끼는 동물",
"")))))))))))</f>
        <v/>
      </c>
      <c r="C50" s="5"/>
      <c r="D50" s="5"/>
      <c r="E50" s="5"/>
      <c r="F50" s="297"/>
      <c r="G50" s="298"/>
      <c r="H50" s="5"/>
      <c r="I50" s="5"/>
      <c r="J50" s="5"/>
      <c r="K50" s="297"/>
      <c r="L50" s="298"/>
      <c r="M50" s="5"/>
      <c r="N50" s="5"/>
      <c r="O50" s="5"/>
      <c r="P50" s="297"/>
      <c r="Q50" s="298"/>
      <c r="R50" s="5"/>
      <c r="S50" s="5"/>
      <c r="T50" s="5"/>
      <c r="U50" s="299"/>
      <c r="V50" s="300" t="str">
        <f>if(or(AO49&gt;10,AO49&lt;0),"잘못된 숫자를 넣으셨습니다.",
if(AO49=1,"부모",
if(AO49=2,"조부모",
if(AO49=3,"형제자매",
if(AO49=4,"자식",
if(AO49=5,"파트너",
if(AO49=6,"존경하는 스승",
if(AO49=7,"친구",
if(AO49=8,"유명인, 우상, 영웅",
if(AO49=9,"동료 탐사자",
if(AO49=10,"NPC",
"")))))))))))</f>
        <v/>
      </c>
      <c r="W50" s="5"/>
      <c r="X50" s="5"/>
      <c r="Y50" s="5"/>
      <c r="Z50" s="297"/>
      <c r="AA50" s="301"/>
      <c r="AB50" s="5"/>
      <c r="AC50" s="5"/>
      <c r="AD50" s="5"/>
      <c r="AE50" s="297"/>
      <c r="AF50" s="301"/>
      <c r="AG50" s="5"/>
      <c r="AH50" s="5"/>
      <c r="AI50" s="5"/>
      <c r="AJ50" s="297"/>
      <c r="AK50" s="301"/>
      <c r="AL50" s="5"/>
      <c r="AM50" s="5"/>
      <c r="AN50" s="5"/>
      <c r="AO50" s="7"/>
      <c r="AP50" s="28"/>
      <c r="AQ50" s="9"/>
      <c r="BB50" s="302"/>
      <c r="BC50" s="3"/>
    </row>
    <row r="51" ht="8.25" customHeight="1">
      <c r="A51" s="22"/>
      <c r="B51" s="303"/>
      <c r="C51" s="304"/>
      <c r="D51" s="304"/>
      <c r="E51" s="304"/>
      <c r="F51" s="305"/>
      <c r="G51" s="306"/>
      <c r="H51" s="304"/>
      <c r="I51" s="304"/>
      <c r="J51" s="304"/>
      <c r="K51" s="305"/>
      <c r="L51" s="306"/>
      <c r="M51" s="304"/>
      <c r="N51" s="304"/>
      <c r="O51" s="304"/>
      <c r="P51" s="305"/>
      <c r="Q51" s="306"/>
      <c r="R51" s="304"/>
      <c r="S51" s="304"/>
      <c r="T51" s="304"/>
      <c r="U51" s="307"/>
      <c r="V51" s="304"/>
      <c r="W51" s="304"/>
      <c r="X51" s="304"/>
      <c r="Y51" s="304"/>
      <c r="Z51" s="305"/>
      <c r="AA51" s="306"/>
      <c r="AB51" s="304"/>
      <c r="AC51" s="304"/>
      <c r="AD51" s="304"/>
      <c r="AE51" s="305"/>
      <c r="AF51" s="306"/>
      <c r="AG51" s="304"/>
      <c r="AH51" s="304"/>
      <c r="AI51" s="304"/>
      <c r="AJ51" s="305"/>
      <c r="AK51" s="306"/>
      <c r="AL51" s="304"/>
      <c r="AM51" s="304"/>
      <c r="AN51" s="304"/>
      <c r="AO51" s="308"/>
      <c r="AP51" s="28"/>
      <c r="AQ51" s="9"/>
      <c r="BB51" s="302"/>
      <c r="BC51" s="3"/>
    </row>
    <row r="52" ht="26.25" customHeight="1">
      <c r="A52" s="22"/>
      <c r="B52" s="309"/>
      <c r="C52" s="310"/>
      <c r="D52" s="310"/>
      <c r="E52" s="310"/>
      <c r="F52" s="311"/>
      <c r="G52" s="312"/>
      <c r="H52" s="310"/>
      <c r="I52" s="310"/>
      <c r="J52" s="310"/>
      <c r="K52" s="311"/>
      <c r="L52" s="312"/>
      <c r="M52" s="310"/>
      <c r="N52" s="310"/>
      <c r="O52" s="310"/>
      <c r="P52" s="311"/>
      <c r="Q52" s="312"/>
      <c r="R52" s="310"/>
      <c r="S52" s="310"/>
      <c r="T52" s="310"/>
      <c r="U52" s="313"/>
      <c r="V52" s="314"/>
      <c r="W52" s="310"/>
      <c r="X52" s="310"/>
      <c r="Y52" s="310"/>
      <c r="Z52" s="311"/>
      <c r="AA52" s="315"/>
      <c r="AB52" s="310"/>
      <c r="AC52" s="310"/>
      <c r="AD52" s="310"/>
      <c r="AE52" s="311"/>
      <c r="AF52" s="315"/>
      <c r="AG52" s="310"/>
      <c r="AH52" s="310"/>
      <c r="AI52" s="310"/>
      <c r="AJ52" s="311"/>
      <c r="AK52" s="315"/>
      <c r="AL52" s="310"/>
      <c r="AM52" s="310"/>
      <c r="AN52" s="310"/>
      <c r="AO52" s="316"/>
      <c r="AP52" s="28"/>
      <c r="AQ52" s="9"/>
      <c r="BB52" s="302"/>
      <c r="BC52" s="3"/>
    </row>
    <row r="53" ht="49.5" customHeight="1">
      <c r="A53" s="22"/>
      <c r="B53" s="303"/>
      <c r="C53" s="304"/>
      <c r="D53" s="304"/>
      <c r="E53" s="304"/>
      <c r="F53" s="305"/>
      <c r="G53" s="306"/>
      <c r="H53" s="304"/>
      <c r="I53" s="304"/>
      <c r="J53" s="304"/>
      <c r="K53" s="305"/>
      <c r="L53" s="306"/>
      <c r="M53" s="304"/>
      <c r="N53" s="304"/>
      <c r="O53" s="304"/>
      <c r="P53" s="305"/>
      <c r="Q53" s="306"/>
      <c r="R53" s="304"/>
      <c r="S53" s="304"/>
      <c r="T53" s="304"/>
      <c r="U53" s="307"/>
      <c r="V53" s="304"/>
      <c r="W53" s="304"/>
      <c r="X53" s="304"/>
      <c r="Y53" s="304"/>
      <c r="Z53" s="305"/>
      <c r="AA53" s="306"/>
      <c r="AB53" s="304"/>
      <c r="AC53" s="304"/>
      <c r="AD53" s="304"/>
      <c r="AE53" s="305"/>
      <c r="AF53" s="306"/>
      <c r="AG53" s="304"/>
      <c r="AH53" s="304"/>
      <c r="AI53" s="304"/>
      <c r="AJ53" s="305"/>
      <c r="AK53" s="306"/>
      <c r="AL53" s="304"/>
      <c r="AM53" s="304"/>
      <c r="AN53" s="304"/>
      <c r="AO53" s="308"/>
      <c r="AP53" s="28"/>
      <c r="AQ53" s="9"/>
      <c r="BB53" s="302"/>
      <c r="BC53" s="3"/>
    </row>
    <row r="54" ht="47.25" customHeight="1">
      <c r="A54" s="22"/>
      <c r="B54" s="309"/>
      <c r="C54" s="310"/>
      <c r="D54" s="310"/>
      <c r="E54" s="310"/>
      <c r="F54" s="311"/>
      <c r="G54" s="312"/>
      <c r="H54" s="310"/>
      <c r="I54" s="310"/>
      <c r="J54" s="310"/>
      <c r="K54" s="311"/>
      <c r="L54" s="312"/>
      <c r="M54" s="310"/>
      <c r="N54" s="310"/>
      <c r="O54" s="310"/>
      <c r="P54" s="311"/>
      <c r="Q54" s="312"/>
      <c r="R54" s="310"/>
      <c r="S54" s="310"/>
      <c r="T54" s="310"/>
      <c r="U54" s="313"/>
      <c r="V54" s="314"/>
      <c r="W54" s="310"/>
      <c r="X54" s="310"/>
      <c r="Y54" s="310"/>
      <c r="Z54" s="311"/>
      <c r="AA54" s="315"/>
      <c r="AB54" s="310"/>
      <c r="AC54" s="310"/>
      <c r="AD54" s="310"/>
      <c r="AE54" s="311"/>
      <c r="AF54" s="315"/>
      <c r="AG54" s="310"/>
      <c r="AH54" s="310"/>
      <c r="AI54" s="310"/>
      <c r="AJ54" s="311"/>
      <c r="AK54" s="315"/>
      <c r="AL54" s="310"/>
      <c r="AM54" s="310"/>
      <c r="AN54" s="310"/>
      <c r="AO54" s="316"/>
      <c r="AP54" s="28"/>
      <c r="AQ54" s="10"/>
      <c r="AR54" s="11"/>
      <c r="AS54" s="11"/>
      <c r="AT54" s="11"/>
      <c r="AU54" s="11"/>
      <c r="AV54" s="11"/>
      <c r="AW54" s="11"/>
      <c r="AX54" s="11"/>
      <c r="AY54" s="11"/>
      <c r="AZ54" s="11"/>
      <c r="BA54" s="11"/>
      <c r="BB54" s="317"/>
      <c r="BC54" s="3"/>
    </row>
    <row r="55" ht="30.75" customHeight="1">
      <c r="A55" s="22"/>
      <c r="B55" s="303"/>
      <c r="C55" s="304"/>
      <c r="D55" s="304"/>
      <c r="E55" s="304"/>
      <c r="F55" s="305"/>
      <c r="G55" s="306"/>
      <c r="H55" s="304"/>
      <c r="I55" s="304"/>
      <c r="J55" s="304"/>
      <c r="K55" s="305"/>
      <c r="L55" s="306"/>
      <c r="M55" s="304"/>
      <c r="N55" s="304"/>
      <c r="O55" s="304"/>
      <c r="P55" s="305"/>
      <c r="Q55" s="306"/>
      <c r="R55" s="304"/>
      <c r="S55" s="304"/>
      <c r="T55" s="304"/>
      <c r="U55" s="307"/>
      <c r="V55" s="304"/>
      <c r="W55" s="304"/>
      <c r="X55" s="304"/>
      <c r="Y55" s="304"/>
      <c r="Z55" s="305"/>
      <c r="AA55" s="306"/>
      <c r="AB55" s="304"/>
      <c r="AC55" s="304"/>
      <c r="AD55" s="304"/>
      <c r="AE55" s="305"/>
      <c r="AF55" s="306"/>
      <c r="AG55" s="304"/>
      <c r="AH55" s="304"/>
      <c r="AI55" s="304"/>
      <c r="AJ55" s="305"/>
      <c r="AK55" s="306"/>
      <c r="AL55" s="304"/>
      <c r="AM55" s="304"/>
      <c r="AN55" s="304"/>
      <c r="AO55" s="308"/>
      <c r="AP55" s="28"/>
      <c r="AQ55" s="318" t="str">
        <f>if(or(BB49&gt;10,BB49&lt;0),"잘못된 숫자를 넣으셨습니다.",
if(BB49=1,"인심이 좋습니다.",
if(BB49=2,"동물의 친구입니다.",
if(BB49=3,"몽상가입니다.",
if(BB49=4,"쾌락주의자입니다.",
if(BB49=5,"과감한 승부사입니다.",
if(BB49=6,"유능한 요리사입니다.",
if(BB49=7,"바람둥이입니다.",
if(BB49=8,"충직합니다.",
if(BB49=9,"평판이 좋습니다.",
if(BB49=10,"야심가입니다.", "당신의 성격은 무엇인가요?")))))))))))</f>
        <v>당신의 성격은 무엇인가요?</v>
      </c>
      <c r="AR55" s="294"/>
      <c r="AS55" s="294"/>
      <c r="AT55" s="294"/>
      <c r="AU55" s="294"/>
      <c r="AV55" s="294"/>
      <c r="AW55" s="294"/>
      <c r="AX55" s="294"/>
      <c r="AY55" s="294"/>
      <c r="AZ55" s="294"/>
      <c r="BA55" s="294"/>
      <c r="BB55" s="294"/>
      <c r="BC55" s="3"/>
    </row>
    <row r="56" ht="22.5" customHeight="1">
      <c r="A56" s="22"/>
      <c r="B56" s="309"/>
      <c r="C56" s="310"/>
      <c r="D56" s="310"/>
      <c r="E56" s="310"/>
      <c r="F56" s="311"/>
      <c r="G56" s="312"/>
      <c r="H56" s="310"/>
      <c r="I56" s="310"/>
      <c r="J56" s="310"/>
      <c r="K56" s="311"/>
      <c r="L56" s="312"/>
      <c r="M56" s="310"/>
      <c r="N56" s="310"/>
      <c r="O56" s="310"/>
      <c r="P56" s="311"/>
      <c r="Q56" s="312"/>
      <c r="R56" s="310"/>
      <c r="S56" s="310"/>
      <c r="T56" s="310"/>
      <c r="U56" s="313"/>
      <c r="V56" s="314"/>
      <c r="W56" s="310"/>
      <c r="X56" s="310"/>
      <c r="Y56" s="310"/>
      <c r="Z56" s="311"/>
      <c r="AA56" s="315"/>
      <c r="AB56" s="310"/>
      <c r="AC56" s="310"/>
      <c r="AD56" s="310"/>
      <c r="AE56" s="311"/>
      <c r="AF56" s="315"/>
      <c r="AG56" s="310"/>
      <c r="AH56" s="310"/>
      <c r="AI56" s="310"/>
      <c r="AJ56" s="311"/>
      <c r="AK56" s="315"/>
      <c r="AL56" s="310"/>
      <c r="AM56" s="310"/>
      <c r="AN56" s="310"/>
      <c r="AO56" s="316"/>
      <c r="AP56" s="28"/>
      <c r="AQ56" s="9"/>
      <c r="BC56" s="3"/>
    </row>
    <row r="57" ht="62.25" customHeight="1">
      <c r="A57" s="22"/>
      <c r="B57" s="303"/>
      <c r="C57" s="304"/>
      <c r="D57" s="304"/>
      <c r="E57" s="304"/>
      <c r="F57" s="305"/>
      <c r="G57" s="306"/>
      <c r="H57" s="304"/>
      <c r="I57" s="304"/>
      <c r="J57" s="304"/>
      <c r="K57" s="305"/>
      <c r="L57" s="306"/>
      <c r="M57" s="304"/>
      <c r="N57" s="304"/>
      <c r="O57" s="304"/>
      <c r="P57" s="305"/>
      <c r="Q57" s="306"/>
      <c r="R57" s="304"/>
      <c r="S57" s="304"/>
      <c r="T57" s="304"/>
      <c r="U57" s="307"/>
      <c r="V57" s="304"/>
      <c r="W57" s="304"/>
      <c r="X57" s="304"/>
      <c r="Y57" s="304"/>
      <c r="Z57" s="305"/>
      <c r="AA57" s="306"/>
      <c r="AB57" s="304"/>
      <c r="AC57" s="304"/>
      <c r="AD57" s="304"/>
      <c r="AE57" s="305"/>
      <c r="AF57" s="306"/>
      <c r="AG57" s="304"/>
      <c r="AH57" s="304"/>
      <c r="AI57" s="304"/>
      <c r="AJ57" s="305"/>
      <c r="AK57" s="306"/>
      <c r="AL57" s="304"/>
      <c r="AM57" s="304"/>
      <c r="AN57" s="304"/>
      <c r="AO57" s="308"/>
      <c r="AP57" s="28"/>
      <c r="AQ57" s="9"/>
      <c r="BC57" s="3"/>
    </row>
    <row r="58" ht="61.5" customHeight="1">
      <c r="A58" s="22"/>
      <c r="B58" s="309"/>
      <c r="C58" s="310"/>
      <c r="D58" s="310"/>
      <c r="E58" s="310"/>
      <c r="F58" s="311"/>
      <c r="G58" s="312"/>
      <c r="H58" s="310"/>
      <c r="I58" s="310"/>
      <c r="J58" s="310"/>
      <c r="K58" s="311"/>
      <c r="L58" s="312"/>
      <c r="M58" s="310"/>
      <c r="N58" s="310"/>
      <c r="O58" s="310"/>
      <c r="P58" s="311"/>
      <c r="Q58" s="312"/>
      <c r="R58" s="310"/>
      <c r="S58" s="310"/>
      <c r="T58" s="310"/>
      <c r="U58" s="313"/>
      <c r="V58" s="314"/>
      <c r="W58" s="310"/>
      <c r="X58" s="310"/>
      <c r="Y58" s="310"/>
      <c r="Z58" s="311"/>
      <c r="AA58" s="315"/>
      <c r="AB58" s="310"/>
      <c r="AC58" s="310"/>
      <c r="AD58" s="310"/>
      <c r="AE58" s="311"/>
      <c r="AF58" s="315"/>
      <c r="AG58" s="310"/>
      <c r="AH58" s="310"/>
      <c r="AI58" s="310"/>
      <c r="AJ58" s="311"/>
      <c r="AK58" s="315"/>
      <c r="AL58" s="310"/>
      <c r="AM58" s="310"/>
      <c r="AN58" s="310"/>
      <c r="AO58" s="316"/>
      <c r="AP58" s="28"/>
      <c r="AQ58" s="10"/>
      <c r="AR58" s="11"/>
      <c r="AS58" s="11"/>
      <c r="AT58" s="11"/>
      <c r="AU58" s="11"/>
      <c r="AV58" s="11"/>
      <c r="AW58" s="11"/>
      <c r="AX58" s="11"/>
      <c r="AY58" s="11"/>
      <c r="AZ58" s="11"/>
      <c r="BA58" s="11"/>
      <c r="BB58" s="11"/>
      <c r="BC58" s="3"/>
    </row>
    <row r="59" ht="13.5" customHeight="1">
      <c r="A59" s="22"/>
      <c r="B59" s="303"/>
      <c r="C59" s="304"/>
      <c r="D59" s="304"/>
      <c r="E59" s="304"/>
      <c r="F59" s="305"/>
      <c r="G59" s="306"/>
      <c r="H59" s="304"/>
      <c r="I59" s="304"/>
      <c r="J59" s="304"/>
      <c r="K59" s="305"/>
      <c r="L59" s="306"/>
      <c r="M59" s="304"/>
      <c r="N59" s="304"/>
      <c r="O59" s="304"/>
      <c r="P59" s="305"/>
      <c r="Q59" s="306"/>
      <c r="R59" s="304"/>
      <c r="S59" s="304"/>
      <c r="T59" s="304"/>
      <c r="U59" s="307"/>
      <c r="V59" s="11"/>
      <c r="W59" s="11"/>
      <c r="X59" s="11"/>
      <c r="Y59" s="11"/>
      <c r="Z59" s="319"/>
      <c r="AA59" s="320"/>
      <c r="AB59" s="11"/>
      <c r="AC59" s="11"/>
      <c r="AD59" s="11"/>
      <c r="AE59" s="319"/>
      <c r="AF59" s="320"/>
      <c r="AG59" s="11"/>
      <c r="AH59" s="11"/>
      <c r="AI59" s="11"/>
      <c r="AJ59" s="319"/>
      <c r="AK59" s="320"/>
      <c r="AL59" s="11"/>
      <c r="AM59" s="11"/>
      <c r="AN59" s="11"/>
      <c r="AO59" s="12"/>
      <c r="AP59" s="28"/>
      <c r="AQ59" s="376" t="s">
        <v>128</v>
      </c>
      <c r="AR59" s="105"/>
      <c r="AS59" s="105"/>
      <c r="AT59" s="105"/>
      <c r="AU59" s="105"/>
      <c r="AV59" s="105"/>
      <c r="AW59" s="105"/>
      <c r="AX59" s="105"/>
      <c r="AY59" s="105"/>
      <c r="AZ59" s="105"/>
      <c r="BA59" s="105"/>
      <c r="BB59" s="191"/>
      <c r="BC59" s="3"/>
    </row>
    <row r="60" ht="13.5" customHeight="1">
      <c r="A60" s="22"/>
      <c r="B60" s="309"/>
      <c r="C60" s="310"/>
      <c r="D60" s="310"/>
      <c r="E60" s="310"/>
      <c r="F60" s="311"/>
      <c r="G60" s="315"/>
      <c r="H60" s="310"/>
      <c r="I60" s="310"/>
      <c r="J60" s="310"/>
      <c r="K60" s="311"/>
      <c r="L60" s="315"/>
      <c r="M60" s="310"/>
      <c r="N60" s="310"/>
      <c r="O60" s="310"/>
      <c r="P60" s="311"/>
      <c r="Q60" s="315"/>
      <c r="R60" s="310"/>
      <c r="S60" s="310"/>
      <c r="T60" s="310"/>
      <c r="U60" s="313"/>
      <c r="V60" s="377" t="s">
        <v>129</v>
      </c>
      <c r="W60" s="105"/>
      <c r="X60" s="105"/>
      <c r="Y60" s="105"/>
      <c r="Z60" s="105"/>
      <c r="AA60" s="105"/>
      <c r="AB60" s="105"/>
      <c r="AC60" s="105"/>
      <c r="AD60" s="105"/>
      <c r="AE60" s="105"/>
      <c r="AF60" s="105"/>
      <c r="AG60" s="105"/>
      <c r="AH60" s="105"/>
      <c r="AI60" s="105"/>
      <c r="AJ60" s="105"/>
      <c r="AK60" s="105"/>
      <c r="AL60" s="105"/>
      <c r="AM60" s="105"/>
      <c r="AN60" s="107"/>
      <c r="AO60" s="211"/>
      <c r="AP60" s="28"/>
      <c r="AQ60" s="212" t="str">
        <f>if(or(BB59&gt;10,BB59&lt;0),"잘못된 숫자를 넣으셨습니다.",
if(BB59=1,"숭배하고 기도하는 초월적인 존재가 있습니다.",
if(BB59=2,"인류는 종교 없이도 잘 살 수 있습니다.",
if(BB59=3,"과학이 모든 것의 해답입니다.",
if(BB59=4,"운명을 극적으로 믿습니다.",
if(BB59=5,"사회단체 또는 비밀 단체에 소속되어 있습니다.",
if(BB59=6,"사회에 뿌리 뽑아야 할 악이 있습니다.",
if(BB59=7,"오컬트를 믿습니다.",
if(BB59=8,"세상만사에 관심이 많습니다.",
if(BB59=9,"돈이 권력이고 세속적인 욕심이 강합니다.",
if(BB59=10,"운동가 또는 활동가로 활약하고 있습니다.",
"당신의 사상이나 신념은 무엇인가요?")))))))))))</f>
        <v>당신의 사상이나 신념은 무엇인가요?</v>
      </c>
      <c r="AR60" s="185"/>
      <c r="AS60" s="185"/>
      <c r="AT60" s="185"/>
      <c r="AU60" s="185"/>
      <c r="AV60" s="185"/>
      <c r="AW60" s="185"/>
      <c r="AX60" s="185"/>
      <c r="AY60" s="185"/>
      <c r="AZ60" s="185"/>
      <c r="BA60" s="185"/>
      <c r="BB60" s="185"/>
      <c r="BC60" s="3"/>
    </row>
    <row r="61" ht="56.25" customHeight="1">
      <c r="A61" s="22"/>
      <c r="B61" s="10"/>
      <c r="C61" s="11"/>
      <c r="D61" s="11"/>
      <c r="E61" s="11"/>
      <c r="F61" s="319"/>
      <c r="G61" s="320"/>
      <c r="H61" s="11"/>
      <c r="I61" s="11"/>
      <c r="J61" s="11"/>
      <c r="K61" s="319"/>
      <c r="L61" s="320"/>
      <c r="M61" s="11"/>
      <c r="N61" s="11"/>
      <c r="O61" s="11"/>
      <c r="P61" s="319"/>
      <c r="Q61" s="320"/>
      <c r="R61" s="11"/>
      <c r="S61" s="11"/>
      <c r="T61" s="11"/>
      <c r="U61" s="322"/>
      <c r="V61" s="323" t="str">
        <f>if(or(AO60&gt;10,AO60&lt;0),"잘못된 숫자를 넣으셨습니다.",
if(AO60=1,"갚을 은혜가 있습니다.",
if(AO60=2,"배운 것이 있습니다.",
if(AO60=3,"삶에 의미를 주었습니다.",
if(AO60=4,"잘못한 것이 있어서 속죄하려고 합니다.",
if(AO60=5,"공유한 경험이 있습니다.",
if(AO60=6,"인정을 받고 싶습니다.",
if(AO60=7,"동경하고 숭배합니다.",
if(AO60=8,"회한(두고두고 후회함)이 있습니다.",
if(AO60=9,"자신이 그 사람보다 나은 인간임을 증명하고 싶습니다.",
if(AO60=10,"해를 끼친 사람에게 복수하고 싶습니다.",
"왜 그 사람을 중요하게 여기시나요?")))))))))))</f>
        <v>왜 그 사람을 중요하게 여기시나요?</v>
      </c>
      <c r="W61" s="105"/>
      <c r="X61" s="105"/>
      <c r="Y61" s="105"/>
      <c r="Z61" s="105"/>
      <c r="AA61" s="105"/>
      <c r="AB61" s="105"/>
      <c r="AC61" s="105"/>
      <c r="AD61" s="105"/>
      <c r="AE61" s="105"/>
      <c r="AF61" s="105"/>
      <c r="AG61" s="105"/>
      <c r="AH61" s="105"/>
      <c r="AI61" s="105"/>
      <c r="AJ61" s="105"/>
      <c r="AK61" s="105"/>
      <c r="AL61" s="105"/>
      <c r="AM61" s="105"/>
      <c r="AN61" s="105"/>
      <c r="AO61" s="107"/>
      <c r="AP61" s="28"/>
      <c r="AQ61" s="378" t="s">
        <v>130</v>
      </c>
      <c r="AR61" s="105"/>
      <c r="AS61" s="105"/>
      <c r="AT61" s="105"/>
      <c r="AU61" s="105"/>
      <c r="AV61" s="105"/>
      <c r="AW61" s="105"/>
      <c r="AX61" s="107"/>
      <c r="AY61" s="324"/>
      <c r="AZ61" s="105"/>
      <c r="BA61" s="105"/>
      <c r="BB61" s="107"/>
      <c r="BC61" s="3"/>
    </row>
    <row r="62" ht="13.5" customHeight="1">
      <c r="A62" s="2"/>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3"/>
      <c r="AD62" s="53"/>
      <c r="AE62" s="53"/>
      <c r="AF62" s="53"/>
      <c r="AG62" s="53"/>
      <c r="AH62" s="53"/>
      <c r="AI62" s="53"/>
      <c r="AJ62" s="53"/>
      <c r="AK62" s="53"/>
      <c r="AL62" s="53"/>
      <c r="AM62" s="53"/>
      <c r="AN62" s="53"/>
      <c r="AO62" s="53"/>
      <c r="AP62" s="218"/>
      <c r="AQ62" s="218"/>
      <c r="AR62" s="218"/>
      <c r="AS62" s="218"/>
      <c r="AT62" s="218"/>
      <c r="AU62" s="218"/>
      <c r="AV62" s="218"/>
      <c r="AW62" s="218"/>
      <c r="AX62" s="218"/>
      <c r="AY62" s="218"/>
      <c r="AZ62" s="218"/>
      <c r="BA62" s="218"/>
      <c r="BB62" s="218"/>
      <c r="BC62" s="3"/>
    </row>
    <row r="63" ht="15.75" customHeight="1">
      <c r="A63" s="219"/>
      <c r="B63" s="379" t="s">
        <v>131</v>
      </c>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5"/>
      <c r="BC63" s="221"/>
    </row>
    <row r="64" ht="15.75" customHeight="1">
      <c r="A64" s="219"/>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2"/>
      <c r="BC64" s="221"/>
    </row>
    <row r="65" ht="15.75" customHeight="1">
      <c r="A65" s="219"/>
      <c r="B65" s="380" t="s">
        <v>132</v>
      </c>
      <c r="C65" s="24"/>
      <c r="D65" s="24"/>
      <c r="E65" s="24"/>
      <c r="F65" s="24"/>
      <c r="G65" s="24"/>
      <c r="H65" s="24"/>
      <c r="I65" s="24"/>
      <c r="J65" s="24"/>
      <c r="K65" s="24"/>
      <c r="L65" s="24"/>
      <c r="M65" s="24"/>
      <c r="N65" s="24"/>
      <c r="O65" s="24"/>
      <c r="P65" s="24"/>
      <c r="Q65" s="24"/>
      <c r="R65" s="25"/>
      <c r="S65" s="381" t="s">
        <v>127</v>
      </c>
      <c r="T65" s="24"/>
      <c r="U65" s="24"/>
      <c r="V65" s="24"/>
      <c r="W65" s="24"/>
      <c r="X65" s="24"/>
      <c r="Y65" s="24"/>
      <c r="Z65" s="24"/>
      <c r="AA65" s="24"/>
      <c r="AB65" s="24"/>
      <c r="AC65" s="24"/>
      <c r="AD65" s="24"/>
      <c r="AE65" s="24"/>
      <c r="AF65" s="24"/>
      <c r="AG65" s="24"/>
      <c r="AH65" s="24"/>
      <c r="AI65" s="25"/>
      <c r="AJ65" s="380" t="s">
        <v>133</v>
      </c>
      <c r="AK65" s="24"/>
      <c r="AL65" s="24"/>
      <c r="AM65" s="24"/>
      <c r="AN65" s="24"/>
      <c r="AO65" s="24"/>
      <c r="AP65" s="24"/>
      <c r="AQ65" s="24"/>
      <c r="AR65" s="24"/>
      <c r="AS65" s="24"/>
      <c r="AT65" s="24"/>
      <c r="AU65" s="24"/>
      <c r="AV65" s="24"/>
      <c r="AW65" s="24"/>
      <c r="AX65" s="24"/>
      <c r="AY65" s="24"/>
      <c r="AZ65" s="24"/>
      <c r="BA65" s="24"/>
      <c r="BB65" s="25"/>
      <c r="BC65" s="221"/>
    </row>
    <row r="66" ht="15.75" customHeight="1">
      <c r="A66" s="219"/>
      <c r="B66" s="224"/>
      <c r="C66" s="5"/>
      <c r="D66" s="5"/>
      <c r="E66" s="5"/>
      <c r="F66" s="5"/>
      <c r="G66" s="5"/>
      <c r="H66" s="5"/>
      <c r="I66" s="5"/>
      <c r="J66" s="5"/>
      <c r="K66" s="5"/>
      <c r="L66" s="5"/>
      <c r="M66" s="5"/>
      <c r="N66" s="5"/>
      <c r="O66" s="5"/>
      <c r="P66" s="5"/>
      <c r="Q66" s="5"/>
      <c r="R66" s="7"/>
      <c r="S66" s="224"/>
      <c r="T66" s="5"/>
      <c r="U66" s="5"/>
      <c r="V66" s="5"/>
      <c r="W66" s="5"/>
      <c r="X66" s="5"/>
      <c r="Y66" s="5"/>
      <c r="Z66" s="5"/>
      <c r="AA66" s="5"/>
      <c r="AB66" s="5"/>
      <c r="AC66" s="5"/>
      <c r="AD66" s="5"/>
      <c r="AE66" s="5"/>
      <c r="AF66" s="5"/>
      <c r="AG66" s="5"/>
      <c r="AH66" s="5"/>
      <c r="AI66" s="7"/>
      <c r="AJ66" s="224"/>
      <c r="AK66" s="5"/>
      <c r="AL66" s="5"/>
      <c r="AM66" s="5"/>
      <c r="AN66" s="5"/>
      <c r="AO66" s="5"/>
      <c r="AP66" s="5"/>
      <c r="AQ66" s="5"/>
      <c r="AR66" s="5"/>
      <c r="AS66" s="5"/>
      <c r="AT66" s="5"/>
      <c r="AU66" s="5"/>
      <c r="AV66" s="5"/>
      <c r="AW66" s="5"/>
      <c r="AX66" s="5"/>
      <c r="AY66" s="5"/>
      <c r="AZ66" s="5"/>
      <c r="BA66" s="5"/>
      <c r="BB66" s="225"/>
      <c r="BC66" s="226"/>
    </row>
    <row r="67" ht="135.0" customHeight="1">
      <c r="A67" s="219"/>
      <c r="B67" s="9"/>
      <c r="R67" s="15"/>
      <c r="S67" s="9"/>
      <c r="AI67" s="15"/>
      <c r="AJ67" s="9"/>
      <c r="BB67" s="209"/>
      <c r="BC67" s="226"/>
    </row>
    <row r="68" ht="15.75" customHeight="1">
      <c r="A68" s="219"/>
      <c r="B68" s="9"/>
      <c r="R68" s="15"/>
      <c r="S68" s="9"/>
      <c r="AI68" s="15"/>
      <c r="AJ68" s="9"/>
      <c r="BB68" s="209"/>
      <c r="BC68" s="226"/>
    </row>
    <row r="69" ht="15.75" customHeight="1">
      <c r="A69" s="219"/>
      <c r="B69" s="9"/>
      <c r="R69" s="15"/>
      <c r="S69" s="9"/>
      <c r="AI69" s="15"/>
      <c r="AJ69" s="9"/>
      <c r="BB69" s="209"/>
      <c r="BC69" s="226"/>
    </row>
    <row r="70" ht="15.75" customHeight="1">
      <c r="A70" s="219"/>
      <c r="B70" s="10"/>
      <c r="C70" s="11"/>
      <c r="D70" s="11"/>
      <c r="E70" s="11"/>
      <c r="F70" s="11"/>
      <c r="G70" s="11"/>
      <c r="H70" s="11"/>
      <c r="I70" s="11"/>
      <c r="J70" s="11"/>
      <c r="K70" s="11"/>
      <c r="L70" s="11"/>
      <c r="M70" s="11"/>
      <c r="N70" s="11"/>
      <c r="O70" s="11"/>
      <c r="P70" s="11"/>
      <c r="Q70" s="11"/>
      <c r="R70" s="12"/>
      <c r="S70" s="10"/>
      <c r="T70" s="11"/>
      <c r="U70" s="11"/>
      <c r="V70" s="11"/>
      <c r="W70" s="11"/>
      <c r="X70" s="11"/>
      <c r="Y70" s="11"/>
      <c r="Z70" s="11"/>
      <c r="AA70" s="11"/>
      <c r="AB70" s="11"/>
      <c r="AC70" s="11"/>
      <c r="AD70" s="11"/>
      <c r="AE70" s="11"/>
      <c r="AF70" s="11"/>
      <c r="AG70" s="11"/>
      <c r="AH70" s="11"/>
      <c r="AI70" s="12"/>
      <c r="AJ70" s="9"/>
      <c r="BB70" s="209"/>
      <c r="BC70" s="226"/>
    </row>
    <row r="71" ht="15.75" customHeight="1">
      <c r="A71" s="219"/>
      <c r="B71" s="382" t="s">
        <v>134</v>
      </c>
      <c r="C71" s="5"/>
      <c r="D71" s="5"/>
      <c r="E71" s="5"/>
      <c r="F71" s="5"/>
      <c r="G71" s="5"/>
      <c r="H71" s="5"/>
      <c r="I71" s="5"/>
      <c r="J71" s="5"/>
      <c r="K71" s="5"/>
      <c r="L71" s="5"/>
      <c r="M71" s="5"/>
      <c r="N71" s="5"/>
      <c r="O71" s="5"/>
      <c r="P71" s="5"/>
      <c r="Q71" s="7"/>
      <c r="R71" s="383"/>
      <c r="S71" s="384" t="s">
        <v>135</v>
      </c>
      <c r="T71" s="5"/>
      <c r="U71" s="5"/>
      <c r="V71" s="7"/>
      <c r="W71" s="384" t="s">
        <v>136</v>
      </c>
      <c r="X71" s="5"/>
      <c r="Y71" s="5"/>
      <c r="Z71" s="7"/>
      <c r="AA71" s="384" t="s">
        <v>137</v>
      </c>
      <c r="AB71" s="5"/>
      <c r="AC71" s="5"/>
      <c r="AD71" s="7"/>
      <c r="AE71" s="384" t="s">
        <v>138</v>
      </c>
      <c r="AF71" s="5"/>
      <c r="AG71" s="5"/>
      <c r="AH71" s="5"/>
      <c r="AI71" s="7"/>
      <c r="AJ71" s="9"/>
      <c r="BB71" s="209"/>
      <c r="BC71" s="226"/>
    </row>
    <row r="72" ht="15.75" customHeight="1">
      <c r="A72" s="219"/>
      <c r="B72" s="10"/>
      <c r="C72" s="11"/>
      <c r="D72" s="11"/>
      <c r="E72" s="11"/>
      <c r="F72" s="11"/>
      <c r="G72" s="11"/>
      <c r="H72" s="11"/>
      <c r="I72" s="11"/>
      <c r="J72" s="11"/>
      <c r="K72" s="11"/>
      <c r="L72" s="11"/>
      <c r="M72" s="11"/>
      <c r="N72" s="11"/>
      <c r="O72" s="11"/>
      <c r="P72" s="11"/>
      <c r="Q72" s="12"/>
      <c r="R72" s="230"/>
      <c r="S72" s="10"/>
      <c r="T72" s="11"/>
      <c r="U72" s="11"/>
      <c r="V72" s="12"/>
      <c r="W72" s="10"/>
      <c r="X72" s="11"/>
      <c r="Y72" s="11"/>
      <c r="Z72" s="12"/>
      <c r="AA72" s="10"/>
      <c r="AB72" s="11"/>
      <c r="AC72" s="11"/>
      <c r="AD72" s="12"/>
      <c r="AE72" s="10"/>
      <c r="AF72" s="11"/>
      <c r="AG72" s="11"/>
      <c r="AH72" s="11"/>
      <c r="AI72" s="12"/>
      <c r="AJ72" s="9"/>
      <c r="BB72" s="209"/>
      <c r="BC72" s="226"/>
    </row>
    <row r="73" ht="15.75" customHeight="1">
      <c r="A73" s="219"/>
      <c r="B73" s="231" t="str">
        <f>if(or(R72&gt;10,R72&lt;0),"잘못된 숫자를 넣으셨습니다.",
if(R72=1,"배움의 장소",
if(R72=2,"고향",
if(R72=3,"첫사랑을 만난 곳",
if(R72=4,"조용한 명상의 장소",
if(R72=5,"사교의 장소",
if(R72=6,"사상 또는 신앙과 관련된 장소",
if(R72=7,"중요한 사람의 무덤",
if(R72=8,"가족의 집",
if(R72=9,"가장 행복했던 시간을 보낸 곳",
if(R72=10,"직장",
"당신에게 의미있었던 장소는 어딘가요?")))))))))))</f>
        <v>당신에게 의미있었던 장소는 어딘가요?</v>
      </c>
      <c r="C73" s="105"/>
      <c r="D73" s="105"/>
      <c r="E73" s="105"/>
      <c r="F73" s="105"/>
      <c r="G73" s="105"/>
      <c r="H73" s="105"/>
      <c r="I73" s="105"/>
      <c r="J73" s="105"/>
      <c r="K73" s="105"/>
      <c r="L73" s="105"/>
      <c r="M73" s="105"/>
      <c r="N73" s="105"/>
      <c r="O73" s="105"/>
      <c r="P73" s="105"/>
      <c r="Q73" s="105"/>
      <c r="R73" s="107"/>
      <c r="S73" s="231" t="str">
        <f>R19</f>
        <v/>
      </c>
      <c r="T73" s="105"/>
      <c r="U73" s="105"/>
      <c r="V73" s="107"/>
      <c r="W73" s="232">
        <f>if((R19)&lt;=0,(10*1.3),if((R19)&lt;=9,(40*1.3),if((R19)&lt;=49,(200*1.3),if((R19)&lt;=89,(1000*1.3),if((R19)&lt;=98,(5000*1.3),100000)))))</f>
        <v>13</v>
      </c>
      <c r="X73" s="105"/>
      <c r="Y73" s="105"/>
      <c r="Z73" s="107"/>
      <c r="AA73" s="232">
        <f>if((R19)&lt;=0,(10*1.3),if((R19)&lt;=9,(R19*20*1.3),if((R19)&lt;=49,(R19*40*1.3),if((R19)&lt;=89,(R19*100*1.3),if((R19)&lt;=98,(R19*400*1.3),(1000000*1.3))))))</f>
        <v>13</v>
      </c>
      <c r="AB73" s="105"/>
      <c r="AC73" s="105"/>
      <c r="AD73" s="107"/>
      <c r="AE73" s="232" t="str">
        <f>if((R19)&lt;=0,"None",if((R19)&lt;=9,(R19*200*1.3),if((R19)&lt;=49,(R19*1000*1.3),if((R19)&lt;=89,(R19*10000*1.3),if((R19)&lt;=98,(R19*40000*1.3),"$100000000+")))))</f>
        <v>None</v>
      </c>
      <c r="AF73" s="105"/>
      <c r="AG73" s="105"/>
      <c r="AH73" s="105"/>
      <c r="AI73" s="107"/>
      <c r="AJ73" s="188"/>
      <c r="AK73" s="31"/>
      <c r="AL73" s="31"/>
      <c r="AM73" s="31"/>
      <c r="AN73" s="31"/>
      <c r="AO73" s="31"/>
      <c r="AP73" s="31"/>
      <c r="AQ73" s="31"/>
      <c r="AR73" s="31"/>
      <c r="AS73" s="31"/>
      <c r="AT73" s="31"/>
      <c r="AU73" s="31"/>
      <c r="AV73" s="31"/>
      <c r="AW73" s="31"/>
      <c r="AX73" s="31"/>
      <c r="AY73" s="31"/>
      <c r="AZ73" s="31"/>
      <c r="BA73" s="31"/>
      <c r="BB73" s="32"/>
      <c r="BC73" s="226"/>
    </row>
    <row r="74" ht="15.75" customHeight="1">
      <c r="A74" s="234"/>
      <c r="B74" s="235"/>
      <c r="C74" s="235"/>
      <c r="D74" s="235"/>
      <c r="E74" s="235"/>
      <c r="F74" s="235"/>
      <c r="G74" s="235"/>
      <c r="H74" s="235"/>
      <c r="I74" s="235"/>
      <c r="J74" s="235"/>
      <c r="K74" s="235"/>
      <c r="L74" s="235"/>
      <c r="M74" s="235"/>
      <c r="N74" s="235"/>
      <c r="O74" s="235"/>
      <c r="P74" s="235"/>
      <c r="Q74" s="235"/>
      <c r="R74" s="235"/>
      <c r="S74" s="235"/>
      <c r="T74" s="235"/>
      <c r="U74" s="235"/>
      <c r="V74" s="235"/>
      <c r="W74" s="235"/>
      <c r="X74" s="235"/>
      <c r="Y74" s="235"/>
      <c r="Z74" s="235"/>
      <c r="AA74" s="235"/>
      <c r="AB74" s="235"/>
      <c r="AC74" s="235"/>
      <c r="AD74" s="235"/>
      <c r="AE74" s="235"/>
      <c r="AF74" s="235"/>
      <c r="AG74" s="235"/>
      <c r="AH74" s="235"/>
      <c r="AI74" s="235"/>
      <c r="AJ74" s="236"/>
      <c r="AK74" s="237"/>
      <c r="AL74" s="238"/>
      <c r="AM74" s="237"/>
      <c r="AN74" s="237"/>
      <c r="AO74" s="237"/>
      <c r="AP74" s="237"/>
      <c r="AQ74" s="237"/>
      <c r="AR74" s="237"/>
      <c r="AS74" s="237"/>
      <c r="AT74" s="237"/>
      <c r="AU74" s="237"/>
      <c r="AV74" s="237"/>
      <c r="AW74" s="237"/>
      <c r="AX74" s="237"/>
      <c r="AY74" s="237"/>
      <c r="AZ74" s="237"/>
      <c r="BA74" s="237"/>
      <c r="BB74" s="237"/>
      <c r="BC74" s="239"/>
    </row>
    <row r="75" ht="15.75" customHeight="1">
      <c r="A75" s="240"/>
      <c r="B75" s="241" t="s">
        <v>139</v>
      </c>
      <c r="C75" s="24"/>
      <c r="D75" s="24"/>
      <c r="E75" s="24"/>
      <c r="F75" s="24"/>
      <c r="G75" s="24"/>
      <c r="H75" s="24"/>
      <c r="I75" s="24"/>
      <c r="J75" s="24"/>
      <c r="K75" s="24"/>
      <c r="L75" s="24"/>
      <c r="M75" s="25"/>
      <c r="N75" s="242" t="s">
        <v>140</v>
      </c>
      <c r="O75" s="24"/>
      <c r="P75" s="24"/>
      <c r="Q75" s="24"/>
      <c r="R75" s="24"/>
      <c r="S75" s="24"/>
      <c r="T75" s="24"/>
      <c r="U75" s="24"/>
      <c r="V75" s="24"/>
      <c r="W75" s="24"/>
      <c r="X75" s="24"/>
      <c r="Y75" s="25"/>
      <c r="Z75" s="242" t="s">
        <v>141</v>
      </c>
      <c r="AA75" s="24"/>
      <c r="AB75" s="24"/>
      <c r="AC75" s="24"/>
      <c r="AD75" s="24"/>
      <c r="AE75" s="24"/>
      <c r="AF75" s="24"/>
      <c r="AG75" s="24"/>
      <c r="AH75" s="24"/>
      <c r="AI75" s="24"/>
      <c r="AJ75" s="24"/>
      <c r="AK75" s="25"/>
      <c r="AL75" s="242" t="s">
        <v>142</v>
      </c>
      <c r="AM75" s="24"/>
      <c r="AN75" s="24"/>
      <c r="AO75" s="24"/>
      <c r="AP75" s="24"/>
      <c r="AQ75" s="24"/>
      <c r="AR75" s="24"/>
      <c r="AS75" s="24"/>
      <c r="AT75" s="24"/>
      <c r="AU75" s="24"/>
      <c r="AV75" s="24"/>
      <c r="AW75" s="25"/>
      <c r="AX75" s="243"/>
      <c r="AY75" s="244" t="s">
        <v>143</v>
      </c>
      <c r="AZ75" s="24"/>
      <c r="BA75" s="24"/>
      <c r="BB75" s="25"/>
      <c r="BC75" s="245"/>
    </row>
    <row r="76" ht="15.75" customHeight="1">
      <c r="A76" s="246"/>
      <c r="B76" s="247"/>
      <c r="C76" s="11"/>
      <c r="D76" s="11"/>
      <c r="E76" s="11"/>
      <c r="F76" s="11"/>
      <c r="G76" s="11"/>
      <c r="H76" s="11"/>
      <c r="I76" s="11"/>
      <c r="J76" s="11"/>
      <c r="K76" s="11"/>
      <c r="L76" s="11"/>
      <c r="M76" s="248"/>
      <c r="N76" s="10"/>
      <c r="O76" s="11"/>
      <c r="P76" s="11"/>
      <c r="Q76" s="11"/>
      <c r="R76" s="11"/>
      <c r="S76" s="11"/>
      <c r="T76" s="11"/>
      <c r="U76" s="11"/>
      <c r="V76" s="11"/>
      <c r="W76" s="11"/>
      <c r="X76" s="11"/>
      <c r="Y76" s="248"/>
      <c r="Z76" s="10"/>
      <c r="AA76" s="11"/>
      <c r="AB76" s="11"/>
      <c r="AC76" s="11"/>
      <c r="AD76" s="11"/>
      <c r="AE76" s="11"/>
      <c r="AF76" s="11"/>
      <c r="AG76" s="11"/>
      <c r="AH76" s="11"/>
      <c r="AI76" s="11"/>
      <c r="AJ76" s="11"/>
      <c r="AK76" s="248"/>
      <c r="AL76" s="10"/>
      <c r="AM76" s="11"/>
      <c r="AN76" s="11"/>
      <c r="AO76" s="11"/>
      <c r="AP76" s="11"/>
      <c r="AQ76" s="11"/>
      <c r="AR76" s="11"/>
      <c r="AS76" s="11"/>
      <c r="AT76" s="11"/>
      <c r="AU76" s="11"/>
      <c r="AV76" s="11"/>
      <c r="AW76" s="248"/>
      <c r="AX76" s="249"/>
      <c r="AY76" s="250"/>
      <c r="BB76" s="209"/>
      <c r="BC76" s="251"/>
    </row>
    <row r="77" ht="15.75" customHeight="1">
      <c r="A77" s="252"/>
      <c r="B77" s="257"/>
      <c r="C77" s="5"/>
      <c r="D77" s="5"/>
      <c r="E77" s="5"/>
      <c r="F77" s="5"/>
      <c r="G77" s="5"/>
      <c r="H77" s="5"/>
      <c r="I77" s="5"/>
      <c r="J77" s="5"/>
      <c r="K77" s="5"/>
      <c r="L77" s="5"/>
      <c r="M77" s="225"/>
      <c r="N77" s="254"/>
      <c r="O77" s="5"/>
      <c r="P77" s="5"/>
      <c r="Q77" s="5"/>
      <c r="R77" s="5"/>
      <c r="S77" s="5"/>
      <c r="T77" s="5"/>
      <c r="U77" s="5"/>
      <c r="V77" s="5"/>
      <c r="W77" s="5"/>
      <c r="X77" s="5"/>
      <c r="Y77" s="225"/>
      <c r="Z77" s="254"/>
      <c r="AA77" s="5"/>
      <c r="AB77" s="5"/>
      <c r="AC77" s="5"/>
      <c r="AD77" s="5"/>
      <c r="AE77" s="5"/>
      <c r="AF77" s="5"/>
      <c r="AG77" s="5"/>
      <c r="AH77" s="5"/>
      <c r="AI77" s="5"/>
      <c r="AJ77" s="5"/>
      <c r="AK77" s="225"/>
      <c r="AL77" s="254"/>
      <c r="AM77" s="5"/>
      <c r="AN77" s="5"/>
      <c r="AO77" s="5"/>
      <c r="AP77" s="5"/>
      <c r="AQ77" s="5"/>
      <c r="AR77" s="5"/>
      <c r="AS77" s="5"/>
      <c r="AT77" s="5"/>
      <c r="AU77" s="5"/>
      <c r="AV77" s="5"/>
      <c r="AW77" s="225"/>
      <c r="AX77" s="256"/>
      <c r="AY77" s="257"/>
      <c r="AZ77" s="5"/>
      <c r="BA77" s="5"/>
      <c r="BB77" s="225"/>
      <c r="BC77" s="258"/>
    </row>
    <row r="78" ht="15.75" customHeight="1">
      <c r="A78" s="259"/>
      <c r="B78" s="250"/>
      <c r="M78" s="209"/>
      <c r="N78" s="260"/>
      <c r="Y78" s="209"/>
      <c r="Z78" s="260"/>
      <c r="AK78" s="209"/>
      <c r="AL78" s="260"/>
      <c r="AW78" s="209"/>
      <c r="AX78" s="256"/>
      <c r="AY78" s="250"/>
      <c r="BB78" s="209"/>
      <c r="BC78" s="258"/>
    </row>
    <row r="79" ht="15.75" customHeight="1">
      <c r="A79" s="259"/>
      <c r="B79" s="250"/>
      <c r="M79" s="209"/>
      <c r="N79" s="260"/>
      <c r="Y79" s="209"/>
      <c r="Z79" s="260"/>
      <c r="AK79" s="209"/>
      <c r="AL79" s="260"/>
      <c r="AW79" s="209"/>
      <c r="AX79" s="256"/>
      <c r="AY79" s="250"/>
      <c r="BB79" s="209"/>
      <c r="BC79" s="258"/>
    </row>
    <row r="80" ht="15.75" customHeight="1">
      <c r="A80" s="259"/>
      <c r="B80" s="30"/>
      <c r="C80" s="31"/>
      <c r="D80" s="31"/>
      <c r="E80" s="31"/>
      <c r="F80" s="31"/>
      <c r="G80" s="31"/>
      <c r="H80" s="31"/>
      <c r="I80" s="31"/>
      <c r="J80" s="31"/>
      <c r="K80" s="31"/>
      <c r="L80" s="31"/>
      <c r="M80" s="32"/>
      <c r="N80" s="261"/>
      <c r="O80" s="31"/>
      <c r="P80" s="31"/>
      <c r="Q80" s="31"/>
      <c r="R80" s="31"/>
      <c r="S80" s="31"/>
      <c r="T80" s="31"/>
      <c r="U80" s="31"/>
      <c r="V80" s="31"/>
      <c r="W80" s="31"/>
      <c r="X80" s="31"/>
      <c r="Y80" s="32"/>
      <c r="Z80" s="261"/>
      <c r="AA80" s="31"/>
      <c r="AB80" s="31"/>
      <c r="AC80" s="31"/>
      <c r="AD80" s="31"/>
      <c r="AE80" s="31"/>
      <c r="AF80" s="31"/>
      <c r="AG80" s="31"/>
      <c r="AH80" s="31"/>
      <c r="AI80" s="31"/>
      <c r="AJ80" s="31"/>
      <c r="AK80" s="32"/>
      <c r="AL80" s="261"/>
      <c r="AM80" s="31"/>
      <c r="AN80" s="31"/>
      <c r="AO80" s="31"/>
      <c r="AP80" s="31"/>
      <c r="AQ80" s="31"/>
      <c r="AR80" s="31"/>
      <c r="AS80" s="31"/>
      <c r="AT80" s="31"/>
      <c r="AU80" s="31"/>
      <c r="AV80" s="31"/>
      <c r="AW80" s="32"/>
      <c r="AX80" s="262"/>
      <c r="AY80" s="30"/>
      <c r="AZ80" s="31"/>
      <c r="BA80" s="31"/>
      <c r="BB80" s="32"/>
      <c r="BC80" s="258"/>
    </row>
    <row r="81" ht="15.75" customHeight="1">
      <c r="A81" s="263"/>
      <c r="B81" s="264"/>
      <c r="C81" s="265"/>
      <c r="D81" s="265"/>
      <c r="E81" s="265"/>
      <c r="F81" s="265"/>
      <c r="G81" s="265"/>
      <c r="H81" s="265"/>
      <c r="I81" s="265"/>
      <c r="J81" s="265"/>
      <c r="K81" s="265"/>
      <c r="L81" s="265"/>
      <c r="M81" s="265"/>
      <c r="N81" s="265"/>
      <c r="O81" s="265"/>
      <c r="P81" s="265"/>
      <c r="Q81" s="265"/>
      <c r="R81" s="265"/>
      <c r="S81" s="265"/>
      <c r="T81" s="265"/>
      <c r="U81" s="265"/>
      <c r="V81" s="265"/>
      <c r="W81" s="265"/>
      <c r="X81" s="265"/>
      <c r="Y81" s="265"/>
      <c r="Z81" s="265"/>
      <c r="AA81" s="265"/>
      <c r="AB81" s="265"/>
      <c r="AC81" s="265"/>
      <c r="AD81" s="265"/>
      <c r="AE81" s="265"/>
      <c r="AF81" s="265"/>
      <c r="AG81" s="265"/>
      <c r="AH81" s="265"/>
      <c r="AI81" s="265"/>
      <c r="AJ81" s="265"/>
      <c r="AK81" s="265"/>
      <c r="AL81" s="266"/>
      <c r="AM81" s="265"/>
      <c r="AN81" s="265"/>
      <c r="AO81" s="265"/>
      <c r="AP81" s="265"/>
      <c r="AQ81" s="265"/>
      <c r="AR81" s="265"/>
      <c r="AS81" s="265"/>
      <c r="AT81" s="265"/>
      <c r="AU81" s="265"/>
      <c r="AV81" s="265"/>
      <c r="AW81" s="265"/>
      <c r="AX81" s="265"/>
      <c r="AY81" s="265"/>
      <c r="AZ81" s="265"/>
      <c r="BA81" s="265"/>
      <c r="BB81" s="265"/>
      <c r="BC81" s="267"/>
    </row>
    <row r="82" ht="15.75" customHeight="1">
      <c r="A82" s="268"/>
      <c r="B82" s="269" t="s">
        <v>144</v>
      </c>
      <c r="C82" s="24"/>
      <c r="D82" s="24"/>
      <c r="E82" s="270"/>
      <c r="F82" s="271" t="s">
        <v>145</v>
      </c>
      <c r="G82" s="24"/>
      <c r="H82" s="24"/>
      <c r="I82" s="270"/>
      <c r="J82" s="272" t="s">
        <v>146</v>
      </c>
      <c r="K82" s="24"/>
      <c r="L82" s="24"/>
      <c r="M82" s="270"/>
      <c r="N82" s="272" t="s">
        <v>147</v>
      </c>
      <c r="O82" s="24"/>
      <c r="P82" s="24"/>
      <c r="Q82" s="270"/>
      <c r="R82" s="271" t="s">
        <v>148</v>
      </c>
      <c r="S82" s="24"/>
      <c r="T82" s="24"/>
      <c r="U82" s="24"/>
      <c r="V82" s="271" t="s">
        <v>149</v>
      </c>
      <c r="W82" s="24"/>
      <c r="X82" s="24"/>
      <c r="Y82" s="24"/>
      <c r="Z82" s="273" t="s">
        <v>150</v>
      </c>
      <c r="AA82" s="24"/>
      <c r="AB82" s="24"/>
      <c r="AC82" s="24"/>
      <c r="AD82" s="274" t="s">
        <v>151</v>
      </c>
      <c r="AE82" s="24"/>
      <c r="AF82" s="24"/>
      <c r="AG82" s="270"/>
      <c r="AH82" s="271"/>
      <c r="AI82" s="24"/>
      <c r="AJ82" s="24"/>
      <c r="AK82" s="270"/>
      <c r="AL82" s="271"/>
      <c r="AM82" s="24"/>
      <c r="AN82" s="24"/>
      <c r="AO82" s="270"/>
      <c r="AP82" s="273"/>
      <c r="AQ82" s="24"/>
      <c r="AR82" s="24"/>
      <c r="AS82" s="270"/>
      <c r="AT82" s="271"/>
      <c r="AU82" s="24"/>
      <c r="AV82" s="24"/>
      <c r="AW82" s="270"/>
      <c r="AX82" s="271"/>
      <c r="AY82" s="24"/>
      <c r="AZ82" s="24"/>
      <c r="BA82" s="24"/>
      <c r="BB82" s="25"/>
      <c r="BC82" s="268"/>
    </row>
    <row r="83" ht="15.75" customHeight="1">
      <c r="A83" s="268"/>
      <c r="B83" s="30"/>
      <c r="C83" s="31"/>
      <c r="D83" s="31"/>
      <c r="E83" s="275"/>
      <c r="F83" s="188"/>
      <c r="G83" s="31"/>
      <c r="H83" s="31"/>
      <c r="I83" s="275"/>
      <c r="J83" s="188"/>
      <c r="K83" s="31"/>
      <c r="L83" s="31"/>
      <c r="M83" s="275"/>
      <c r="N83" s="188"/>
      <c r="O83" s="31"/>
      <c r="P83" s="31"/>
      <c r="Q83" s="275"/>
      <c r="R83" s="188"/>
      <c r="S83" s="31"/>
      <c r="T83" s="31"/>
      <c r="U83" s="31"/>
      <c r="V83" s="188"/>
      <c r="W83" s="31"/>
      <c r="X83" s="31"/>
      <c r="Y83" s="31"/>
      <c r="Z83" s="188"/>
      <c r="AA83" s="31"/>
      <c r="AB83" s="31"/>
      <c r="AC83" s="31"/>
      <c r="AD83" s="188"/>
      <c r="AE83" s="31"/>
      <c r="AF83" s="31"/>
      <c r="AG83" s="275"/>
      <c r="AH83" s="188"/>
      <c r="AI83" s="31"/>
      <c r="AJ83" s="31"/>
      <c r="AK83" s="275"/>
      <c r="AL83" s="188"/>
      <c r="AM83" s="31"/>
      <c r="AN83" s="31"/>
      <c r="AO83" s="275"/>
      <c r="AP83" s="188"/>
      <c r="AQ83" s="31"/>
      <c r="AR83" s="31"/>
      <c r="AS83" s="275"/>
      <c r="AT83" s="188"/>
      <c r="AU83" s="31"/>
      <c r="AV83" s="31"/>
      <c r="AW83" s="275"/>
      <c r="AX83" s="188"/>
      <c r="AY83" s="31"/>
      <c r="AZ83" s="31"/>
      <c r="BA83" s="31"/>
      <c r="BB83" s="32"/>
      <c r="BC83" s="268"/>
    </row>
    <row r="84" ht="15.75" customHeight="1">
      <c r="A84" s="268"/>
      <c r="B84" s="276" t="s">
        <v>152</v>
      </c>
      <c r="E84" s="15"/>
      <c r="F84" s="277" t="s">
        <v>153</v>
      </c>
      <c r="I84" s="15"/>
      <c r="J84" s="278" t="s">
        <v>154</v>
      </c>
      <c r="M84" s="15"/>
      <c r="N84" s="278" t="s">
        <v>155</v>
      </c>
      <c r="Q84" s="15"/>
      <c r="R84" s="279" t="s">
        <v>156</v>
      </c>
      <c r="V84" s="279" t="s">
        <v>157</v>
      </c>
      <c r="Z84" s="278" t="s">
        <v>158</v>
      </c>
      <c r="AD84" s="280" t="s">
        <v>159</v>
      </c>
      <c r="AG84" s="15"/>
      <c r="AH84" s="279"/>
      <c r="AK84" s="15"/>
      <c r="AL84" s="279"/>
      <c r="AO84" s="15"/>
      <c r="AP84" s="278"/>
      <c r="AS84" s="15"/>
      <c r="AT84" s="279"/>
      <c r="AW84" s="15"/>
      <c r="AX84" s="279"/>
      <c r="BB84" s="209"/>
      <c r="BC84" s="268"/>
    </row>
    <row r="85" ht="15.75" customHeight="1">
      <c r="A85" s="268"/>
      <c r="B85" s="250"/>
      <c r="E85" s="15"/>
      <c r="F85" s="9"/>
      <c r="I85" s="15"/>
      <c r="J85" s="9"/>
      <c r="M85" s="15"/>
      <c r="N85" s="9"/>
      <c r="Q85" s="15"/>
      <c r="R85" s="9"/>
      <c r="V85" s="9"/>
      <c r="Z85" s="9"/>
      <c r="AD85" s="9"/>
      <c r="AG85" s="15"/>
      <c r="AH85" s="9"/>
      <c r="AK85" s="15"/>
      <c r="AL85" s="9"/>
      <c r="AO85" s="15"/>
      <c r="AP85" s="9"/>
      <c r="AS85" s="15"/>
      <c r="AT85" s="9"/>
      <c r="AW85" s="15"/>
      <c r="AX85" s="9"/>
      <c r="BB85" s="209"/>
      <c r="BC85" s="268"/>
    </row>
    <row r="86" ht="15.75" customHeight="1">
      <c r="A86" s="268"/>
      <c r="B86" s="250"/>
      <c r="E86" s="15"/>
      <c r="F86" s="9"/>
      <c r="I86" s="15"/>
      <c r="J86" s="9"/>
      <c r="M86" s="15"/>
      <c r="N86" s="9"/>
      <c r="Q86" s="15"/>
      <c r="R86" s="9"/>
      <c r="V86" s="9"/>
      <c r="Z86" s="9"/>
      <c r="AD86" s="9"/>
      <c r="AG86" s="15"/>
      <c r="AH86" s="9"/>
      <c r="AK86" s="15"/>
      <c r="AL86" s="9"/>
      <c r="AO86" s="15"/>
      <c r="AP86" s="9"/>
      <c r="AS86" s="15"/>
      <c r="AT86" s="9"/>
      <c r="AW86" s="15"/>
      <c r="AX86" s="9"/>
      <c r="BB86" s="209"/>
      <c r="BC86" s="268"/>
    </row>
    <row r="87" ht="15.75" customHeight="1">
      <c r="A87" s="281"/>
      <c r="B87" s="30"/>
      <c r="C87" s="31"/>
      <c r="D87" s="31"/>
      <c r="E87" s="275"/>
      <c r="F87" s="188"/>
      <c r="G87" s="31"/>
      <c r="H87" s="31"/>
      <c r="I87" s="275"/>
      <c r="J87" s="188"/>
      <c r="K87" s="31"/>
      <c r="L87" s="31"/>
      <c r="M87" s="275"/>
      <c r="N87" s="188"/>
      <c r="O87" s="31"/>
      <c r="P87" s="31"/>
      <c r="Q87" s="275"/>
      <c r="R87" s="9"/>
      <c r="V87" s="9"/>
      <c r="Z87" s="9"/>
      <c r="AD87" s="188"/>
      <c r="AE87" s="31"/>
      <c r="AF87" s="31"/>
      <c r="AG87" s="275"/>
      <c r="AH87" s="188"/>
      <c r="AI87" s="31"/>
      <c r="AJ87" s="31"/>
      <c r="AK87" s="275"/>
      <c r="AL87" s="188"/>
      <c r="AM87" s="31"/>
      <c r="AN87" s="31"/>
      <c r="AO87" s="275"/>
      <c r="AP87" s="188"/>
      <c r="AQ87" s="31"/>
      <c r="AR87" s="31"/>
      <c r="AS87" s="275"/>
      <c r="AT87" s="188"/>
      <c r="AU87" s="31"/>
      <c r="AV87" s="31"/>
      <c r="AW87" s="275"/>
      <c r="AX87" s="188"/>
      <c r="AY87" s="31"/>
      <c r="AZ87" s="31"/>
      <c r="BA87" s="31"/>
      <c r="BB87" s="32"/>
      <c r="BC87" s="268"/>
    </row>
    <row r="88" ht="15.75" customHeight="1" collapsed="1">
      <c r="A88" s="282"/>
      <c r="B88" s="265"/>
      <c r="C88" s="265"/>
      <c r="D88" s="265"/>
      <c r="E88" s="265"/>
      <c r="F88" s="265"/>
      <c r="G88" s="265"/>
      <c r="H88" s="265"/>
      <c r="I88" s="265"/>
      <c r="J88" s="265"/>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65"/>
      <c r="AK88" s="265"/>
      <c r="AL88" s="265"/>
      <c r="AM88" s="265"/>
      <c r="AN88" s="265"/>
      <c r="AO88" s="265"/>
      <c r="AP88" s="265"/>
      <c r="AQ88" s="265"/>
      <c r="AR88" s="265"/>
      <c r="AS88" s="265"/>
      <c r="AT88" s="265"/>
      <c r="AU88" s="265"/>
      <c r="AV88" s="265"/>
      <c r="AW88" s="265"/>
      <c r="AX88" s="284" t="s">
        <v>160</v>
      </c>
      <c r="BB88" s="209"/>
      <c r="BC88" s="285"/>
    </row>
    <row r="89" ht="15.75" hidden="1" customHeight="1" outlineLevel="1">
      <c r="A89" s="287" t="str">
        <f t="shared" ref="A89:A106" si="18">concatenate("cc&lt;=",I19," ",C19)</f>
        <v>cc&lt;=25 관찰력</v>
      </c>
    </row>
    <row r="90" ht="15.75" hidden="1" customHeight="1" outlineLevel="1">
      <c r="A90" s="287" t="str">
        <f t="shared" si="18"/>
        <v>cc&lt;=20 듣기</v>
      </c>
    </row>
    <row r="91" ht="15.75" hidden="1" customHeight="1" outlineLevel="1">
      <c r="A91" s="287" t="str">
        <f t="shared" si="18"/>
        <v>cc&lt;=20 자료조사</v>
      </c>
    </row>
    <row r="92" ht="15.75" hidden="1" customHeight="1" outlineLevel="1">
      <c r="A92" s="287" t="str">
        <f t="shared" si="18"/>
        <v>cc&lt;=5 컴퓨터 사용</v>
      </c>
    </row>
    <row r="93" ht="15.75" hidden="1" customHeight="1" outlineLevel="1">
      <c r="A93" s="287" t="str">
        <f t="shared" si="18"/>
        <v>cc&lt;=1 전자기기</v>
      </c>
    </row>
    <row r="94" ht="15.75" hidden="1" customHeight="1" outlineLevel="1">
      <c r="A94" s="287" t="str">
        <f t="shared" si="18"/>
        <v>cc&lt;=10 전기수리</v>
      </c>
    </row>
    <row r="95" ht="15.75" hidden="1" customHeight="1" outlineLevel="1">
      <c r="A95" s="287" t="str">
        <f t="shared" si="18"/>
        <v>cc&lt;=10 기계수리</v>
      </c>
    </row>
    <row r="96" ht="15.75" hidden="1" customHeight="1" outlineLevel="1">
      <c r="A96" s="287" t="str">
        <f t="shared" si="18"/>
        <v>cc&lt;=20 자동차 운전</v>
      </c>
    </row>
    <row r="97" ht="15.75" hidden="1" customHeight="1" outlineLevel="1">
      <c r="A97" s="287" t="str">
        <f t="shared" si="18"/>
        <v>cc&lt;=1 중장비 조작</v>
      </c>
    </row>
    <row r="98" ht="15.75" hidden="1" customHeight="1" outlineLevel="1">
      <c r="A98" s="287" t="str">
        <f t="shared" si="18"/>
        <v>cc&lt;=1 파일럿()</v>
      </c>
    </row>
    <row r="99" ht="15.75" hidden="1" customHeight="1" outlineLevel="1">
      <c r="A99" s="287" t="str">
        <f t="shared" si="18"/>
        <v>cc&lt;=0 </v>
      </c>
    </row>
    <row r="100" ht="15.75" hidden="1" customHeight="1" outlineLevel="1">
      <c r="A100" s="287" t="str">
        <f t="shared" si="18"/>
        <v>cc&lt;=10 항법</v>
      </c>
    </row>
    <row r="101" ht="15.75" hidden="1" customHeight="1" outlineLevel="1">
      <c r="A101" s="287" t="str">
        <f t="shared" si="18"/>
        <v>cc&lt;=10 추적</v>
      </c>
    </row>
    <row r="102" ht="15.75" hidden="1" customHeight="1" outlineLevel="1">
      <c r="A102" s="287" t="str">
        <f t="shared" si="18"/>
        <v>cc&lt;=5 승마</v>
      </c>
    </row>
    <row r="103" ht="15.75" hidden="1" customHeight="1" outlineLevel="1">
      <c r="A103" s="287" t="str">
        <f t="shared" si="18"/>
        <v>cc&lt;=5 조련</v>
      </c>
    </row>
    <row r="104" ht="15.75" hidden="1" customHeight="1" outlineLevel="1">
      <c r="A104" s="287" t="str">
        <f t="shared" si="18"/>
        <v>cc&lt;=0 </v>
      </c>
    </row>
    <row r="105" ht="15.75" hidden="1" customHeight="1" outlineLevel="1">
      <c r="A105" s="287" t="str">
        <f t="shared" si="18"/>
        <v>cc&lt;=1 폭파</v>
      </c>
    </row>
    <row r="106" ht="15.75" hidden="1" customHeight="1" outlineLevel="1">
      <c r="A106" s="287" t="str">
        <f t="shared" si="18"/>
        <v>cc&lt;=1 포격</v>
      </c>
    </row>
    <row r="107" ht="15.75" hidden="1" customHeight="1" outlineLevel="1">
      <c r="A107" s="287" t="str">
        <f t="shared" ref="A107:A124" si="19">concatenate("cc&lt;=",S19," ",M19)</f>
        <v>cc&lt;=0 재력</v>
      </c>
    </row>
    <row r="108" ht="15.75" hidden="1" customHeight="1" outlineLevel="1">
      <c r="A108" s="287" t="str">
        <f t="shared" si="19"/>
        <v>cc&lt;=5 회계</v>
      </c>
    </row>
    <row r="109" ht="15.75" hidden="1" customHeight="1" outlineLevel="1">
      <c r="A109" s="287" t="str">
        <f t="shared" si="19"/>
        <v>cc&lt;=10 자연</v>
      </c>
    </row>
    <row r="110" ht="15.75" hidden="1" customHeight="1" outlineLevel="1">
      <c r="A110" s="287" t="str">
        <f t="shared" si="19"/>
        <v>cc&lt;=1 과학()</v>
      </c>
    </row>
    <row r="111" ht="15.75" hidden="1" customHeight="1" outlineLevel="1">
      <c r="A111" s="287" t="str">
        <f t="shared" si="19"/>
        <v>cc&lt;=0 </v>
      </c>
    </row>
    <row r="112" ht="15.75" hidden="1" customHeight="1" outlineLevel="1">
      <c r="A112" s="287" t="str">
        <f t="shared" si="19"/>
        <v>cc&lt;=0 </v>
      </c>
    </row>
    <row r="113" ht="15.75" hidden="1" customHeight="1" outlineLevel="1">
      <c r="A113" s="287" t="str">
        <f t="shared" si="19"/>
        <v>cc&lt;=5 법률</v>
      </c>
    </row>
    <row r="114" ht="15.75" hidden="1" customHeight="1" outlineLevel="1">
      <c r="A114" s="287" t="str">
        <f t="shared" si="19"/>
        <v>cc&lt;=1 인류학</v>
      </c>
    </row>
    <row r="115" ht="15.75" hidden="1" customHeight="1" outlineLevel="1">
      <c r="A115" s="287" t="str">
        <f t="shared" si="19"/>
        <v>cc&lt;=5 역사</v>
      </c>
    </row>
    <row r="116" ht="15.75" hidden="1" customHeight="1" outlineLevel="1">
      <c r="A116" s="287" t="str">
        <f t="shared" si="19"/>
        <v>cc&lt;=1 고고학</v>
      </c>
    </row>
    <row r="117" ht="15.75" hidden="1" customHeight="1" outlineLevel="1">
      <c r="A117" s="287" t="str">
        <f t="shared" si="19"/>
        <v>cc&lt;=5 감정</v>
      </c>
    </row>
    <row r="118" ht="15.75" hidden="1" customHeight="1" outlineLevel="1">
      <c r="A118" s="287" t="str">
        <f t="shared" si="19"/>
        <v>cc&lt;=5 예술/공예</v>
      </c>
    </row>
    <row r="119" ht="15.75" hidden="1" customHeight="1" outlineLevel="1">
      <c r="A119" s="287" t="str">
        <f t="shared" si="19"/>
        <v>cc&lt;=0 </v>
      </c>
    </row>
    <row r="120" ht="15.75" hidden="1" customHeight="1" outlineLevel="1">
      <c r="A120" s="287" t="str">
        <f t="shared" si="19"/>
        <v>cc&lt;=1 독순술</v>
      </c>
    </row>
    <row r="121" ht="15.75" hidden="1" customHeight="1" outlineLevel="1">
      <c r="A121" s="287" t="str">
        <f t="shared" si="19"/>
        <v>cc&lt;=5 동물 다루기</v>
      </c>
    </row>
    <row r="122" ht="15.75" hidden="1" customHeight="1" outlineLevel="1">
      <c r="A122" s="287" t="str">
        <f t="shared" si="19"/>
        <v>cc&lt;=1 잠수</v>
      </c>
    </row>
    <row r="123" ht="15.75" hidden="1" customHeight="1" outlineLevel="1">
      <c r="A123" s="287" t="str">
        <f t="shared" si="19"/>
        <v>cc&lt;=1 최면술</v>
      </c>
    </row>
    <row r="124" ht="15.75" hidden="1" customHeight="1" outlineLevel="1">
      <c r="A124" s="287" t="str">
        <f t="shared" si="19"/>
        <v>cc&lt;=1 비밀 지식</v>
      </c>
    </row>
    <row r="125" ht="15.75" hidden="1" customHeight="1" outlineLevel="1">
      <c r="A125" s="287" t="str">
        <f t="shared" ref="A125:A142" si="20">concatenate("cc&lt;=",AC19," ",W19)</f>
        <v>cc&lt;=0 크툴루 신화</v>
      </c>
    </row>
    <row r="126" ht="15.75" hidden="1" customHeight="1" outlineLevel="1">
      <c r="A126" s="287" t="str">
        <f t="shared" si="20"/>
        <v>cc&lt;=5 오컬트</v>
      </c>
    </row>
    <row r="127" ht="15.75" hidden="1" customHeight="1" outlineLevel="1">
      <c r="A127" s="287" t="str">
        <f t="shared" si="20"/>
        <v>cc&lt;=1 정신분석</v>
      </c>
    </row>
    <row r="128" ht="15.75" hidden="1" customHeight="1" outlineLevel="1">
      <c r="A128" s="287" t="str">
        <f t="shared" si="20"/>
        <v>cc&lt;=10 심리학</v>
      </c>
    </row>
    <row r="129" ht="15.75" hidden="1" customHeight="1" outlineLevel="1">
      <c r="A129" s="287" t="str">
        <f t="shared" si="20"/>
        <v>cc&lt;=15 위협</v>
      </c>
    </row>
    <row r="130" ht="15.75" hidden="1" customHeight="1" outlineLevel="1">
      <c r="A130" s="287" t="str">
        <f t="shared" si="20"/>
        <v>cc&lt;=15 매혹</v>
      </c>
    </row>
    <row r="131" ht="15.75" hidden="1" customHeight="1" outlineLevel="1">
      <c r="A131" s="287" t="str">
        <f t="shared" si="20"/>
        <v>cc&lt;=5 말재주</v>
      </c>
    </row>
    <row r="132" ht="15.75" hidden="1" customHeight="1" outlineLevel="1">
      <c r="A132" s="287" t="str">
        <f t="shared" si="20"/>
        <v>cc&lt;=10 설득</v>
      </c>
    </row>
    <row r="133" ht="15.75" hidden="1" customHeight="1" outlineLevel="1">
      <c r="A133" s="287" t="str">
        <f t="shared" si="20"/>
        <v>cc&lt;=0 모국어</v>
      </c>
    </row>
    <row r="134" ht="15.75" hidden="1" customHeight="1" outlineLevel="1">
      <c r="A134" s="287" t="str">
        <f t="shared" si="20"/>
        <v>cc&lt;=1 외국어()</v>
      </c>
    </row>
    <row r="135" ht="15.75" hidden="1" customHeight="1" outlineLevel="1">
      <c r="A135" s="287" t="str">
        <f t="shared" si="20"/>
        <v>cc&lt;=0 </v>
      </c>
    </row>
    <row r="136" ht="15.75" hidden="1" customHeight="1" outlineLevel="1">
      <c r="A136" s="287" t="str">
        <f t="shared" si="20"/>
        <v>cc&lt;=20 투척</v>
      </c>
    </row>
    <row r="137" ht="15.75" hidden="1" customHeight="1" outlineLevel="1">
      <c r="A137" s="287" t="str">
        <f t="shared" si="20"/>
        <v>cc&lt;=25 근접전(격투)</v>
      </c>
    </row>
    <row r="138" ht="15.75" hidden="1" customHeight="1" outlineLevel="1">
      <c r="A138" s="287" t="str">
        <f t="shared" si="20"/>
        <v>cc&lt;=20 근접전(도검)</v>
      </c>
    </row>
    <row r="139" ht="15.75" hidden="1" customHeight="1" outlineLevel="1">
      <c r="A139" s="287" t="str">
        <f t="shared" si="20"/>
        <v>cc&lt;=15 근접전(도끼)</v>
      </c>
    </row>
    <row r="140" ht="15.75" hidden="1" customHeight="1" outlineLevel="1">
      <c r="A140" s="287" t="str">
        <f t="shared" si="20"/>
        <v>cc&lt;=20 근접전(창)</v>
      </c>
    </row>
    <row r="141" ht="15.75" hidden="1" customHeight="1" outlineLevel="1">
      <c r="A141" s="287" t="str">
        <f t="shared" si="20"/>
        <v>cc&lt;=5 근접전(채찍)</v>
      </c>
    </row>
    <row r="142" ht="15.75" hidden="1" customHeight="1" outlineLevel="1">
      <c r="A142" s="287" t="str">
        <f t="shared" si="20"/>
        <v>cc&lt;=10 근접전(기타)</v>
      </c>
    </row>
    <row r="143" ht="15.75" hidden="1" customHeight="1" outlineLevel="1">
      <c r="A143" s="287" t="str">
        <f t="shared" ref="A143:A160" si="21">concatenate("cc&lt;=",AM19," ",AG19)</f>
        <v>cc&lt;=1 의료</v>
      </c>
    </row>
    <row r="144" ht="15.75" hidden="1" customHeight="1" outlineLevel="1">
      <c r="A144" s="287" t="str">
        <f t="shared" si="21"/>
        <v>cc&lt;=30 응급처치</v>
      </c>
    </row>
    <row r="145" ht="15.75" hidden="1" customHeight="1" outlineLevel="1">
      <c r="A145" s="287" t="str">
        <f t="shared" si="21"/>
        <v>cc&lt;=10 생존술()</v>
      </c>
    </row>
    <row r="146" ht="15.75" hidden="1" customHeight="1" outlineLevel="1">
      <c r="A146" s="287" t="str">
        <f t="shared" si="21"/>
        <v>cc&lt;=20 수영</v>
      </c>
    </row>
    <row r="147" ht="15.75" hidden="1" customHeight="1" outlineLevel="1">
      <c r="A147" s="287" t="str">
        <f t="shared" si="21"/>
        <v>cc&lt;=20 오르기</v>
      </c>
    </row>
    <row r="148" ht="15.75" hidden="1" customHeight="1" outlineLevel="1">
      <c r="A148" s="287" t="str">
        <f t="shared" si="21"/>
        <v>cc&lt;=20 도약</v>
      </c>
    </row>
    <row r="149" ht="15.75" hidden="1" customHeight="1" outlineLevel="1">
      <c r="A149" s="287" t="str">
        <f t="shared" si="21"/>
        <v>cc&lt;=0 회피</v>
      </c>
    </row>
    <row r="150" ht="15.75" hidden="1" customHeight="1" outlineLevel="1">
      <c r="A150" s="287" t="str">
        <f t="shared" si="21"/>
        <v>cc&lt;=5 변장</v>
      </c>
    </row>
    <row r="151" ht="15.75" hidden="1" customHeight="1" outlineLevel="1">
      <c r="A151" s="287" t="str">
        <f t="shared" si="21"/>
        <v>cc&lt;=20 은밀행동</v>
      </c>
    </row>
    <row r="152" ht="15.75" hidden="1" customHeight="1" outlineLevel="1">
      <c r="A152" s="287" t="str">
        <f t="shared" si="21"/>
        <v>cc&lt;=10 손놀림</v>
      </c>
    </row>
    <row r="153" ht="15.75" hidden="1" customHeight="1" outlineLevel="1">
      <c r="A153" s="287" t="str">
        <f t="shared" si="21"/>
        <v>cc&lt;=1 열쇠공</v>
      </c>
    </row>
    <row r="154" ht="15.75" hidden="1" customHeight="1" outlineLevel="1">
      <c r="A154" s="287" t="str">
        <f t="shared" si="21"/>
        <v>cc&lt;=20 사격(권총)</v>
      </c>
    </row>
    <row r="155" ht="15.75" hidden="1" customHeight="1" outlineLevel="1">
      <c r="A155" s="287" t="str">
        <f t="shared" si="21"/>
        <v>cc&lt;=25 사격(소총)</v>
      </c>
    </row>
    <row r="156" ht="15.75" hidden="1" customHeight="1" outlineLevel="1">
      <c r="A156" s="287" t="str">
        <f t="shared" si="21"/>
        <v>cc&lt;=15 사격(기관단총)</v>
      </c>
    </row>
    <row r="157" ht="15.75" hidden="1" customHeight="1" outlineLevel="1">
      <c r="A157" s="287" t="str">
        <f t="shared" si="21"/>
        <v>cc&lt;=10 사격(기관총)</v>
      </c>
    </row>
    <row r="158" ht="15.75" hidden="1" customHeight="1" outlineLevel="1">
      <c r="A158" s="287" t="str">
        <f t="shared" si="21"/>
        <v>cc&lt;=15 사격(활)</v>
      </c>
    </row>
    <row r="159" ht="15.75" hidden="1" customHeight="1" outlineLevel="1">
      <c r="A159" s="287" t="str">
        <f t="shared" si="21"/>
        <v>cc&lt;=10 사격(중화기)</v>
      </c>
    </row>
    <row r="160" ht="15.75" hidden="1" customHeight="1" outlineLevel="1">
      <c r="A160" s="287" t="str">
        <f t="shared" si="21"/>
        <v>cc&lt;=10 화염방사기</v>
      </c>
    </row>
    <row r="161" ht="15.75" hidden="1" customHeight="1" outlineLevel="1">
      <c r="A161" s="287" t="str">
        <f>concatenate("cc&lt;=",V10," ","근력")</f>
        <v>cc&lt;= 근력</v>
      </c>
    </row>
    <row r="162" ht="15.75" hidden="1" customHeight="1" outlineLevel="1">
      <c r="A162" s="287" t="str">
        <f>concatenate("cc&lt;=",V12," ","건강")</f>
        <v>cc&lt;= 건강</v>
      </c>
    </row>
    <row r="163" ht="15.75" hidden="1" customHeight="1" outlineLevel="1">
      <c r="A163" s="287" t="str">
        <f>concatenate("cc&lt;=",V14," ","크기")</f>
        <v>cc&lt;= 크기</v>
      </c>
    </row>
    <row r="164" ht="15.75" hidden="1" customHeight="1" outlineLevel="1">
      <c r="A164" s="287" t="str">
        <f>concatenate("cc&lt;=",AD10," ","민첩")</f>
        <v>cc&lt;= 민첩</v>
      </c>
    </row>
    <row r="165" ht="15.75" hidden="1" customHeight="1" outlineLevel="1">
      <c r="A165" s="287" t="str">
        <f>concatenate("cc&lt;=",AD12," ","외모")</f>
        <v>cc&lt;= 외모</v>
      </c>
    </row>
    <row r="166" ht="15.75" hidden="1" customHeight="1" outlineLevel="1">
      <c r="A166" s="287" t="str">
        <f>concatenate("cc&lt;=",AD14," ","지능(아이디어)")</f>
        <v>cc&lt;= 지능(아이디어)</v>
      </c>
    </row>
    <row r="167" ht="15.75" hidden="1" customHeight="1" outlineLevel="1">
      <c r="A167" s="287" t="str">
        <f>concatenate("cc&lt;=",AL10," ","정신력")</f>
        <v>cc&lt;= 정신력</v>
      </c>
    </row>
    <row r="168" ht="15.75" hidden="1" customHeight="1" outlineLevel="1">
      <c r="A168" s="287" t="str">
        <f>concatenate("cc&lt;=",AL12," ","교육(지식)")</f>
        <v>cc&lt;= 교육(지식)</v>
      </c>
    </row>
    <row r="169" ht="15.75" hidden="1" customHeight="1" outlineLevel="1">
      <c r="A169" s="288" t="s">
        <v>162</v>
      </c>
    </row>
    <row r="170" ht="15.75" hidden="1" customHeight="1" outlineLevel="1">
      <c r="A170" s="288" t="s">
        <v>163</v>
      </c>
    </row>
    <row r="171" ht="15.75" hidden="1" customHeight="1" outlineLevel="1">
      <c r="A171" s="288" t="str">
        <f t="shared" ref="A171:A177" si="22">if(OR(B41="",S41=""),"",concatenate(S41," ","피해","(",B41,")"))</f>
        <v>1d3+{DB} 피해(맨손)</v>
      </c>
    </row>
    <row r="172" ht="15.75" hidden="1" customHeight="1" outlineLevel="1">
      <c r="A172" s="288" t="str">
        <f t="shared" si="22"/>
        <v/>
      </c>
    </row>
    <row r="173" ht="15.75" hidden="1" customHeight="1" outlineLevel="1">
      <c r="A173" s="288" t="str">
        <f t="shared" si="22"/>
        <v/>
      </c>
    </row>
    <row r="174" ht="15.75" hidden="1" customHeight="1" outlineLevel="1">
      <c r="A174" s="288" t="str">
        <f t="shared" si="22"/>
        <v/>
      </c>
    </row>
    <row r="175" ht="15.75" hidden="1" customHeight="1" outlineLevel="1">
      <c r="A175" s="288" t="str">
        <f t="shared" si="22"/>
        <v/>
      </c>
    </row>
    <row r="176" ht="15.75" hidden="1" customHeight="1" outlineLevel="1">
      <c r="A176" s="288" t="str">
        <f t="shared" si="22"/>
        <v/>
      </c>
    </row>
    <row r="177" ht="15.75" hidden="1" customHeight="1" outlineLevel="1">
      <c r="A177" s="288" t="str">
        <f t="shared" si="22"/>
        <v/>
      </c>
    </row>
    <row r="178" ht="15.75" customHeight="1">
      <c r="A178" s="288"/>
      <c r="B178" s="288"/>
      <c r="C178" s="288"/>
      <c r="D178" s="288"/>
      <c r="E178" s="288"/>
      <c r="F178" s="288"/>
      <c r="G178" s="288"/>
      <c r="H178" s="288"/>
      <c r="I178" s="288"/>
      <c r="J178" s="288"/>
      <c r="K178" s="288"/>
      <c r="L178" s="288"/>
      <c r="M178" s="288"/>
      <c r="N178" s="288"/>
      <c r="O178" s="287"/>
      <c r="P178" s="287"/>
      <c r="Q178" s="287"/>
      <c r="R178" s="287"/>
      <c r="S178" s="287"/>
      <c r="T178" s="287"/>
      <c r="U178" s="287"/>
      <c r="V178" s="287"/>
      <c r="W178" s="287"/>
      <c r="X178" s="287"/>
      <c r="Y178" s="287"/>
      <c r="Z178" s="287"/>
      <c r="AA178" s="287"/>
      <c r="AB178" s="287"/>
      <c r="AC178" s="287"/>
      <c r="AD178" s="287"/>
      <c r="AE178" s="287"/>
      <c r="AF178" s="287"/>
      <c r="AG178" s="287"/>
      <c r="AH178" s="287"/>
      <c r="AI178" s="287"/>
      <c r="AJ178" s="287"/>
      <c r="AK178" s="287"/>
      <c r="AL178" s="287"/>
      <c r="AM178" s="287"/>
      <c r="AN178" s="287"/>
      <c r="AO178" s="287"/>
      <c r="AP178" s="287"/>
      <c r="AQ178" s="287"/>
      <c r="AR178" s="287"/>
      <c r="AS178" s="287"/>
      <c r="AT178" s="287"/>
      <c r="AU178" s="287"/>
      <c r="AV178" s="287"/>
      <c r="AW178" s="287"/>
      <c r="AX178" s="287"/>
      <c r="AY178" s="287"/>
      <c r="AZ178" s="287"/>
      <c r="BA178" s="287"/>
      <c r="BB178" s="287"/>
      <c r="BC178" s="287"/>
    </row>
    <row r="179" ht="15.75" customHeight="1">
      <c r="A179" s="287"/>
      <c r="B179" s="287"/>
      <c r="C179" s="287"/>
      <c r="D179" s="287"/>
      <c r="E179" s="287"/>
      <c r="F179" s="287"/>
      <c r="G179" s="287"/>
      <c r="H179" s="287"/>
      <c r="I179" s="287"/>
      <c r="J179" s="287"/>
      <c r="K179" s="287"/>
      <c r="L179" s="287"/>
      <c r="M179" s="287"/>
      <c r="N179" s="287"/>
      <c r="O179" s="287"/>
      <c r="P179" s="287"/>
      <c r="Q179" s="287"/>
      <c r="R179" s="287"/>
      <c r="S179" s="287"/>
      <c r="T179" s="287"/>
      <c r="U179" s="287"/>
      <c r="V179" s="287"/>
      <c r="W179" s="287"/>
      <c r="X179" s="287"/>
      <c r="Y179" s="287"/>
      <c r="Z179" s="287"/>
      <c r="AA179" s="287"/>
      <c r="AB179" s="287"/>
      <c r="AC179" s="287"/>
      <c r="AD179" s="287"/>
      <c r="AE179" s="287"/>
      <c r="AF179" s="287"/>
      <c r="AG179" s="287"/>
      <c r="AH179" s="287"/>
      <c r="AI179" s="287"/>
      <c r="AJ179" s="287"/>
      <c r="AK179" s="287"/>
      <c r="AL179" s="287"/>
      <c r="AM179" s="287"/>
      <c r="AN179" s="287"/>
      <c r="AO179" s="287"/>
      <c r="AP179" s="287"/>
      <c r="AQ179" s="287"/>
      <c r="AR179" s="287"/>
      <c r="AS179" s="287"/>
      <c r="AT179" s="287"/>
      <c r="AU179" s="287"/>
      <c r="AV179" s="287"/>
      <c r="AW179" s="287"/>
      <c r="AX179" s="287"/>
      <c r="AY179" s="287"/>
      <c r="AZ179" s="287"/>
      <c r="BA179" s="287"/>
      <c r="BB179" s="287"/>
      <c r="BC179" s="287"/>
    </row>
    <row r="180" ht="15.75" customHeight="1">
      <c r="A180" s="287"/>
      <c r="B180" s="287"/>
      <c r="C180" s="287"/>
      <c r="D180" s="287"/>
      <c r="E180" s="287"/>
      <c r="F180" s="287"/>
      <c r="G180" s="287"/>
      <c r="H180" s="287"/>
      <c r="I180" s="287"/>
      <c r="J180" s="287"/>
      <c r="K180" s="287"/>
      <c r="L180" s="287"/>
      <c r="M180" s="287"/>
      <c r="N180" s="287"/>
      <c r="O180" s="287"/>
      <c r="P180" s="287"/>
      <c r="Q180" s="287"/>
      <c r="R180" s="287"/>
      <c r="S180" s="287"/>
      <c r="T180" s="287"/>
      <c r="U180" s="287"/>
      <c r="V180" s="287"/>
      <c r="W180" s="287"/>
      <c r="X180" s="287"/>
      <c r="Y180" s="287"/>
      <c r="Z180" s="287"/>
      <c r="AA180" s="287"/>
      <c r="AB180" s="287"/>
      <c r="AC180" s="287"/>
      <c r="AD180" s="287"/>
      <c r="AE180" s="287"/>
      <c r="AF180" s="287"/>
      <c r="AG180" s="287"/>
      <c r="AH180" s="287"/>
      <c r="AI180" s="287"/>
      <c r="AJ180" s="287"/>
      <c r="AK180" s="287"/>
      <c r="AL180" s="287"/>
      <c r="AM180" s="287"/>
      <c r="AN180" s="287"/>
      <c r="AO180" s="287"/>
      <c r="AP180" s="287"/>
      <c r="AQ180" s="287"/>
      <c r="AR180" s="287"/>
      <c r="AS180" s="287"/>
      <c r="AT180" s="287"/>
      <c r="AU180" s="287"/>
      <c r="AV180" s="287"/>
      <c r="AW180" s="287"/>
      <c r="AX180" s="287"/>
      <c r="AY180" s="287"/>
      <c r="AZ180" s="287"/>
      <c r="BA180" s="287"/>
      <c r="BB180" s="287"/>
      <c r="BC180" s="287"/>
    </row>
    <row r="181" ht="15.75" customHeight="1">
      <c r="A181" s="287"/>
      <c r="B181" s="287"/>
      <c r="C181" s="287"/>
      <c r="D181" s="287"/>
      <c r="E181" s="287"/>
      <c r="F181" s="287"/>
      <c r="G181" s="287"/>
      <c r="H181" s="287"/>
      <c r="I181" s="287"/>
      <c r="J181" s="287"/>
      <c r="K181" s="287"/>
      <c r="L181" s="287"/>
      <c r="M181" s="287"/>
      <c r="N181" s="287"/>
      <c r="O181" s="287"/>
      <c r="P181" s="287"/>
      <c r="Q181" s="287"/>
      <c r="R181" s="287"/>
      <c r="S181" s="287"/>
      <c r="T181" s="287"/>
      <c r="U181" s="287"/>
      <c r="V181" s="287"/>
      <c r="W181" s="287"/>
      <c r="X181" s="287"/>
      <c r="Y181" s="287"/>
      <c r="Z181" s="287"/>
      <c r="AA181" s="287"/>
      <c r="AB181" s="287"/>
      <c r="AC181" s="287"/>
      <c r="AD181" s="287"/>
      <c r="AE181" s="287"/>
      <c r="AF181" s="287"/>
      <c r="AG181" s="287"/>
      <c r="AH181" s="287"/>
      <c r="AI181" s="287"/>
      <c r="AJ181" s="287"/>
      <c r="AK181" s="287"/>
      <c r="AL181" s="287"/>
      <c r="AM181" s="287"/>
      <c r="AN181" s="287"/>
      <c r="AO181" s="287"/>
      <c r="AP181" s="287"/>
      <c r="AQ181" s="287"/>
      <c r="AR181" s="287"/>
      <c r="AS181" s="287"/>
      <c r="AT181" s="287"/>
      <c r="AU181" s="287"/>
      <c r="AV181" s="287"/>
      <c r="AW181" s="287"/>
      <c r="AX181" s="287"/>
      <c r="AY181" s="287"/>
      <c r="AZ181" s="287"/>
      <c r="BA181" s="287"/>
      <c r="BB181" s="287"/>
      <c r="BC181" s="287"/>
    </row>
    <row r="182" ht="15.75" customHeight="1">
      <c r="A182" s="287"/>
      <c r="B182" s="287"/>
      <c r="C182" s="287"/>
      <c r="D182" s="287"/>
      <c r="E182" s="287"/>
      <c r="F182" s="287"/>
      <c r="G182" s="287"/>
      <c r="H182" s="287"/>
      <c r="I182" s="287"/>
      <c r="J182" s="287"/>
      <c r="K182" s="287"/>
      <c r="L182" s="287"/>
      <c r="M182" s="287"/>
      <c r="N182" s="287"/>
      <c r="O182" s="287"/>
      <c r="P182" s="287"/>
      <c r="Q182" s="287"/>
      <c r="R182" s="287"/>
      <c r="S182" s="287"/>
      <c r="T182" s="287"/>
      <c r="U182" s="287"/>
      <c r="V182" s="287"/>
      <c r="W182" s="287"/>
      <c r="X182" s="287"/>
      <c r="Y182" s="287"/>
      <c r="Z182" s="287"/>
      <c r="AA182" s="287"/>
      <c r="AB182" s="287"/>
      <c r="AC182" s="287"/>
      <c r="AD182" s="287"/>
      <c r="AE182" s="287"/>
      <c r="AF182" s="287"/>
      <c r="AG182" s="287"/>
      <c r="AH182" s="287"/>
      <c r="AI182" s="287"/>
      <c r="AJ182" s="287"/>
      <c r="AK182" s="287"/>
      <c r="AL182" s="287"/>
      <c r="AM182" s="287"/>
      <c r="AN182" s="287"/>
      <c r="AO182" s="287"/>
      <c r="AP182" s="287"/>
      <c r="AQ182" s="287"/>
      <c r="AR182" s="287"/>
      <c r="AS182" s="287"/>
      <c r="AT182" s="287"/>
      <c r="AU182" s="287"/>
      <c r="AV182" s="287"/>
      <c r="AW182" s="287"/>
      <c r="AX182" s="287"/>
      <c r="AY182" s="287"/>
      <c r="AZ182" s="287"/>
      <c r="BA182" s="287"/>
      <c r="BB182" s="287"/>
      <c r="BC182" s="287"/>
    </row>
    <row r="183" ht="15.75" customHeight="1">
      <c r="A183" s="287"/>
      <c r="B183" s="287"/>
      <c r="C183" s="287"/>
      <c r="D183" s="287"/>
      <c r="E183" s="287"/>
      <c r="F183" s="287"/>
      <c r="G183" s="287"/>
      <c r="H183" s="287"/>
      <c r="I183" s="287"/>
      <c r="J183" s="287"/>
      <c r="K183" s="287"/>
      <c r="L183" s="287"/>
      <c r="M183" s="287"/>
      <c r="N183" s="287"/>
      <c r="O183" s="287"/>
      <c r="P183" s="287"/>
      <c r="Q183" s="287"/>
      <c r="R183" s="287"/>
      <c r="S183" s="287"/>
      <c r="T183" s="287"/>
      <c r="U183" s="287"/>
      <c r="V183" s="287"/>
      <c r="W183" s="287"/>
      <c r="X183" s="287"/>
      <c r="Y183" s="287"/>
      <c r="Z183" s="287"/>
      <c r="AA183" s="287"/>
      <c r="AB183" s="287"/>
      <c r="AC183" s="287"/>
      <c r="AD183" s="287"/>
      <c r="AE183" s="287"/>
      <c r="AF183" s="287"/>
      <c r="AG183" s="287"/>
      <c r="AH183" s="287"/>
      <c r="AI183" s="287"/>
      <c r="AJ183" s="287"/>
      <c r="AK183" s="287"/>
      <c r="AL183" s="287"/>
      <c r="AM183" s="287"/>
      <c r="AN183" s="287"/>
      <c r="AO183" s="287"/>
      <c r="AP183" s="287"/>
      <c r="AQ183" s="287"/>
      <c r="AR183" s="287"/>
      <c r="AS183" s="287"/>
      <c r="AT183" s="287"/>
      <c r="AU183" s="287"/>
      <c r="AV183" s="287"/>
      <c r="AW183" s="287"/>
      <c r="AX183" s="287"/>
      <c r="AY183" s="287"/>
      <c r="AZ183" s="287"/>
      <c r="BA183" s="287"/>
      <c r="BB183" s="287"/>
      <c r="BC183" s="287"/>
    </row>
    <row r="184" ht="15.75" customHeight="1">
      <c r="A184" s="287"/>
      <c r="B184" s="287"/>
      <c r="C184" s="287"/>
      <c r="D184" s="287"/>
      <c r="E184" s="287"/>
      <c r="F184" s="287"/>
      <c r="G184" s="287"/>
      <c r="H184" s="287"/>
      <c r="I184" s="287"/>
      <c r="J184" s="287"/>
      <c r="K184" s="287"/>
      <c r="L184" s="287"/>
      <c r="M184" s="287"/>
      <c r="N184" s="287"/>
      <c r="O184" s="287"/>
      <c r="P184" s="287"/>
      <c r="Q184" s="287"/>
      <c r="R184" s="287"/>
      <c r="S184" s="287"/>
      <c r="T184" s="287"/>
      <c r="U184" s="287"/>
      <c r="V184" s="287"/>
      <c r="W184" s="287"/>
      <c r="X184" s="287"/>
      <c r="Y184" s="287"/>
      <c r="Z184" s="287"/>
      <c r="AA184" s="287"/>
      <c r="AB184" s="287"/>
      <c r="AC184" s="287"/>
      <c r="AD184" s="287"/>
      <c r="AE184" s="287"/>
      <c r="AF184" s="287"/>
      <c r="AG184" s="287"/>
      <c r="AH184" s="287"/>
      <c r="AI184" s="287"/>
      <c r="AJ184" s="287"/>
      <c r="AK184" s="287"/>
      <c r="AL184" s="287"/>
      <c r="AM184" s="287"/>
      <c r="AN184" s="287"/>
      <c r="AO184" s="287"/>
      <c r="AP184" s="287"/>
      <c r="AQ184" s="287"/>
      <c r="AR184" s="287"/>
      <c r="AS184" s="287"/>
      <c r="AT184" s="287"/>
      <c r="AU184" s="287"/>
      <c r="AV184" s="287"/>
      <c r="AW184" s="287"/>
      <c r="AX184" s="287"/>
      <c r="AY184" s="287"/>
      <c r="AZ184" s="287"/>
      <c r="BA184" s="287"/>
      <c r="BB184" s="287"/>
      <c r="BC184" s="287"/>
    </row>
    <row r="185" ht="15.75" customHeight="1">
      <c r="A185" s="287"/>
      <c r="B185" s="287"/>
      <c r="C185" s="287"/>
      <c r="D185" s="287"/>
      <c r="E185" s="287"/>
      <c r="F185" s="287"/>
      <c r="G185" s="287"/>
      <c r="H185" s="287"/>
      <c r="I185" s="287"/>
      <c r="J185" s="287"/>
      <c r="K185" s="287"/>
      <c r="L185" s="287"/>
      <c r="M185" s="287"/>
      <c r="N185" s="287"/>
      <c r="O185" s="287"/>
      <c r="P185" s="287"/>
      <c r="Q185" s="287"/>
      <c r="R185" s="287"/>
      <c r="S185" s="287"/>
      <c r="T185" s="287"/>
      <c r="U185" s="287"/>
      <c r="V185" s="287"/>
      <c r="W185" s="287"/>
      <c r="X185" s="287"/>
      <c r="Y185" s="287"/>
      <c r="Z185" s="287"/>
      <c r="AA185" s="287"/>
      <c r="AB185" s="287"/>
      <c r="AC185" s="287"/>
      <c r="AD185" s="287"/>
      <c r="AE185" s="287"/>
      <c r="AF185" s="287"/>
      <c r="AG185" s="287"/>
      <c r="AH185" s="287"/>
      <c r="AI185" s="287"/>
      <c r="AJ185" s="287"/>
      <c r="AK185" s="287"/>
      <c r="AL185" s="287"/>
      <c r="AM185" s="287"/>
      <c r="AN185" s="287"/>
      <c r="AO185" s="287"/>
      <c r="AP185" s="287"/>
      <c r="AQ185" s="287"/>
      <c r="AR185" s="287"/>
      <c r="AS185" s="287"/>
      <c r="AT185" s="287"/>
      <c r="AU185" s="287"/>
      <c r="AV185" s="287"/>
      <c r="AW185" s="287"/>
      <c r="AX185" s="287"/>
      <c r="AY185" s="287"/>
      <c r="AZ185" s="287"/>
      <c r="BA185" s="287"/>
      <c r="BB185" s="287"/>
      <c r="BC185" s="287"/>
    </row>
    <row r="186" ht="15.75" customHeight="1">
      <c r="A186" s="287"/>
      <c r="B186" s="287"/>
      <c r="C186" s="287"/>
      <c r="D186" s="287"/>
      <c r="E186" s="287"/>
      <c r="F186" s="287"/>
      <c r="G186" s="287"/>
      <c r="H186" s="287"/>
      <c r="I186" s="287"/>
      <c r="J186" s="287"/>
      <c r="K186" s="287"/>
      <c r="L186" s="287"/>
      <c r="M186" s="287"/>
      <c r="N186" s="287"/>
      <c r="O186" s="287"/>
      <c r="P186" s="287"/>
      <c r="Q186" s="287"/>
      <c r="R186" s="287"/>
      <c r="S186" s="287"/>
      <c r="T186" s="287"/>
      <c r="U186" s="287"/>
      <c r="V186" s="287"/>
      <c r="W186" s="287"/>
      <c r="X186" s="287"/>
      <c r="Y186" s="287"/>
      <c r="Z186" s="287"/>
      <c r="AA186" s="287"/>
      <c r="AB186" s="287"/>
      <c r="AC186" s="287"/>
      <c r="AD186" s="287"/>
      <c r="AE186" s="287"/>
      <c r="AF186" s="287"/>
      <c r="AG186" s="287"/>
      <c r="AH186" s="287"/>
      <c r="AI186" s="287"/>
      <c r="AJ186" s="287"/>
      <c r="AK186" s="287"/>
      <c r="AL186" s="287"/>
      <c r="AM186" s="287"/>
      <c r="AN186" s="287"/>
      <c r="AO186" s="287"/>
      <c r="AP186" s="287"/>
      <c r="AQ186" s="287"/>
      <c r="AR186" s="287"/>
      <c r="AS186" s="287"/>
      <c r="AT186" s="287"/>
      <c r="AU186" s="287"/>
      <c r="AV186" s="287"/>
      <c r="AW186" s="287"/>
      <c r="AX186" s="287"/>
      <c r="AY186" s="287"/>
      <c r="AZ186" s="287"/>
      <c r="BA186" s="287"/>
      <c r="BB186" s="287"/>
      <c r="BC186" s="287"/>
    </row>
    <row r="187" ht="15.75" customHeight="1">
      <c r="A187" s="287"/>
      <c r="B187" s="287"/>
      <c r="C187" s="287"/>
      <c r="D187" s="287"/>
      <c r="E187" s="287"/>
      <c r="F187" s="287"/>
      <c r="G187" s="287"/>
      <c r="H187" s="287"/>
      <c r="I187" s="287"/>
      <c r="J187" s="287"/>
      <c r="K187" s="287"/>
      <c r="L187" s="287"/>
      <c r="M187" s="287"/>
      <c r="N187" s="287"/>
      <c r="O187" s="287"/>
      <c r="P187" s="287"/>
      <c r="Q187" s="287"/>
      <c r="R187" s="287"/>
      <c r="S187" s="287"/>
      <c r="T187" s="287"/>
      <c r="U187" s="287"/>
      <c r="V187" s="287"/>
      <c r="W187" s="287"/>
      <c r="X187" s="287"/>
      <c r="Y187" s="287"/>
      <c r="Z187" s="287"/>
      <c r="AA187" s="287"/>
      <c r="AB187" s="287"/>
      <c r="AC187" s="287"/>
      <c r="AD187" s="287"/>
      <c r="AE187" s="287"/>
      <c r="AF187" s="287"/>
      <c r="AG187" s="287"/>
      <c r="AH187" s="287"/>
      <c r="AI187" s="287"/>
      <c r="AJ187" s="287"/>
      <c r="AK187" s="287"/>
      <c r="AL187" s="287"/>
      <c r="AM187" s="287"/>
      <c r="AN187" s="287"/>
      <c r="AO187" s="287"/>
      <c r="AP187" s="287"/>
      <c r="AQ187" s="287"/>
      <c r="AR187" s="287"/>
      <c r="AS187" s="287"/>
      <c r="AT187" s="287"/>
      <c r="AU187" s="287"/>
      <c r="AV187" s="287"/>
      <c r="AW187" s="287"/>
      <c r="AX187" s="287"/>
      <c r="AY187" s="287"/>
      <c r="AZ187" s="287"/>
      <c r="BA187" s="287"/>
      <c r="BB187" s="287"/>
      <c r="BC187" s="287"/>
    </row>
    <row r="188" ht="15.75" customHeight="1">
      <c r="A188" s="287"/>
      <c r="B188" s="287"/>
      <c r="C188" s="287"/>
      <c r="D188" s="287"/>
      <c r="E188" s="287"/>
      <c r="F188" s="287"/>
      <c r="G188" s="287"/>
      <c r="H188" s="287"/>
      <c r="I188" s="287"/>
      <c r="J188" s="287"/>
      <c r="K188" s="287"/>
      <c r="L188" s="287"/>
      <c r="M188" s="287"/>
      <c r="N188" s="287"/>
      <c r="O188" s="287"/>
      <c r="P188" s="287"/>
      <c r="Q188" s="287"/>
      <c r="R188" s="287"/>
      <c r="S188" s="287"/>
      <c r="T188" s="287"/>
      <c r="U188" s="287"/>
      <c r="V188" s="287"/>
      <c r="W188" s="287"/>
      <c r="X188" s="287"/>
      <c r="Y188" s="287"/>
      <c r="Z188" s="287"/>
      <c r="AA188" s="287"/>
      <c r="AB188" s="287"/>
      <c r="AC188" s="287"/>
      <c r="AD188" s="287"/>
      <c r="AE188" s="287"/>
      <c r="AF188" s="287"/>
      <c r="AG188" s="287"/>
      <c r="AH188" s="287"/>
      <c r="AI188" s="287"/>
      <c r="AJ188" s="287"/>
      <c r="AK188" s="287"/>
      <c r="AL188" s="287"/>
      <c r="AM188" s="287"/>
      <c r="AN188" s="287"/>
      <c r="AO188" s="287"/>
      <c r="AP188" s="287"/>
      <c r="AQ188" s="287"/>
      <c r="AR188" s="287"/>
      <c r="AS188" s="287"/>
      <c r="AT188" s="287"/>
      <c r="AU188" s="287"/>
      <c r="AV188" s="287"/>
      <c r="AW188" s="287"/>
      <c r="AX188" s="287"/>
      <c r="AY188" s="287"/>
      <c r="AZ188" s="287"/>
      <c r="BA188" s="287"/>
      <c r="BB188" s="287"/>
      <c r="BC188" s="287"/>
    </row>
    <row r="189" ht="15.75" customHeight="1">
      <c r="A189" s="287"/>
      <c r="B189" s="287"/>
      <c r="C189" s="287"/>
      <c r="D189" s="287"/>
      <c r="E189" s="287"/>
      <c r="F189" s="287"/>
      <c r="G189" s="287"/>
      <c r="H189" s="287"/>
      <c r="I189" s="287"/>
      <c r="J189" s="287"/>
      <c r="K189" s="287"/>
      <c r="L189" s="287"/>
      <c r="M189" s="287"/>
      <c r="N189" s="287"/>
      <c r="O189" s="287"/>
      <c r="P189" s="287"/>
      <c r="Q189" s="287"/>
      <c r="R189" s="287"/>
      <c r="S189" s="287"/>
      <c r="T189" s="287"/>
      <c r="U189" s="287"/>
      <c r="V189" s="287"/>
      <c r="W189" s="287"/>
      <c r="X189" s="287"/>
      <c r="Y189" s="287"/>
      <c r="Z189" s="287"/>
      <c r="AA189" s="287"/>
      <c r="AB189" s="287"/>
      <c r="AC189" s="287"/>
      <c r="AD189" s="287"/>
      <c r="AE189" s="287"/>
      <c r="AF189" s="287"/>
      <c r="AG189" s="287"/>
      <c r="AH189" s="287"/>
      <c r="AI189" s="287"/>
      <c r="AJ189" s="287"/>
      <c r="AK189" s="287"/>
      <c r="AL189" s="287"/>
      <c r="AM189" s="287"/>
      <c r="AN189" s="287"/>
      <c r="AO189" s="287"/>
      <c r="AP189" s="287"/>
      <c r="AQ189" s="287"/>
      <c r="AR189" s="287"/>
      <c r="AS189" s="287"/>
      <c r="AT189" s="287"/>
      <c r="AU189" s="287"/>
      <c r="AV189" s="287"/>
      <c r="AW189" s="287"/>
      <c r="AX189" s="287"/>
      <c r="AY189" s="287"/>
      <c r="AZ189" s="287"/>
      <c r="BA189" s="287"/>
      <c r="BB189" s="287"/>
      <c r="BC189" s="287"/>
    </row>
    <row r="190" ht="15.75" customHeight="1">
      <c r="A190" s="287"/>
      <c r="B190" s="287"/>
      <c r="C190" s="287"/>
      <c r="D190" s="287"/>
      <c r="E190" s="287"/>
      <c r="F190" s="287"/>
      <c r="G190" s="287"/>
      <c r="H190" s="287"/>
      <c r="I190" s="287"/>
      <c r="J190" s="287"/>
      <c r="K190" s="287"/>
      <c r="L190" s="287"/>
      <c r="M190" s="287"/>
      <c r="N190" s="287"/>
      <c r="O190" s="287"/>
      <c r="P190" s="287"/>
      <c r="Q190" s="287"/>
      <c r="R190" s="287"/>
      <c r="S190" s="287"/>
      <c r="T190" s="287"/>
      <c r="U190" s="287"/>
      <c r="V190" s="287"/>
      <c r="W190" s="287"/>
      <c r="X190" s="287"/>
      <c r="Y190" s="287"/>
      <c r="Z190" s="287"/>
      <c r="AA190" s="287"/>
      <c r="AB190" s="287"/>
      <c r="AC190" s="287"/>
      <c r="AD190" s="287"/>
      <c r="AE190" s="287"/>
      <c r="AF190" s="287"/>
      <c r="AG190" s="287"/>
      <c r="AH190" s="287"/>
      <c r="AI190" s="287"/>
      <c r="AJ190" s="287"/>
      <c r="AK190" s="287"/>
      <c r="AL190" s="287"/>
      <c r="AM190" s="287"/>
      <c r="AN190" s="287"/>
      <c r="AO190" s="287"/>
      <c r="AP190" s="287"/>
      <c r="AQ190" s="287"/>
      <c r="AR190" s="287"/>
      <c r="AS190" s="287"/>
      <c r="AT190" s="287"/>
      <c r="AU190" s="287"/>
      <c r="AV190" s="287"/>
      <c r="AW190" s="287"/>
      <c r="AX190" s="287"/>
      <c r="AY190" s="287"/>
      <c r="AZ190" s="287"/>
      <c r="BA190" s="287"/>
      <c r="BB190" s="287"/>
      <c r="BC190" s="287"/>
    </row>
    <row r="191" ht="15.75" customHeight="1">
      <c r="A191" s="287"/>
      <c r="B191" s="287"/>
      <c r="C191" s="287"/>
      <c r="D191" s="287"/>
      <c r="E191" s="287"/>
      <c r="F191" s="287"/>
      <c r="G191" s="287"/>
      <c r="H191" s="287"/>
      <c r="I191" s="287"/>
      <c r="J191" s="287"/>
      <c r="K191" s="287"/>
      <c r="L191" s="287"/>
      <c r="M191" s="287"/>
      <c r="N191" s="287"/>
      <c r="O191" s="287"/>
      <c r="P191" s="287"/>
      <c r="Q191" s="287"/>
      <c r="R191" s="287"/>
      <c r="S191" s="287"/>
      <c r="T191" s="287"/>
      <c r="U191" s="287"/>
      <c r="V191" s="287"/>
      <c r="W191" s="287"/>
      <c r="X191" s="287"/>
      <c r="Y191" s="287"/>
      <c r="Z191" s="287"/>
      <c r="AA191" s="287"/>
      <c r="AB191" s="287"/>
      <c r="AC191" s="287"/>
      <c r="AD191" s="287"/>
      <c r="AE191" s="287"/>
      <c r="AF191" s="287"/>
      <c r="AG191" s="287"/>
      <c r="AH191" s="287"/>
      <c r="AI191" s="287"/>
      <c r="AJ191" s="287"/>
      <c r="AK191" s="287"/>
      <c r="AL191" s="287"/>
      <c r="AM191" s="287"/>
      <c r="AN191" s="287"/>
      <c r="AO191" s="287"/>
      <c r="AP191" s="287"/>
      <c r="AQ191" s="287"/>
      <c r="AR191" s="287"/>
      <c r="AS191" s="287"/>
      <c r="AT191" s="287"/>
      <c r="AU191" s="287"/>
      <c r="AV191" s="287"/>
      <c r="AW191" s="287"/>
      <c r="AX191" s="287"/>
      <c r="AY191" s="287"/>
      <c r="AZ191" s="287"/>
      <c r="BA191" s="287"/>
      <c r="BB191" s="287"/>
      <c r="BC191" s="287"/>
    </row>
    <row r="192" ht="15.75" customHeight="1">
      <c r="A192" s="287"/>
      <c r="B192" s="287"/>
      <c r="C192" s="287"/>
      <c r="D192" s="287"/>
      <c r="E192" s="287"/>
      <c r="F192" s="287"/>
      <c r="G192" s="287"/>
      <c r="H192" s="287"/>
      <c r="I192" s="287"/>
      <c r="J192" s="287"/>
      <c r="K192" s="287"/>
      <c r="L192" s="287"/>
      <c r="M192" s="287"/>
      <c r="N192" s="287"/>
      <c r="O192" s="287"/>
      <c r="P192" s="287"/>
      <c r="Q192" s="287"/>
      <c r="R192" s="287"/>
      <c r="S192" s="287"/>
      <c r="T192" s="287"/>
      <c r="U192" s="287"/>
      <c r="V192" s="287"/>
      <c r="W192" s="287"/>
      <c r="X192" s="287"/>
      <c r="Y192" s="287"/>
      <c r="Z192" s="287"/>
      <c r="AA192" s="287"/>
      <c r="AB192" s="287"/>
      <c r="AC192" s="287"/>
      <c r="AD192" s="287"/>
      <c r="AE192" s="287"/>
      <c r="AF192" s="287"/>
      <c r="AG192" s="287"/>
      <c r="AH192" s="287"/>
      <c r="AI192" s="287"/>
      <c r="AJ192" s="287"/>
      <c r="AK192" s="287"/>
      <c r="AL192" s="287"/>
      <c r="AM192" s="287"/>
      <c r="AN192" s="287"/>
      <c r="AO192" s="287"/>
      <c r="AP192" s="287"/>
      <c r="AQ192" s="287"/>
      <c r="AR192" s="287"/>
      <c r="AS192" s="287"/>
      <c r="AT192" s="287"/>
      <c r="AU192" s="287"/>
      <c r="AV192" s="287"/>
      <c r="AW192" s="287"/>
      <c r="AX192" s="287"/>
      <c r="AY192" s="287"/>
      <c r="AZ192" s="287"/>
      <c r="BA192" s="287"/>
      <c r="BB192" s="287"/>
      <c r="BC192" s="287"/>
    </row>
    <row r="193" ht="15.75" customHeight="1">
      <c r="A193" s="287"/>
      <c r="B193" s="287"/>
      <c r="C193" s="287"/>
      <c r="D193" s="287"/>
      <c r="E193" s="287"/>
      <c r="F193" s="287"/>
      <c r="G193" s="287"/>
      <c r="H193" s="287"/>
      <c r="I193" s="287"/>
      <c r="J193" s="287"/>
      <c r="K193" s="287"/>
      <c r="L193" s="287"/>
      <c r="M193" s="287"/>
      <c r="N193" s="287"/>
      <c r="O193" s="287"/>
      <c r="P193" s="287"/>
      <c r="Q193" s="287"/>
      <c r="R193" s="287"/>
      <c r="S193" s="287"/>
      <c r="T193" s="287"/>
      <c r="U193" s="287"/>
      <c r="V193" s="287"/>
      <c r="W193" s="287"/>
      <c r="X193" s="287"/>
      <c r="Y193" s="287"/>
      <c r="Z193" s="287"/>
      <c r="AA193" s="287"/>
      <c r="AB193" s="287"/>
      <c r="AC193" s="287"/>
      <c r="AD193" s="287"/>
      <c r="AE193" s="287"/>
      <c r="AF193" s="287"/>
      <c r="AG193" s="287"/>
      <c r="AH193" s="287"/>
      <c r="AI193" s="287"/>
      <c r="AJ193" s="287"/>
      <c r="AK193" s="287"/>
      <c r="AL193" s="287"/>
      <c r="AM193" s="287"/>
      <c r="AN193" s="287"/>
      <c r="AO193" s="287"/>
      <c r="AP193" s="287"/>
      <c r="AQ193" s="287"/>
      <c r="AR193" s="287"/>
      <c r="AS193" s="287"/>
      <c r="AT193" s="287"/>
      <c r="AU193" s="287"/>
      <c r="AV193" s="287"/>
      <c r="AW193" s="287"/>
      <c r="AX193" s="287"/>
      <c r="AY193" s="287"/>
      <c r="AZ193" s="287"/>
      <c r="BA193" s="287"/>
      <c r="BB193" s="287"/>
      <c r="BC193" s="287"/>
    </row>
    <row r="194" ht="15.75" customHeight="1">
      <c r="A194" s="287"/>
      <c r="B194" s="287"/>
      <c r="C194" s="287"/>
      <c r="D194" s="287"/>
      <c r="E194" s="287"/>
      <c r="F194" s="287"/>
      <c r="G194" s="287"/>
      <c r="H194" s="287"/>
      <c r="I194" s="287"/>
      <c r="J194" s="287"/>
      <c r="K194" s="287"/>
      <c r="L194" s="287"/>
      <c r="M194" s="287"/>
      <c r="N194" s="287"/>
      <c r="O194" s="287"/>
      <c r="P194" s="287"/>
      <c r="Q194" s="287"/>
      <c r="R194" s="287"/>
      <c r="S194" s="287"/>
      <c r="T194" s="287"/>
      <c r="U194" s="287"/>
      <c r="V194" s="287"/>
      <c r="W194" s="287"/>
      <c r="X194" s="287"/>
      <c r="Y194" s="287"/>
      <c r="Z194" s="287"/>
      <c r="AA194" s="287"/>
      <c r="AB194" s="287"/>
      <c r="AC194" s="287"/>
      <c r="AD194" s="287"/>
      <c r="AE194" s="287"/>
      <c r="AF194" s="287"/>
      <c r="AG194" s="287"/>
      <c r="AH194" s="287"/>
      <c r="AI194" s="287"/>
      <c r="AJ194" s="287"/>
      <c r="AK194" s="287"/>
      <c r="AL194" s="287"/>
      <c r="AM194" s="287"/>
      <c r="AN194" s="287"/>
      <c r="AO194" s="287"/>
      <c r="AP194" s="287"/>
      <c r="AQ194" s="287"/>
      <c r="AR194" s="287"/>
      <c r="AS194" s="287"/>
      <c r="AT194" s="287"/>
      <c r="AU194" s="287"/>
      <c r="AV194" s="287"/>
      <c r="AW194" s="287"/>
      <c r="AX194" s="287"/>
      <c r="AY194" s="287"/>
      <c r="AZ194" s="287"/>
      <c r="BA194" s="287"/>
      <c r="BB194" s="287"/>
      <c r="BC194" s="287"/>
    </row>
    <row r="195" ht="15.75" customHeight="1">
      <c r="A195" s="287"/>
      <c r="B195" s="287"/>
      <c r="C195" s="287"/>
      <c r="D195" s="287"/>
      <c r="E195" s="287"/>
      <c r="F195" s="287"/>
      <c r="G195" s="287"/>
      <c r="H195" s="287"/>
      <c r="I195" s="287"/>
      <c r="J195" s="287"/>
      <c r="K195" s="287"/>
      <c r="L195" s="287"/>
      <c r="M195" s="287"/>
      <c r="N195" s="287"/>
      <c r="O195" s="287"/>
      <c r="P195" s="287"/>
      <c r="Q195" s="287"/>
      <c r="R195" s="287"/>
      <c r="S195" s="287"/>
      <c r="T195" s="287"/>
      <c r="U195" s="287"/>
      <c r="V195" s="287"/>
      <c r="W195" s="287"/>
      <c r="X195" s="287"/>
      <c r="Y195" s="287"/>
      <c r="Z195" s="287"/>
      <c r="AA195" s="287"/>
      <c r="AB195" s="287"/>
      <c r="AC195" s="287"/>
      <c r="AD195" s="287"/>
      <c r="AE195" s="287"/>
      <c r="AF195" s="287"/>
      <c r="AG195" s="287"/>
      <c r="AH195" s="287"/>
      <c r="AI195" s="287"/>
      <c r="AJ195" s="287"/>
      <c r="AK195" s="287"/>
      <c r="AL195" s="287"/>
      <c r="AM195" s="287"/>
      <c r="AN195" s="287"/>
      <c r="AO195" s="287"/>
      <c r="AP195" s="287"/>
      <c r="AQ195" s="287"/>
      <c r="AR195" s="287"/>
      <c r="AS195" s="287"/>
      <c r="AT195" s="287"/>
      <c r="AU195" s="287"/>
      <c r="AV195" s="287"/>
      <c r="AW195" s="287"/>
      <c r="AX195" s="287"/>
      <c r="AY195" s="287"/>
      <c r="AZ195" s="287"/>
      <c r="BA195" s="287"/>
      <c r="BB195" s="287"/>
      <c r="BC195" s="287"/>
    </row>
    <row r="196" ht="15.75" customHeight="1">
      <c r="A196" s="287"/>
      <c r="B196" s="287"/>
      <c r="C196" s="287"/>
      <c r="D196" s="287"/>
      <c r="E196" s="287"/>
      <c r="F196" s="287"/>
      <c r="G196" s="287"/>
      <c r="H196" s="287"/>
      <c r="I196" s="287"/>
      <c r="J196" s="287"/>
      <c r="K196" s="287"/>
      <c r="L196" s="287"/>
      <c r="M196" s="287"/>
      <c r="N196" s="287"/>
      <c r="O196" s="287"/>
      <c r="P196" s="287"/>
      <c r="Q196" s="287"/>
      <c r="R196" s="287"/>
      <c r="S196" s="287"/>
      <c r="T196" s="287"/>
      <c r="U196" s="287"/>
      <c r="V196" s="287"/>
      <c r="W196" s="287"/>
      <c r="X196" s="287"/>
      <c r="Y196" s="287"/>
      <c r="Z196" s="287"/>
      <c r="AA196" s="287"/>
      <c r="AB196" s="287"/>
      <c r="AC196" s="287"/>
      <c r="AD196" s="287"/>
      <c r="AE196" s="287"/>
      <c r="AF196" s="287"/>
      <c r="AG196" s="287"/>
      <c r="AH196" s="287"/>
      <c r="AI196" s="287"/>
      <c r="AJ196" s="287"/>
      <c r="AK196" s="287"/>
      <c r="AL196" s="287"/>
      <c r="AM196" s="287"/>
      <c r="AN196" s="287"/>
      <c r="AO196" s="287"/>
      <c r="AP196" s="287"/>
      <c r="AQ196" s="287"/>
      <c r="AR196" s="287"/>
      <c r="AS196" s="287"/>
      <c r="AT196" s="287"/>
      <c r="AU196" s="287"/>
      <c r="AV196" s="287"/>
      <c r="AW196" s="287"/>
      <c r="AX196" s="287"/>
      <c r="AY196" s="287"/>
      <c r="AZ196" s="287"/>
      <c r="BA196" s="287"/>
      <c r="BB196" s="287"/>
      <c r="BC196" s="287"/>
    </row>
    <row r="197" ht="15.75" customHeight="1">
      <c r="A197" s="287"/>
      <c r="B197" s="287"/>
      <c r="C197" s="287"/>
      <c r="D197" s="287"/>
      <c r="E197" s="287"/>
      <c r="F197" s="287"/>
      <c r="G197" s="287"/>
      <c r="H197" s="287"/>
      <c r="I197" s="287"/>
      <c r="J197" s="287"/>
      <c r="K197" s="287"/>
      <c r="L197" s="287"/>
      <c r="M197" s="287"/>
      <c r="N197" s="287"/>
      <c r="O197" s="287"/>
      <c r="P197" s="287"/>
      <c r="Q197" s="287"/>
      <c r="R197" s="287"/>
      <c r="S197" s="287"/>
      <c r="T197" s="287"/>
      <c r="U197" s="287"/>
      <c r="V197" s="287"/>
      <c r="W197" s="287"/>
      <c r="X197" s="287"/>
      <c r="Y197" s="287"/>
      <c r="Z197" s="287"/>
      <c r="AA197" s="287"/>
      <c r="AB197" s="287"/>
      <c r="AC197" s="287"/>
      <c r="AD197" s="287"/>
      <c r="AE197" s="287"/>
      <c r="AF197" s="287"/>
      <c r="AG197" s="287"/>
      <c r="AH197" s="287"/>
      <c r="AI197" s="287"/>
      <c r="AJ197" s="287"/>
      <c r="AK197" s="287"/>
      <c r="AL197" s="287"/>
      <c r="AM197" s="287"/>
      <c r="AN197" s="287"/>
      <c r="AO197" s="287"/>
      <c r="AP197" s="287"/>
      <c r="AQ197" s="287"/>
      <c r="AR197" s="287"/>
      <c r="AS197" s="287"/>
      <c r="AT197" s="287"/>
      <c r="AU197" s="287"/>
      <c r="AV197" s="287"/>
      <c r="AW197" s="287"/>
      <c r="AX197" s="287"/>
      <c r="AY197" s="287"/>
      <c r="AZ197" s="287"/>
      <c r="BA197" s="287"/>
      <c r="BB197" s="287"/>
      <c r="BC197" s="287"/>
    </row>
    <row r="198" ht="15.75" customHeight="1">
      <c r="A198" s="287"/>
      <c r="B198" s="287"/>
      <c r="C198" s="287"/>
      <c r="D198" s="287"/>
      <c r="E198" s="287"/>
      <c r="F198" s="287"/>
      <c r="G198" s="287"/>
      <c r="H198" s="287"/>
      <c r="I198" s="287"/>
      <c r="J198" s="287"/>
      <c r="K198" s="287"/>
      <c r="L198" s="287"/>
      <c r="M198" s="287"/>
      <c r="N198" s="287"/>
      <c r="O198" s="287"/>
      <c r="P198" s="287"/>
      <c r="Q198" s="287"/>
      <c r="R198" s="287"/>
      <c r="S198" s="287"/>
      <c r="T198" s="287"/>
      <c r="U198" s="287"/>
      <c r="V198" s="287"/>
      <c r="W198" s="287"/>
      <c r="X198" s="287"/>
      <c r="Y198" s="287"/>
      <c r="Z198" s="287"/>
      <c r="AA198" s="287"/>
      <c r="AB198" s="287"/>
      <c r="AC198" s="287"/>
      <c r="AD198" s="287"/>
      <c r="AE198" s="287"/>
      <c r="AF198" s="287"/>
      <c r="AG198" s="287"/>
      <c r="AH198" s="287"/>
      <c r="AI198" s="287"/>
      <c r="AJ198" s="287"/>
      <c r="AK198" s="287"/>
      <c r="AL198" s="287"/>
      <c r="AM198" s="287"/>
      <c r="AN198" s="287"/>
      <c r="AO198" s="287"/>
      <c r="AP198" s="287"/>
      <c r="AQ198" s="287"/>
      <c r="AR198" s="287"/>
      <c r="AS198" s="287"/>
      <c r="AT198" s="287"/>
      <c r="AU198" s="287"/>
      <c r="AV198" s="287"/>
      <c r="AW198" s="287"/>
      <c r="AX198" s="287"/>
      <c r="AY198" s="287"/>
      <c r="AZ198" s="287"/>
      <c r="BA198" s="287"/>
      <c r="BB198" s="287"/>
      <c r="BC198" s="287"/>
    </row>
    <row r="199" ht="15.75" customHeight="1">
      <c r="A199" s="287"/>
      <c r="B199" s="287"/>
      <c r="C199" s="287"/>
      <c r="D199" s="287"/>
      <c r="E199" s="287"/>
      <c r="F199" s="287"/>
      <c r="G199" s="287"/>
      <c r="H199" s="287"/>
      <c r="I199" s="287"/>
      <c r="J199" s="287"/>
      <c r="K199" s="287"/>
      <c r="L199" s="287"/>
      <c r="M199" s="287"/>
      <c r="N199" s="287"/>
      <c r="O199" s="287"/>
      <c r="P199" s="287"/>
      <c r="Q199" s="287"/>
      <c r="R199" s="287"/>
      <c r="S199" s="287"/>
      <c r="T199" s="287"/>
      <c r="U199" s="287"/>
      <c r="V199" s="287"/>
      <c r="W199" s="287"/>
      <c r="X199" s="287"/>
      <c r="Y199" s="287"/>
      <c r="Z199" s="287"/>
      <c r="AA199" s="287"/>
      <c r="AB199" s="287"/>
      <c r="AC199" s="287"/>
      <c r="AD199" s="287"/>
      <c r="AE199" s="287"/>
      <c r="AF199" s="287"/>
      <c r="AG199" s="287"/>
      <c r="AH199" s="287"/>
      <c r="AI199" s="287"/>
      <c r="AJ199" s="287"/>
      <c r="AK199" s="287"/>
      <c r="AL199" s="287"/>
      <c r="AM199" s="287"/>
      <c r="AN199" s="287"/>
      <c r="AO199" s="287"/>
      <c r="AP199" s="287"/>
      <c r="AQ199" s="287"/>
      <c r="AR199" s="287"/>
      <c r="AS199" s="287"/>
      <c r="AT199" s="287"/>
      <c r="AU199" s="287"/>
      <c r="AV199" s="287"/>
      <c r="AW199" s="287"/>
      <c r="AX199" s="287"/>
      <c r="AY199" s="287"/>
      <c r="AZ199" s="287"/>
      <c r="BA199" s="287"/>
      <c r="BB199" s="287"/>
      <c r="BC199" s="287"/>
    </row>
    <row r="200" ht="15.75" customHeight="1">
      <c r="A200" s="287"/>
      <c r="B200" s="287"/>
      <c r="C200" s="287"/>
      <c r="D200" s="287"/>
      <c r="E200" s="287"/>
      <c r="F200" s="287"/>
      <c r="G200" s="287"/>
      <c r="H200" s="287"/>
      <c r="I200" s="287"/>
      <c r="J200" s="287"/>
      <c r="K200" s="287"/>
      <c r="L200" s="287"/>
      <c r="M200" s="287"/>
      <c r="N200" s="287"/>
      <c r="O200" s="287"/>
      <c r="P200" s="287"/>
      <c r="Q200" s="287"/>
      <c r="R200" s="287"/>
      <c r="S200" s="287"/>
      <c r="T200" s="287"/>
      <c r="U200" s="287"/>
      <c r="V200" s="287"/>
      <c r="W200" s="287"/>
      <c r="X200" s="287"/>
      <c r="Y200" s="287"/>
      <c r="Z200" s="287"/>
      <c r="AA200" s="287"/>
      <c r="AB200" s="287"/>
      <c r="AC200" s="287"/>
      <c r="AD200" s="287"/>
      <c r="AE200" s="287"/>
      <c r="AF200" s="287"/>
      <c r="AG200" s="287"/>
      <c r="AH200" s="287"/>
      <c r="AI200" s="287"/>
      <c r="AJ200" s="287"/>
      <c r="AK200" s="287"/>
      <c r="AL200" s="287"/>
      <c r="AM200" s="287"/>
      <c r="AN200" s="287"/>
      <c r="AO200" s="287"/>
      <c r="AP200" s="287"/>
      <c r="AQ200" s="287"/>
      <c r="AR200" s="287"/>
      <c r="AS200" s="287"/>
      <c r="AT200" s="287"/>
      <c r="AU200" s="287"/>
      <c r="AV200" s="287"/>
      <c r="AW200" s="287"/>
      <c r="AX200" s="287"/>
      <c r="AY200" s="287"/>
      <c r="AZ200" s="287"/>
      <c r="BA200" s="287"/>
      <c r="BB200" s="287"/>
      <c r="BC200" s="287"/>
    </row>
    <row r="201" ht="15.75" customHeight="1">
      <c r="A201" s="287"/>
      <c r="B201" s="287"/>
      <c r="C201" s="287"/>
      <c r="D201" s="287"/>
      <c r="E201" s="287"/>
      <c r="F201" s="287"/>
      <c r="G201" s="287"/>
      <c r="H201" s="287"/>
      <c r="I201" s="287"/>
      <c r="J201" s="287"/>
      <c r="K201" s="287"/>
      <c r="L201" s="287"/>
      <c r="M201" s="287"/>
      <c r="N201" s="287"/>
      <c r="O201" s="287"/>
      <c r="P201" s="287"/>
      <c r="Q201" s="287"/>
      <c r="R201" s="287"/>
      <c r="S201" s="287"/>
      <c r="T201" s="287"/>
      <c r="U201" s="287"/>
      <c r="V201" s="287"/>
      <c r="W201" s="287"/>
      <c r="X201" s="287"/>
      <c r="Y201" s="287"/>
      <c r="Z201" s="287"/>
      <c r="AA201" s="287"/>
      <c r="AB201" s="287"/>
      <c r="AC201" s="287"/>
      <c r="AD201" s="287"/>
      <c r="AE201" s="287"/>
      <c r="AF201" s="287"/>
      <c r="AG201" s="287"/>
      <c r="AH201" s="287"/>
      <c r="AI201" s="287"/>
      <c r="AJ201" s="287"/>
      <c r="AK201" s="287"/>
      <c r="AL201" s="287"/>
      <c r="AM201" s="287"/>
      <c r="AN201" s="287"/>
      <c r="AO201" s="287"/>
      <c r="AP201" s="287"/>
      <c r="AQ201" s="287"/>
      <c r="AR201" s="287"/>
      <c r="AS201" s="287"/>
      <c r="AT201" s="287"/>
      <c r="AU201" s="287"/>
      <c r="AV201" s="287"/>
      <c r="AW201" s="287"/>
      <c r="AX201" s="287"/>
      <c r="AY201" s="287"/>
      <c r="AZ201" s="287"/>
      <c r="BA201" s="287"/>
      <c r="BB201" s="287"/>
      <c r="BC201" s="287"/>
    </row>
    <row r="202" ht="15.75" customHeight="1">
      <c r="A202" s="287"/>
      <c r="B202" s="287"/>
      <c r="C202" s="287"/>
      <c r="D202" s="287"/>
      <c r="E202" s="287"/>
      <c r="F202" s="287"/>
      <c r="G202" s="287"/>
      <c r="H202" s="287"/>
      <c r="I202" s="287"/>
      <c r="J202" s="287"/>
      <c r="K202" s="287"/>
      <c r="L202" s="287"/>
      <c r="M202" s="287"/>
      <c r="N202" s="287"/>
      <c r="O202" s="287"/>
      <c r="P202" s="287"/>
      <c r="Q202" s="287"/>
      <c r="R202" s="287"/>
      <c r="S202" s="287"/>
      <c r="T202" s="287"/>
      <c r="U202" s="287"/>
      <c r="V202" s="287"/>
      <c r="W202" s="287"/>
      <c r="X202" s="287"/>
      <c r="Y202" s="287"/>
      <c r="Z202" s="287"/>
      <c r="AA202" s="287"/>
      <c r="AB202" s="287"/>
      <c r="AC202" s="287"/>
      <c r="AD202" s="287"/>
      <c r="AE202" s="287"/>
      <c r="AF202" s="287"/>
      <c r="AG202" s="287"/>
      <c r="AH202" s="287"/>
      <c r="AI202" s="287"/>
      <c r="AJ202" s="287"/>
      <c r="AK202" s="287"/>
      <c r="AL202" s="287"/>
      <c r="AM202" s="287"/>
      <c r="AN202" s="287"/>
      <c r="AO202" s="287"/>
      <c r="AP202" s="287"/>
      <c r="AQ202" s="287"/>
      <c r="AR202" s="287"/>
      <c r="AS202" s="287"/>
      <c r="AT202" s="287"/>
      <c r="AU202" s="287"/>
      <c r="AV202" s="287"/>
      <c r="AW202" s="287"/>
      <c r="AX202" s="287"/>
      <c r="AY202" s="287"/>
      <c r="AZ202" s="287"/>
      <c r="BA202" s="287"/>
      <c r="BB202" s="287"/>
      <c r="BC202" s="287"/>
    </row>
    <row r="203" ht="15.75" customHeight="1">
      <c r="A203" s="287"/>
      <c r="B203" s="287"/>
      <c r="C203" s="287"/>
      <c r="D203" s="287"/>
      <c r="E203" s="287"/>
      <c r="F203" s="287"/>
      <c r="G203" s="287"/>
      <c r="H203" s="287"/>
      <c r="I203" s="287"/>
      <c r="J203" s="287"/>
      <c r="K203" s="287"/>
      <c r="L203" s="287"/>
      <c r="M203" s="287"/>
      <c r="N203" s="287"/>
      <c r="O203" s="287"/>
      <c r="P203" s="287"/>
      <c r="Q203" s="287"/>
      <c r="R203" s="287"/>
      <c r="S203" s="287"/>
      <c r="T203" s="287"/>
      <c r="U203" s="287"/>
      <c r="V203" s="287"/>
      <c r="W203" s="287"/>
      <c r="X203" s="287"/>
      <c r="Y203" s="287"/>
      <c r="Z203" s="287"/>
      <c r="AA203" s="287"/>
      <c r="AB203" s="287"/>
      <c r="AC203" s="287"/>
      <c r="AD203" s="287"/>
      <c r="AE203" s="287"/>
      <c r="AF203" s="287"/>
      <c r="AG203" s="287"/>
      <c r="AH203" s="287"/>
      <c r="AI203" s="287"/>
      <c r="AJ203" s="287"/>
      <c r="AK203" s="287"/>
      <c r="AL203" s="287"/>
      <c r="AM203" s="287"/>
      <c r="AN203" s="287"/>
      <c r="AO203" s="287"/>
      <c r="AP203" s="287"/>
      <c r="AQ203" s="287"/>
      <c r="AR203" s="287"/>
      <c r="AS203" s="287"/>
      <c r="AT203" s="287"/>
      <c r="AU203" s="287"/>
      <c r="AV203" s="287"/>
      <c r="AW203" s="287"/>
      <c r="AX203" s="287"/>
      <c r="AY203" s="287"/>
      <c r="AZ203" s="287"/>
      <c r="BA203" s="287"/>
      <c r="BB203" s="287"/>
      <c r="BC203" s="287"/>
    </row>
    <row r="204" ht="15.75" customHeight="1">
      <c r="A204" s="287"/>
      <c r="B204" s="287"/>
      <c r="C204" s="287"/>
      <c r="D204" s="287"/>
      <c r="E204" s="287"/>
      <c r="F204" s="287"/>
      <c r="G204" s="287"/>
      <c r="H204" s="287"/>
      <c r="I204" s="287"/>
      <c r="J204" s="287"/>
      <c r="K204" s="287"/>
      <c r="L204" s="287"/>
      <c r="M204" s="287"/>
      <c r="N204" s="287"/>
      <c r="O204" s="287"/>
      <c r="P204" s="287"/>
      <c r="Q204" s="287"/>
      <c r="R204" s="287"/>
      <c r="S204" s="287"/>
      <c r="T204" s="287"/>
      <c r="U204" s="287"/>
      <c r="V204" s="287"/>
      <c r="W204" s="287"/>
      <c r="X204" s="287"/>
      <c r="Y204" s="287"/>
      <c r="Z204" s="287"/>
      <c r="AA204" s="287"/>
      <c r="AB204" s="287"/>
      <c r="AC204" s="287"/>
      <c r="AD204" s="287"/>
      <c r="AE204" s="287"/>
      <c r="AF204" s="287"/>
      <c r="AG204" s="287"/>
      <c r="AH204" s="287"/>
      <c r="AI204" s="287"/>
      <c r="AJ204" s="287"/>
      <c r="AK204" s="287"/>
      <c r="AL204" s="287"/>
      <c r="AM204" s="287"/>
      <c r="AN204" s="287"/>
      <c r="AO204" s="287"/>
      <c r="AP204" s="287"/>
      <c r="AQ204" s="287"/>
      <c r="AR204" s="287"/>
      <c r="AS204" s="287"/>
      <c r="AT204" s="287"/>
      <c r="AU204" s="287"/>
      <c r="AV204" s="287"/>
      <c r="AW204" s="287"/>
      <c r="AX204" s="287"/>
      <c r="AY204" s="287"/>
      <c r="AZ204" s="287"/>
      <c r="BA204" s="287"/>
      <c r="BB204" s="287"/>
      <c r="BC204" s="287"/>
    </row>
    <row r="205" ht="15.75" customHeight="1">
      <c r="A205" s="287"/>
      <c r="B205" s="287"/>
      <c r="C205" s="287"/>
      <c r="D205" s="287"/>
      <c r="E205" s="287"/>
      <c r="F205" s="287"/>
      <c r="G205" s="287"/>
      <c r="H205" s="287"/>
      <c r="I205" s="287"/>
      <c r="J205" s="287"/>
      <c r="K205" s="287"/>
      <c r="L205" s="287"/>
      <c r="M205" s="287"/>
      <c r="N205" s="287"/>
      <c r="O205" s="287"/>
      <c r="P205" s="287"/>
      <c r="Q205" s="287"/>
      <c r="R205" s="287"/>
      <c r="S205" s="287"/>
      <c r="T205" s="287"/>
      <c r="U205" s="287"/>
      <c r="V205" s="287"/>
      <c r="W205" s="287"/>
      <c r="X205" s="287"/>
      <c r="Y205" s="287"/>
      <c r="Z205" s="287"/>
      <c r="AA205" s="287"/>
      <c r="AB205" s="287"/>
      <c r="AC205" s="287"/>
      <c r="AD205" s="287"/>
      <c r="AE205" s="287"/>
      <c r="AF205" s="287"/>
      <c r="AG205" s="287"/>
      <c r="AH205" s="287"/>
      <c r="AI205" s="287"/>
      <c r="AJ205" s="287"/>
      <c r="AK205" s="287"/>
      <c r="AL205" s="287"/>
      <c r="AM205" s="287"/>
      <c r="AN205" s="287"/>
      <c r="AO205" s="287"/>
      <c r="AP205" s="287"/>
      <c r="AQ205" s="287"/>
      <c r="AR205" s="287"/>
      <c r="AS205" s="287"/>
      <c r="AT205" s="287"/>
      <c r="AU205" s="287"/>
      <c r="AV205" s="287"/>
      <c r="AW205" s="287"/>
      <c r="AX205" s="287"/>
      <c r="AY205" s="287"/>
      <c r="AZ205" s="287"/>
      <c r="BA205" s="287"/>
      <c r="BB205" s="287"/>
      <c r="BC205" s="287"/>
    </row>
    <row r="206" ht="15.75" customHeight="1">
      <c r="A206" s="287"/>
      <c r="B206" s="287"/>
      <c r="C206" s="287"/>
      <c r="D206" s="287"/>
      <c r="E206" s="287"/>
      <c r="F206" s="287"/>
      <c r="G206" s="287"/>
      <c r="H206" s="287"/>
      <c r="I206" s="287"/>
      <c r="J206" s="287"/>
      <c r="K206" s="287"/>
      <c r="L206" s="287"/>
      <c r="M206" s="287"/>
      <c r="N206" s="287"/>
      <c r="O206" s="287"/>
      <c r="P206" s="287"/>
      <c r="Q206" s="287"/>
      <c r="R206" s="287"/>
      <c r="S206" s="287"/>
      <c r="T206" s="287"/>
      <c r="U206" s="287"/>
      <c r="V206" s="287"/>
      <c r="W206" s="287"/>
      <c r="X206" s="287"/>
      <c r="Y206" s="287"/>
      <c r="Z206" s="287"/>
      <c r="AA206" s="287"/>
      <c r="AB206" s="287"/>
      <c r="AC206" s="287"/>
      <c r="AD206" s="287"/>
      <c r="AE206" s="287"/>
      <c r="AF206" s="287"/>
      <c r="AG206" s="287"/>
      <c r="AH206" s="287"/>
      <c r="AI206" s="287"/>
      <c r="AJ206" s="287"/>
      <c r="AK206" s="287"/>
      <c r="AL206" s="287"/>
      <c r="AM206" s="287"/>
      <c r="AN206" s="287"/>
      <c r="AO206" s="287"/>
      <c r="AP206" s="287"/>
      <c r="AQ206" s="287"/>
      <c r="AR206" s="287"/>
      <c r="AS206" s="287"/>
      <c r="AT206" s="287"/>
      <c r="AU206" s="287"/>
      <c r="AV206" s="287"/>
      <c r="AW206" s="287"/>
      <c r="AX206" s="287"/>
      <c r="AY206" s="287"/>
      <c r="AZ206" s="287"/>
      <c r="BA206" s="287"/>
      <c r="BB206" s="287"/>
      <c r="BC206" s="287"/>
    </row>
    <row r="207" ht="15.75" customHeight="1">
      <c r="A207" s="287"/>
      <c r="B207" s="287"/>
      <c r="C207" s="287"/>
      <c r="D207" s="287"/>
      <c r="E207" s="287"/>
      <c r="F207" s="287"/>
      <c r="G207" s="287"/>
      <c r="H207" s="287"/>
      <c r="I207" s="287"/>
      <c r="J207" s="287"/>
      <c r="K207" s="287"/>
      <c r="L207" s="287"/>
      <c r="M207" s="287"/>
      <c r="N207" s="287"/>
      <c r="O207" s="287"/>
      <c r="P207" s="287"/>
      <c r="Q207" s="287"/>
      <c r="R207" s="287"/>
      <c r="S207" s="287"/>
      <c r="T207" s="287"/>
      <c r="U207" s="287"/>
      <c r="V207" s="287"/>
      <c r="W207" s="287"/>
      <c r="X207" s="287"/>
      <c r="Y207" s="287"/>
      <c r="Z207" s="287"/>
      <c r="AA207" s="287"/>
      <c r="AB207" s="287"/>
      <c r="AC207" s="287"/>
      <c r="AD207" s="287"/>
      <c r="AE207" s="287"/>
      <c r="AF207" s="287"/>
      <c r="AG207" s="287"/>
      <c r="AH207" s="287"/>
      <c r="AI207" s="287"/>
      <c r="AJ207" s="287"/>
      <c r="AK207" s="287"/>
      <c r="AL207" s="287"/>
      <c r="AM207" s="287"/>
      <c r="AN207" s="287"/>
      <c r="AO207" s="287"/>
      <c r="AP207" s="287"/>
      <c r="AQ207" s="287"/>
      <c r="AR207" s="287"/>
      <c r="AS207" s="287"/>
      <c r="AT207" s="287"/>
      <c r="AU207" s="287"/>
      <c r="AV207" s="287"/>
      <c r="AW207" s="287"/>
      <c r="AX207" s="287"/>
      <c r="AY207" s="287"/>
      <c r="AZ207" s="287"/>
      <c r="BA207" s="287"/>
      <c r="BB207" s="287"/>
      <c r="BC207" s="287"/>
    </row>
    <row r="208" ht="15.75" customHeight="1">
      <c r="A208" s="287"/>
      <c r="B208" s="287"/>
      <c r="C208" s="287"/>
      <c r="D208" s="287"/>
      <c r="E208" s="287"/>
      <c r="F208" s="287"/>
      <c r="G208" s="287"/>
      <c r="H208" s="287"/>
      <c r="I208" s="287"/>
      <c r="J208" s="287"/>
      <c r="K208" s="287"/>
      <c r="L208" s="287"/>
      <c r="M208" s="287"/>
      <c r="N208" s="287"/>
      <c r="O208" s="287"/>
      <c r="P208" s="287"/>
      <c r="Q208" s="287"/>
      <c r="R208" s="287"/>
      <c r="S208" s="287"/>
      <c r="T208" s="287"/>
      <c r="U208" s="287"/>
      <c r="V208" s="287"/>
      <c r="W208" s="287"/>
      <c r="X208" s="287"/>
      <c r="Y208" s="287"/>
      <c r="Z208" s="287"/>
      <c r="AA208" s="287"/>
      <c r="AB208" s="287"/>
      <c r="AC208" s="287"/>
      <c r="AD208" s="287"/>
      <c r="AE208" s="287"/>
      <c r="AF208" s="287"/>
      <c r="AG208" s="287"/>
      <c r="AH208" s="287"/>
      <c r="AI208" s="287"/>
      <c r="AJ208" s="287"/>
      <c r="AK208" s="287"/>
      <c r="AL208" s="287"/>
      <c r="AM208" s="287"/>
      <c r="AN208" s="287"/>
      <c r="AO208" s="287"/>
      <c r="AP208" s="287"/>
      <c r="AQ208" s="287"/>
      <c r="AR208" s="287"/>
      <c r="AS208" s="287"/>
      <c r="AT208" s="287"/>
      <c r="AU208" s="287"/>
      <c r="AV208" s="287"/>
      <c r="AW208" s="287"/>
      <c r="AX208" s="287"/>
      <c r="AY208" s="287"/>
      <c r="AZ208" s="287"/>
      <c r="BA208" s="287"/>
      <c r="BB208" s="287"/>
      <c r="BC208" s="287"/>
    </row>
    <row r="209" ht="15.75" customHeight="1">
      <c r="A209" s="287"/>
      <c r="B209" s="287"/>
      <c r="C209" s="287"/>
      <c r="D209" s="287"/>
      <c r="E209" s="287"/>
      <c r="F209" s="287"/>
      <c r="G209" s="287"/>
      <c r="H209" s="287"/>
      <c r="I209" s="287"/>
      <c r="J209" s="287"/>
      <c r="K209" s="287"/>
      <c r="L209" s="287"/>
      <c r="M209" s="287"/>
      <c r="N209" s="287"/>
      <c r="O209" s="287"/>
      <c r="P209" s="287"/>
      <c r="Q209" s="287"/>
      <c r="R209" s="287"/>
      <c r="S209" s="287"/>
      <c r="T209" s="287"/>
      <c r="U209" s="287"/>
      <c r="V209" s="287"/>
      <c r="W209" s="287"/>
      <c r="X209" s="287"/>
      <c r="Y209" s="287"/>
      <c r="Z209" s="287"/>
      <c r="AA209" s="287"/>
      <c r="AB209" s="287"/>
      <c r="AC209" s="287"/>
      <c r="AD209" s="287"/>
      <c r="AE209" s="287"/>
      <c r="AF209" s="287"/>
      <c r="AG209" s="287"/>
      <c r="AH209" s="287"/>
      <c r="AI209" s="287"/>
      <c r="AJ209" s="287"/>
      <c r="AK209" s="287"/>
      <c r="AL209" s="287"/>
      <c r="AM209" s="287"/>
      <c r="AN209" s="287"/>
      <c r="AO209" s="287"/>
      <c r="AP209" s="287"/>
      <c r="AQ209" s="287"/>
      <c r="AR209" s="287"/>
      <c r="AS209" s="287"/>
      <c r="AT209" s="287"/>
      <c r="AU209" s="287"/>
      <c r="AV209" s="287"/>
      <c r="AW209" s="287"/>
      <c r="AX209" s="287"/>
      <c r="AY209" s="287"/>
      <c r="AZ209" s="287"/>
      <c r="BA209" s="287"/>
      <c r="BB209" s="287"/>
      <c r="BC209" s="287"/>
    </row>
    <row r="210" ht="15.75" customHeight="1">
      <c r="A210" s="287"/>
      <c r="B210" s="287"/>
      <c r="C210" s="287"/>
      <c r="D210" s="287"/>
      <c r="E210" s="287"/>
      <c r="F210" s="287"/>
      <c r="G210" s="287"/>
      <c r="H210" s="287"/>
      <c r="I210" s="287"/>
      <c r="J210" s="287"/>
      <c r="K210" s="287"/>
      <c r="L210" s="287"/>
      <c r="M210" s="287"/>
      <c r="N210" s="287"/>
      <c r="O210" s="287"/>
      <c r="P210" s="287"/>
      <c r="Q210" s="287"/>
      <c r="R210" s="287"/>
      <c r="S210" s="287"/>
      <c r="T210" s="287"/>
      <c r="U210" s="287"/>
      <c r="V210" s="287"/>
      <c r="W210" s="287"/>
      <c r="X210" s="287"/>
      <c r="Y210" s="287"/>
      <c r="Z210" s="287"/>
      <c r="AA210" s="287"/>
      <c r="AB210" s="287"/>
      <c r="AC210" s="287"/>
      <c r="AD210" s="287"/>
      <c r="AE210" s="287"/>
      <c r="AF210" s="287"/>
      <c r="AG210" s="287"/>
      <c r="AH210" s="287"/>
      <c r="AI210" s="287"/>
      <c r="AJ210" s="287"/>
      <c r="AK210" s="287"/>
      <c r="AL210" s="287"/>
      <c r="AM210" s="287"/>
      <c r="AN210" s="287"/>
      <c r="AO210" s="287"/>
      <c r="AP210" s="287"/>
      <c r="AQ210" s="287"/>
      <c r="AR210" s="287"/>
      <c r="AS210" s="287"/>
      <c r="AT210" s="287"/>
      <c r="AU210" s="287"/>
      <c r="AV210" s="287"/>
      <c r="AW210" s="287"/>
      <c r="AX210" s="287"/>
      <c r="AY210" s="287"/>
      <c r="AZ210" s="287"/>
      <c r="BA210" s="287"/>
      <c r="BB210" s="287"/>
      <c r="BC210" s="287"/>
    </row>
    <row r="211" ht="15.75" customHeight="1">
      <c r="A211" s="287"/>
      <c r="B211" s="287"/>
      <c r="C211" s="287"/>
      <c r="D211" s="287"/>
      <c r="E211" s="287"/>
      <c r="F211" s="287"/>
      <c r="G211" s="287"/>
      <c r="H211" s="287"/>
      <c r="I211" s="287"/>
      <c r="J211" s="287"/>
      <c r="K211" s="287"/>
      <c r="L211" s="287"/>
      <c r="M211" s="287"/>
      <c r="N211" s="287"/>
      <c r="O211" s="287"/>
      <c r="P211" s="287"/>
      <c r="Q211" s="287"/>
      <c r="R211" s="287"/>
      <c r="S211" s="287"/>
      <c r="T211" s="287"/>
      <c r="U211" s="287"/>
      <c r="V211" s="287"/>
      <c r="W211" s="287"/>
      <c r="X211" s="287"/>
      <c r="Y211" s="287"/>
      <c r="Z211" s="287"/>
      <c r="AA211" s="287"/>
      <c r="AB211" s="287"/>
      <c r="AC211" s="287"/>
      <c r="AD211" s="287"/>
      <c r="AE211" s="287"/>
      <c r="AF211" s="287"/>
      <c r="AG211" s="287"/>
      <c r="AH211" s="287"/>
      <c r="AI211" s="287"/>
      <c r="AJ211" s="287"/>
      <c r="AK211" s="287"/>
      <c r="AL211" s="287"/>
      <c r="AM211" s="287"/>
      <c r="AN211" s="287"/>
      <c r="AO211" s="287"/>
      <c r="AP211" s="287"/>
      <c r="AQ211" s="287"/>
      <c r="AR211" s="287"/>
      <c r="AS211" s="287"/>
      <c r="AT211" s="287"/>
      <c r="AU211" s="287"/>
      <c r="AV211" s="287"/>
      <c r="AW211" s="287"/>
      <c r="AX211" s="287"/>
      <c r="AY211" s="287"/>
      <c r="AZ211" s="287"/>
      <c r="BA211" s="287"/>
      <c r="BB211" s="287"/>
      <c r="BC211" s="287"/>
    </row>
    <row r="212" ht="15.75" customHeight="1">
      <c r="A212" s="287"/>
      <c r="B212" s="287"/>
      <c r="C212" s="287"/>
      <c r="D212" s="287"/>
      <c r="E212" s="287"/>
      <c r="F212" s="287"/>
      <c r="G212" s="287"/>
      <c r="H212" s="287"/>
      <c r="I212" s="287"/>
      <c r="J212" s="287"/>
      <c r="K212" s="287"/>
      <c r="L212" s="287"/>
      <c r="M212" s="287"/>
      <c r="N212" s="287"/>
      <c r="O212" s="287"/>
      <c r="P212" s="287"/>
      <c r="Q212" s="287"/>
      <c r="R212" s="287"/>
      <c r="S212" s="287"/>
      <c r="T212" s="287"/>
      <c r="U212" s="287"/>
      <c r="V212" s="287"/>
      <c r="W212" s="287"/>
      <c r="X212" s="287"/>
      <c r="Y212" s="287"/>
      <c r="Z212" s="287"/>
      <c r="AA212" s="287"/>
      <c r="AB212" s="287"/>
      <c r="AC212" s="287"/>
      <c r="AD212" s="287"/>
      <c r="AE212" s="287"/>
      <c r="AF212" s="287"/>
      <c r="AG212" s="287"/>
      <c r="AH212" s="287"/>
      <c r="AI212" s="287"/>
      <c r="AJ212" s="287"/>
      <c r="AK212" s="287"/>
      <c r="AL212" s="287"/>
      <c r="AM212" s="287"/>
      <c r="AN212" s="287"/>
      <c r="AO212" s="287"/>
      <c r="AP212" s="287"/>
      <c r="AQ212" s="287"/>
      <c r="AR212" s="287"/>
      <c r="AS212" s="287"/>
      <c r="AT212" s="287"/>
      <c r="AU212" s="287"/>
      <c r="AV212" s="287"/>
      <c r="AW212" s="287"/>
      <c r="AX212" s="287"/>
      <c r="AY212" s="287"/>
      <c r="AZ212" s="287"/>
      <c r="BA212" s="287"/>
      <c r="BB212" s="287"/>
      <c r="BC212" s="287"/>
    </row>
    <row r="213" ht="15.75" customHeight="1">
      <c r="A213" s="287"/>
      <c r="B213" s="287"/>
      <c r="C213" s="287"/>
      <c r="D213" s="287"/>
      <c r="E213" s="287"/>
      <c r="F213" s="287"/>
      <c r="G213" s="287"/>
      <c r="H213" s="287"/>
      <c r="I213" s="287"/>
      <c r="J213" s="287"/>
      <c r="K213" s="287"/>
      <c r="L213" s="287"/>
      <c r="M213" s="287"/>
      <c r="N213" s="287"/>
      <c r="O213" s="287"/>
      <c r="P213" s="287"/>
      <c r="Q213" s="287"/>
      <c r="R213" s="287"/>
      <c r="S213" s="287"/>
      <c r="T213" s="287"/>
      <c r="U213" s="287"/>
      <c r="V213" s="287"/>
      <c r="W213" s="287"/>
      <c r="X213" s="287"/>
      <c r="Y213" s="287"/>
      <c r="Z213" s="287"/>
      <c r="AA213" s="287"/>
      <c r="AB213" s="287"/>
      <c r="AC213" s="287"/>
      <c r="AD213" s="287"/>
      <c r="AE213" s="287"/>
      <c r="AF213" s="287"/>
      <c r="AG213" s="287"/>
      <c r="AH213" s="287"/>
      <c r="AI213" s="287"/>
      <c r="AJ213" s="287"/>
      <c r="AK213" s="287"/>
      <c r="AL213" s="287"/>
      <c r="AM213" s="287"/>
      <c r="AN213" s="287"/>
      <c r="AO213" s="287"/>
      <c r="AP213" s="287"/>
      <c r="AQ213" s="287"/>
      <c r="AR213" s="287"/>
      <c r="AS213" s="287"/>
      <c r="AT213" s="287"/>
      <c r="AU213" s="287"/>
      <c r="AV213" s="287"/>
      <c r="AW213" s="287"/>
      <c r="AX213" s="287"/>
      <c r="AY213" s="287"/>
      <c r="AZ213" s="287"/>
      <c r="BA213" s="287"/>
      <c r="BB213" s="287"/>
      <c r="BC213" s="287"/>
    </row>
    <row r="214" ht="15.75" customHeight="1">
      <c r="A214" s="287"/>
      <c r="B214" s="287"/>
      <c r="C214" s="287"/>
      <c r="D214" s="287"/>
      <c r="E214" s="287"/>
      <c r="F214" s="287"/>
      <c r="G214" s="287"/>
      <c r="H214" s="287"/>
      <c r="I214" s="287"/>
      <c r="J214" s="287"/>
      <c r="K214" s="287"/>
      <c r="L214" s="287"/>
      <c r="M214" s="287"/>
      <c r="N214" s="287"/>
      <c r="O214" s="287"/>
      <c r="P214" s="287"/>
      <c r="Q214" s="287"/>
      <c r="R214" s="287"/>
      <c r="S214" s="287"/>
      <c r="T214" s="287"/>
      <c r="U214" s="287"/>
      <c r="V214" s="287"/>
      <c r="W214" s="287"/>
      <c r="X214" s="287"/>
      <c r="Y214" s="287"/>
      <c r="Z214" s="287"/>
      <c r="AA214" s="287"/>
      <c r="AB214" s="287"/>
      <c r="AC214" s="287"/>
      <c r="AD214" s="287"/>
      <c r="AE214" s="287"/>
      <c r="AF214" s="287"/>
      <c r="AG214" s="287"/>
      <c r="AH214" s="287"/>
      <c r="AI214" s="287"/>
      <c r="AJ214" s="287"/>
      <c r="AK214" s="287"/>
      <c r="AL214" s="287"/>
      <c r="AM214" s="287"/>
      <c r="AN214" s="287"/>
      <c r="AO214" s="287"/>
      <c r="AP214" s="287"/>
      <c r="AQ214" s="287"/>
      <c r="AR214" s="287"/>
      <c r="AS214" s="287"/>
      <c r="AT214" s="287"/>
      <c r="AU214" s="287"/>
      <c r="AV214" s="287"/>
      <c r="AW214" s="287"/>
      <c r="AX214" s="287"/>
      <c r="AY214" s="287"/>
      <c r="AZ214" s="287"/>
      <c r="BA214" s="287"/>
      <c r="BB214" s="287"/>
      <c r="BC214" s="287"/>
    </row>
    <row r="215" ht="15.75" customHeight="1">
      <c r="A215" s="287"/>
      <c r="B215" s="287"/>
      <c r="C215" s="287"/>
      <c r="D215" s="287"/>
      <c r="E215" s="287"/>
      <c r="F215" s="287"/>
      <c r="G215" s="287"/>
      <c r="H215" s="287"/>
      <c r="I215" s="287"/>
      <c r="J215" s="287"/>
      <c r="K215" s="287"/>
      <c r="L215" s="287"/>
      <c r="M215" s="287"/>
      <c r="N215" s="287"/>
      <c r="O215" s="287"/>
      <c r="P215" s="287"/>
      <c r="Q215" s="287"/>
      <c r="R215" s="287"/>
      <c r="S215" s="287"/>
      <c r="T215" s="287"/>
      <c r="U215" s="287"/>
      <c r="V215" s="287"/>
      <c r="W215" s="287"/>
      <c r="X215" s="287"/>
      <c r="Y215" s="287"/>
      <c r="Z215" s="287"/>
      <c r="AA215" s="287"/>
      <c r="AB215" s="287"/>
      <c r="AC215" s="287"/>
      <c r="AD215" s="287"/>
      <c r="AE215" s="287"/>
      <c r="AF215" s="287"/>
      <c r="AG215" s="287"/>
      <c r="AH215" s="287"/>
      <c r="AI215" s="287"/>
      <c r="AJ215" s="287"/>
      <c r="AK215" s="287"/>
      <c r="AL215" s="287"/>
      <c r="AM215" s="287"/>
      <c r="AN215" s="287"/>
      <c r="AO215" s="287"/>
      <c r="AP215" s="287"/>
      <c r="AQ215" s="287"/>
      <c r="AR215" s="287"/>
      <c r="AS215" s="287"/>
      <c r="AT215" s="287"/>
      <c r="AU215" s="287"/>
      <c r="AV215" s="287"/>
      <c r="AW215" s="287"/>
      <c r="AX215" s="287"/>
      <c r="AY215" s="287"/>
      <c r="AZ215" s="287"/>
      <c r="BA215" s="287"/>
      <c r="BB215" s="287"/>
      <c r="BC215" s="287"/>
    </row>
    <row r="216" ht="15.75" customHeight="1">
      <c r="A216" s="287"/>
      <c r="B216" s="287"/>
      <c r="C216" s="287"/>
      <c r="D216" s="287"/>
      <c r="E216" s="287"/>
      <c r="F216" s="287"/>
      <c r="G216" s="287"/>
      <c r="H216" s="287"/>
      <c r="I216" s="287"/>
      <c r="J216" s="287"/>
      <c r="K216" s="287"/>
      <c r="L216" s="287"/>
      <c r="M216" s="287"/>
      <c r="N216" s="287"/>
      <c r="O216" s="287"/>
      <c r="P216" s="287"/>
      <c r="Q216" s="287"/>
      <c r="R216" s="287"/>
      <c r="S216" s="287"/>
      <c r="T216" s="287"/>
      <c r="U216" s="287"/>
      <c r="V216" s="287"/>
      <c r="W216" s="287"/>
      <c r="X216" s="287"/>
      <c r="Y216" s="287"/>
      <c r="Z216" s="287"/>
      <c r="AA216" s="287"/>
      <c r="AB216" s="287"/>
      <c r="AC216" s="287"/>
      <c r="AD216" s="287"/>
      <c r="AE216" s="287"/>
      <c r="AF216" s="287"/>
      <c r="AG216" s="287"/>
      <c r="AH216" s="287"/>
      <c r="AI216" s="287"/>
      <c r="AJ216" s="287"/>
      <c r="AK216" s="287"/>
      <c r="AL216" s="287"/>
      <c r="AM216" s="287"/>
      <c r="AN216" s="287"/>
      <c r="AO216" s="287"/>
      <c r="AP216" s="287"/>
      <c r="AQ216" s="287"/>
      <c r="AR216" s="287"/>
      <c r="AS216" s="287"/>
      <c r="AT216" s="287"/>
      <c r="AU216" s="287"/>
      <c r="AV216" s="287"/>
      <c r="AW216" s="287"/>
      <c r="AX216" s="287"/>
      <c r="AY216" s="287"/>
      <c r="AZ216" s="287"/>
      <c r="BA216" s="287"/>
      <c r="BB216" s="287"/>
      <c r="BC216" s="287"/>
    </row>
    <row r="217" ht="15.75" customHeight="1">
      <c r="A217" s="287"/>
      <c r="B217" s="287"/>
      <c r="C217" s="287"/>
      <c r="D217" s="287"/>
      <c r="E217" s="287"/>
      <c r="F217" s="287"/>
      <c r="G217" s="287"/>
      <c r="H217" s="287"/>
      <c r="I217" s="287"/>
      <c r="J217" s="287"/>
      <c r="K217" s="287"/>
      <c r="L217" s="287"/>
      <c r="M217" s="287"/>
      <c r="N217" s="287"/>
      <c r="O217" s="287"/>
      <c r="P217" s="287"/>
      <c r="Q217" s="287"/>
      <c r="R217" s="287"/>
      <c r="S217" s="287"/>
      <c r="T217" s="287"/>
      <c r="U217" s="287"/>
      <c r="V217" s="287"/>
      <c r="W217" s="287"/>
      <c r="X217" s="287"/>
      <c r="Y217" s="287"/>
      <c r="Z217" s="287"/>
      <c r="AA217" s="287"/>
      <c r="AB217" s="287"/>
      <c r="AC217" s="287"/>
      <c r="AD217" s="287"/>
      <c r="AE217" s="287"/>
      <c r="AF217" s="287"/>
      <c r="AG217" s="287"/>
      <c r="AH217" s="287"/>
      <c r="AI217" s="287"/>
      <c r="AJ217" s="287"/>
      <c r="AK217" s="287"/>
      <c r="AL217" s="287"/>
      <c r="AM217" s="287"/>
      <c r="AN217" s="287"/>
      <c r="AO217" s="287"/>
      <c r="AP217" s="287"/>
      <c r="AQ217" s="287"/>
      <c r="AR217" s="287"/>
      <c r="AS217" s="287"/>
      <c r="AT217" s="287"/>
      <c r="AU217" s="287"/>
      <c r="AV217" s="287"/>
      <c r="AW217" s="287"/>
      <c r="AX217" s="287"/>
      <c r="AY217" s="287"/>
      <c r="AZ217" s="287"/>
      <c r="BA217" s="287"/>
      <c r="BB217" s="287"/>
      <c r="BC217" s="287"/>
    </row>
    <row r="218" ht="15.75" customHeight="1">
      <c r="A218" s="287"/>
      <c r="B218" s="287"/>
      <c r="C218" s="287"/>
      <c r="D218" s="287"/>
      <c r="E218" s="287"/>
      <c r="F218" s="287"/>
      <c r="G218" s="287"/>
      <c r="H218" s="287"/>
      <c r="I218" s="287"/>
      <c r="J218" s="287"/>
      <c r="K218" s="287"/>
      <c r="L218" s="287"/>
      <c r="M218" s="287"/>
      <c r="N218" s="287"/>
      <c r="O218" s="287"/>
      <c r="P218" s="287"/>
      <c r="Q218" s="287"/>
      <c r="R218" s="287"/>
      <c r="S218" s="287"/>
      <c r="T218" s="287"/>
      <c r="U218" s="287"/>
      <c r="V218" s="287"/>
      <c r="W218" s="287"/>
      <c r="X218" s="287"/>
      <c r="Y218" s="287"/>
      <c r="Z218" s="287"/>
      <c r="AA218" s="287"/>
      <c r="AB218" s="287"/>
      <c r="AC218" s="287"/>
      <c r="AD218" s="287"/>
      <c r="AE218" s="287"/>
      <c r="AF218" s="287"/>
      <c r="AG218" s="287"/>
      <c r="AH218" s="287"/>
      <c r="AI218" s="287"/>
      <c r="AJ218" s="287"/>
      <c r="AK218" s="287"/>
      <c r="AL218" s="287"/>
      <c r="AM218" s="287"/>
      <c r="AN218" s="287"/>
      <c r="AO218" s="287"/>
      <c r="AP218" s="287"/>
      <c r="AQ218" s="287"/>
      <c r="AR218" s="287"/>
      <c r="AS218" s="287"/>
      <c r="AT218" s="287"/>
      <c r="AU218" s="287"/>
      <c r="AV218" s="287"/>
      <c r="AW218" s="287"/>
      <c r="AX218" s="287"/>
      <c r="AY218" s="287"/>
      <c r="AZ218" s="287"/>
      <c r="BA218" s="287"/>
      <c r="BB218" s="287"/>
      <c r="BC218" s="287"/>
    </row>
    <row r="219" ht="15.75" customHeight="1">
      <c r="A219" s="287"/>
      <c r="B219" s="287"/>
      <c r="C219" s="287"/>
      <c r="D219" s="287"/>
      <c r="E219" s="287"/>
      <c r="F219" s="287"/>
      <c r="G219" s="287"/>
      <c r="H219" s="287"/>
      <c r="I219" s="287"/>
      <c r="J219" s="287"/>
      <c r="K219" s="287"/>
      <c r="L219" s="287"/>
      <c r="M219" s="287"/>
      <c r="N219" s="287"/>
      <c r="O219" s="287"/>
      <c r="P219" s="287"/>
      <c r="Q219" s="287"/>
      <c r="R219" s="287"/>
      <c r="S219" s="287"/>
      <c r="T219" s="287"/>
      <c r="U219" s="287"/>
      <c r="V219" s="287"/>
      <c r="W219" s="287"/>
      <c r="X219" s="287"/>
      <c r="Y219" s="287"/>
      <c r="Z219" s="287"/>
      <c r="AA219" s="287"/>
      <c r="AB219" s="287"/>
      <c r="AC219" s="287"/>
      <c r="AD219" s="287"/>
      <c r="AE219" s="287"/>
      <c r="AF219" s="287"/>
      <c r="AG219" s="287"/>
      <c r="AH219" s="287"/>
      <c r="AI219" s="287"/>
      <c r="AJ219" s="287"/>
      <c r="AK219" s="287"/>
      <c r="AL219" s="287"/>
      <c r="AM219" s="287"/>
      <c r="AN219" s="287"/>
      <c r="AO219" s="287"/>
      <c r="AP219" s="287"/>
      <c r="AQ219" s="287"/>
      <c r="AR219" s="287"/>
      <c r="AS219" s="287"/>
      <c r="AT219" s="287"/>
      <c r="AU219" s="287"/>
      <c r="AV219" s="287"/>
      <c r="AW219" s="287"/>
      <c r="AX219" s="287"/>
      <c r="AY219" s="287"/>
      <c r="AZ219" s="287"/>
      <c r="BA219" s="287"/>
      <c r="BB219" s="287"/>
      <c r="BC219" s="287"/>
    </row>
    <row r="220" ht="15.75" customHeight="1">
      <c r="A220" s="287"/>
      <c r="B220" s="287"/>
      <c r="C220" s="287"/>
      <c r="D220" s="287"/>
      <c r="E220" s="287"/>
      <c r="F220" s="287"/>
      <c r="G220" s="287"/>
      <c r="H220" s="287"/>
      <c r="I220" s="287"/>
      <c r="J220" s="287"/>
      <c r="K220" s="287"/>
      <c r="L220" s="287"/>
      <c r="M220" s="287"/>
      <c r="N220" s="287"/>
      <c r="O220" s="287"/>
      <c r="P220" s="287"/>
      <c r="Q220" s="287"/>
      <c r="R220" s="287"/>
      <c r="S220" s="287"/>
      <c r="T220" s="287"/>
      <c r="U220" s="287"/>
      <c r="V220" s="287"/>
      <c r="W220" s="287"/>
      <c r="X220" s="287"/>
      <c r="Y220" s="287"/>
      <c r="Z220" s="287"/>
      <c r="AA220" s="287"/>
      <c r="AB220" s="287"/>
      <c r="AC220" s="287"/>
      <c r="AD220" s="287"/>
      <c r="AE220" s="287"/>
      <c r="AF220" s="287"/>
      <c r="AG220" s="287"/>
      <c r="AH220" s="287"/>
      <c r="AI220" s="287"/>
      <c r="AJ220" s="287"/>
      <c r="AK220" s="287"/>
      <c r="AL220" s="287"/>
      <c r="AM220" s="287"/>
      <c r="AN220" s="287"/>
      <c r="AO220" s="287"/>
      <c r="AP220" s="287"/>
      <c r="AQ220" s="287"/>
      <c r="AR220" s="287"/>
      <c r="AS220" s="287"/>
      <c r="AT220" s="287"/>
      <c r="AU220" s="287"/>
      <c r="AV220" s="287"/>
      <c r="AW220" s="287"/>
      <c r="AX220" s="287"/>
      <c r="AY220" s="287"/>
      <c r="AZ220" s="287"/>
      <c r="BA220" s="287"/>
      <c r="BB220" s="287"/>
      <c r="BC220" s="287"/>
    </row>
    <row r="221" ht="15.75" customHeight="1">
      <c r="A221" s="287"/>
      <c r="B221" s="287"/>
      <c r="C221" s="287"/>
      <c r="D221" s="287"/>
      <c r="E221" s="287"/>
      <c r="F221" s="287"/>
      <c r="G221" s="287"/>
      <c r="H221" s="287"/>
      <c r="I221" s="287"/>
      <c r="J221" s="287"/>
      <c r="K221" s="287"/>
      <c r="L221" s="287"/>
      <c r="M221" s="287"/>
      <c r="N221" s="287"/>
      <c r="O221" s="287"/>
      <c r="P221" s="287"/>
      <c r="Q221" s="287"/>
      <c r="R221" s="287"/>
      <c r="S221" s="287"/>
      <c r="T221" s="287"/>
      <c r="U221" s="287"/>
      <c r="V221" s="287"/>
      <c r="W221" s="287"/>
      <c r="X221" s="287"/>
      <c r="Y221" s="287"/>
      <c r="Z221" s="287"/>
      <c r="AA221" s="287"/>
      <c r="AB221" s="287"/>
      <c r="AC221" s="287"/>
      <c r="AD221" s="287"/>
      <c r="AE221" s="287"/>
      <c r="AF221" s="287"/>
      <c r="AG221" s="287"/>
      <c r="AH221" s="287"/>
      <c r="AI221" s="287"/>
      <c r="AJ221" s="287"/>
      <c r="AK221" s="287"/>
      <c r="AL221" s="287"/>
      <c r="AM221" s="287"/>
      <c r="AN221" s="287"/>
      <c r="AO221" s="287"/>
      <c r="AP221" s="287"/>
      <c r="AQ221" s="287"/>
      <c r="AR221" s="287"/>
      <c r="AS221" s="287"/>
      <c r="AT221" s="287"/>
      <c r="AU221" s="287"/>
      <c r="AV221" s="287"/>
      <c r="AW221" s="287"/>
      <c r="AX221" s="287"/>
      <c r="AY221" s="287"/>
      <c r="AZ221" s="287"/>
      <c r="BA221" s="287"/>
      <c r="BB221" s="287"/>
      <c r="BC221" s="287"/>
    </row>
    <row r="222" ht="15.75" customHeight="1">
      <c r="A222" s="287"/>
      <c r="B222" s="287"/>
      <c r="C222" s="287"/>
      <c r="D222" s="287"/>
      <c r="E222" s="287"/>
      <c r="F222" s="287"/>
      <c r="G222" s="287"/>
      <c r="H222" s="287"/>
      <c r="I222" s="287"/>
      <c r="J222" s="287"/>
      <c r="K222" s="287"/>
      <c r="L222" s="287"/>
      <c r="M222" s="287"/>
      <c r="N222" s="287"/>
      <c r="O222" s="287"/>
      <c r="P222" s="287"/>
      <c r="Q222" s="287"/>
      <c r="R222" s="287"/>
      <c r="S222" s="287"/>
      <c r="T222" s="287"/>
      <c r="U222" s="287"/>
      <c r="V222" s="287"/>
      <c r="W222" s="287"/>
      <c r="X222" s="287"/>
      <c r="Y222" s="287"/>
      <c r="Z222" s="287"/>
      <c r="AA222" s="287"/>
      <c r="AB222" s="287"/>
      <c r="AC222" s="287"/>
      <c r="AD222" s="287"/>
      <c r="AE222" s="287"/>
      <c r="AF222" s="287"/>
      <c r="AG222" s="287"/>
      <c r="AH222" s="287"/>
      <c r="AI222" s="287"/>
      <c r="AJ222" s="287"/>
      <c r="AK222" s="287"/>
      <c r="AL222" s="287"/>
      <c r="AM222" s="287"/>
      <c r="AN222" s="287"/>
      <c r="AO222" s="287"/>
      <c r="AP222" s="287"/>
      <c r="AQ222" s="287"/>
      <c r="AR222" s="287"/>
      <c r="AS222" s="287"/>
      <c r="AT222" s="287"/>
      <c r="AU222" s="287"/>
      <c r="AV222" s="287"/>
      <c r="AW222" s="287"/>
      <c r="AX222" s="287"/>
      <c r="AY222" s="287"/>
      <c r="AZ222" s="287"/>
      <c r="BA222" s="287"/>
      <c r="BB222" s="287"/>
      <c r="BC222" s="287"/>
    </row>
    <row r="223" ht="15.75" customHeight="1">
      <c r="A223" s="287"/>
      <c r="B223" s="287"/>
      <c r="C223" s="287"/>
      <c r="D223" s="287"/>
      <c r="E223" s="287"/>
      <c r="F223" s="287"/>
      <c r="G223" s="287"/>
      <c r="H223" s="287"/>
      <c r="I223" s="287"/>
      <c r="J223" s="287"/>
      <c r="K223" s="287"/>
      <c r="L223" s="287"/>
      <c r="M223" s="287"/>
      <c r="N223" s="287"/>
      <c r="O223" s="287"/>
      <c r="P223" s="287"/>
      <c r="Q223" s="287"/>
      <c r="R223" s="287"/>
      <c r="S223" s="287"/>
      <c r="T223" s="287"/>
      <c r="U223" s="287"/>
      <c r="V223" s="287"/>
      <c r="W223" s="287"/>
      <c r="X223" s="287"/>
      <c r="Y223" s="287"/>
      <c r="Z223" s="287"/>
      <c r="AA223" s="287"/>
      <c r="AB223" s="287"/>
      <c r="AC223" s="287"/>
      <c r="AD223" s="287"/>
      <c r="AE223" s="287"/>
      <c r="AF223" s="287"/>
      <c r="AG223" s="287"/>
      <c r="AH223" s="287"/>
      <c r="AI223" s="287"/>
      <c r="AJ223" s="287"/>
      <c r="AK223" s="287"/>
      <c r="AL223" s="287"/>
      <c r="AM223" s="287"/>
      <c r="AN223" s="287"/>
      <c r="AO223" s="287"/>
      <c r="AP223" s="287"/>
      <c r="AQ223" s="287"/>
      <c r="AR223" s="287"/>
      <c r="AS223" s="287"/>
      <c r="AT223" s="287"/>
      <c r="AU223" s="287"/>
      <c r="AV223" s="287"/>
      <c r="AW223" s="287"/>
      <c r="AX223" s="287"/>
      <c r="AY223" s="287"/>
      <c r="AZ223" s="287"/>
      <c r="BA223" s="287"/>
      <c r="BB223" s="287"/>
      <c r="BC223" s="287"/>
    </row>
    <row r="224" ht="15.75" customHeight="1">
      <c r="A224" s="287"/>
      <c r="B224" s="287"/>
      <c r="C224" s="287"/>
      <c r="D224" s="287"/>
      <c r="E224" s="287"/>
      <c r="F224" s="287"/>
      <c r="G224" s="287"/>
      <c r="H224" s="287"/>
      <c r="I224" s="287"/>
      <c r="J224" s="287"/>
      <c r="K224" s="287"/>
      <c r="L224" s="287"/>
      <c r="M224" s="287"/>
      <c r="N224" s="287"/>
      <c r="O224" s="287"/>
      <c r="P224" s="287"/>
      <c r="Q224" s="287"/>
      <c r="R224" s="287"/>
      <c r="S224" s="287"/>
      <c r="T224" s="287"/>
      <c r="U224" s="287"/>
      <c r="V224" s="287"/>
      <c r="W224" s="287"/>
      <c r="X224" s="287"/>
      <c r="Y224" s="287"/>
      <c r="Z224" s="287"/>
      <c r="AA224" s="287"/>
      <c r="AB224" s="287"/>
      <c r="AC224" s="287"/>
      <c r="AD224" s="287"/>
      <c r="AE224" s="287"/>
      <c r="AF224" s="287"/>
      <c r="AG224" s="287"/>
      <c r="AH224" s="287"/>
      <c r="AI224" s="287"/>
      <c r="AJ224" s="287"/>
      <c r="AK224" s="287"/>
      <c r="AL224" s="287"/>
      <c r="AM224" s="287"/>
      <c r="AN224" s="287"/>
      <c r="AO224" s="287"/>
      <c r="AP224" s="287"/>
      <c r="AQ224" s="287"/>
      <c r="AR224" s="287"/>
      <c r="AS224" s="287"/>
      <c r="AT224" s="287"/>
      <c r="AU224" s="287"/>
      <c r="AV224" s="287"/>
      <c r="AW224" s="287"/>
      <c r="AX224" s="287"/>
      <c r="AY224" s="287"/>
      <c r="AZ224" s="287"/>
      <c r="BA224" s="287"/>
      <c r="BB224" s="287"/>
      <c r="BC224" s="287"/>
    </row>
    <row r="225" ht="15.75" customHeight="1">
      <c r="A225" s="287"/>
      <c r="B225" s="287"/>
      <c r="C225" s="287"/>
      <c r="D225" s="287"/>
      <c r="E225" s="287"/>
      <c r="F225" s="287"/>
      <c r="G225" s="287"/>
      <c r="H225" s="287"/>
      <c r="I225" s="287"/>
      <c r="J225" s="287"/>
      <c r="K225" s="287"/>
      <c r="L225" s="287"/>
      <c r="M225" s="287"/>
      <c r="N225" s="287"/>
      <c r="O225" s="287"/>
      <c r="P225" s="287"/>
      <c r="Q225" s="287"/>
      <c r="R225" s="287"/>
      <c r="S225" s="287"/>
      <c r="T225" s="287"/>
      <c r="U225" s="287"/>
      <c r="V225" s="287"/>
      <c r="W225" s="287"/>
      <c r="X225" s="287"/>
      <c r="Y225" s="287"/>
      <c r="Z225" s="287"/>
      <c r="AA225" s="287"/>
      <c r="AB225" s="287"/>
      <c r="AC225" s="287"/>
      <c r="AD225" s="287"/>
      <c r="AE225" s="287"/>
      <c r="AF225" s="287"/>
      <c r="AG225" s="287"/>
      <c r="AH225" s="287"/>
      <c r="AI225" s="287"/>
      <c r="AJ225" s="287"/>
      <c r="AK225" s="287"/>
      <c r="AL225" s="287"/>
      <c r="AM225" s="287"/>
      <c r="AN225" s="287"/>
      <c r="AO225" s="287"/>
      <c r="AP225" s="287"/>
      <c r="AQ225" s="287"/>
      <c r="AR225" s="287"/>
      <c r="AS225" s="287"/>
      <c r="AT225" s="287"/>
      <c r="AU225" s="287"/>
      <c r="AV225" s="287"/>
      <c r="AW225" s="287"/>
      <c r="AX225" s="287"/>
      <c r="AY225" s="287"/>
      <c r="AZ225" s="287"/>
      <c r="BA225" s="287"/>
      <c r="BB225" s="287"/>
      <c r="BC225" s="287"/>
    </row>
    <row r="226" ht="15.75" customHeight="1">
      <c r="A226" s="287"/>
      <c r="B226" s="287"/>
      <c r="C226" s="287"/>
      <c r="D226" s="287"/>
      <c r="E226" s="287"/>
      <c r="F226" s="287"/>
      <c r="G226" s="287"/>
      <c r="H226" s="287"/>
      <c r="I226" s="287"/>
      <c r="J226" s="287"/>
      <c r="K226" s="287"/>
      <c r="L226" s="287"/>
      <c r="M226" s="287"/>
      <c r="N226" s="287"/>
      <c r="O226" s="287"/>
      <c r="P226" s="287"/>
      <c r="Q226" s="287"/>
      <c r="R226" s="287"/>
      <c r="S226" s="287"/>
      <c r="T226" s="287"/>
      <c r="U226" s="287"/>
      <c r="V226" s="287"/>
      <c r="W226" s="287"/>
      <c r="X226" s="287"/>
      <c r="Y226" s="287"/>
      <c r="Z226" s="287"/>
      <c r="AA226" s="287"/>
      <c r="AB226" s="287"/>
      <c r="AC226" s="287"/>
      <c r="AD226" s="287"/>
      <c r="AE226" s="287"/>
      <c r="AF226" s="287"/>
      <c r="AG226" s="287"/>
      <c r="AH226" s="287"/>
      <c r="AI226" s="287"/>
      <c r="AJ226" s="287"/>
      <c r="AK226" s="287"/>
      <c r="AL226" s="287"/>
      <c r="AM226" s="287"/>
      <c r="AN226" s="287"/>
      <c r="AO226" s="287"/>
      <c r="AP226" s="287"/>
      <c r="AQ226" s="287"/>
      <c r="AR226" s="287"/>
      <c r="AS226" s="287"/>
      <c r="AT226" s="287"/>
      <c r="AU226" s="287"/>
      <c r="AV226" s="287"/>
      <c r="AW226" s="287"/>
      <c r="AX226" s="287"/>
      <c r="AY226" s="287"/>
      <c r="AZ226" s="287"/>
      <c r="BA226" s="287"/>
      <c r="BB226" s="287"/>
      <c r="BC226" s="287"/>
    </row>
    <row r="227" ht="15.75" customHeight="1">
      <c r="A227" s="287"/>
      <c r="B227" s="287"/>
      <c r="C227" s="287"/>
      <c r="D227" s="287"/>
      <c r="E227" s="287"/>
      <c r="F227" s="287"/>
      <c r="G227" s="287"/>
      <c r="H227" s="287"/>
      <c r="I227" s="287"/>
      <c r="J227" s="287"/>
      <c r="K227" s="287"/>
      <c r="L227" s="287"/>
      <c r="M227" s="287"/>
      <c r="N227" s="287"/>
      <c r="O227" s="287"/>
      <c r="P227" s="287"/>
      <c r="Q227" s="287"/>
      <c r="R227" s="287"/>
      <c r="S227" s="287"/>
      <c r="T227" s="287"/>
      <c r="U227" s="287"/>
      <c r="V227" s="287"/>
      <c r="W227" s="287"/>
      <c r="X227" s="287"/>
      <c r="Y227" s="287"/>
      <c r="Z227" s="287"/>
      <c r="AA227" s="287"/>
      <c r="AB227" s="287"/>
      <c r="AC227" s="287"/>
      <c r="AD227" s="287"/>
      <c r="AE227" s="287"/>
      <c r="AF227" s="287"/>
      <c r="AG227" s="287"/>
      <c r="AH227" s="287"/>
      <c r="AI227" s="287"/>
      <c r="AJ227" s="287"/>
      <c r="AK227" s="287"/>
      <c r="AL227" s="287"/>
      <c r="AM227" s="287"/>
      <c r="AN227" s="287"/>
      <c r="AO227" s="287"/>
      <c r="AP227" s="287"/>
      <c r="AQ227" s="287"/>
      <c r="AR227" s="287"/>
      <c r="AS227" s="287"/>
      <c r="AT227" s="287"/>
      <c r="AU227" s="287"/>
      <c r="AV227" s="287"/>
      <c r="AW227" s="287"/>
      <c r="AX227" s="287"/>
      <c r="AY227" s="287"/>
      <c r="AZ227" s="287"/>
      <c r="BA227" s="287"/>
      <c r="BB227" s="287"/>
      <c r="BC227" s="287"/>
    </row>
    <row r="228" ht="15.75" customHeight="1">
      <c r="A228" s="287"/>
      <c r="B228" s="287"/>
      <c r="C228" s="287"/>
      <c r="D228" s="287"/>
      <c r="E228" s="287"/>
      <c r="F228" s="287"/>
      <c r="G228" s="287"/>
      <c r="H228" s="287"/>
      <c r="I228" s="287"/>
      <c r="J228" s="287"/>
      <c r="K228" s="287"/>
      <c r="L228" s="287"/>
      <c r="M228" s="287"/>
      <c r="N228" s="287"/>
      <c r="O228" s="287"/>
      <c r="P228" s="287"/>
      <c r="Q228" s="287"/>
      <c r="R228" s="287"/>
      <c r="S228" s="287"/>
      <c r="T228" s="287"/>
      <c r="U228" s="287"/>
      <c r="V228" s="287"/>
      <c r="W228" s="287"/>
      <c r="X228" s="287"/>
      <c r="Y228" s="287"/>
      <c r="Z228" s="287"/>
      <c r="AA228" s="287"/>
      <c r="AB228" s="287"/>
      <c r="AC228" s="287"/>
      <c r="AD228" s="287"/>
      <c r="AE228" s="287"/>
      <c r="AF228" s="287"/>
      <c r="AG228" s="287"/>
      <c r="AH228" s="287"/>
      <c r="AI228" s="287"/>
      <c r="AJ228" s="287"/>
      <c r="AK228" s="287"/>
      <c r="AL228" s="287"/>
      <c r="AM228" s="287"/>
      <c r="AN228" s="287"/>
      <c r="AO228" s="287"/>
      <c r="AP228" s="287"/>
      <c r="AQ228" s="287"/>
      <c r="AR228" s="287"/>
      <c r="AS228" s="287"/>
      <c r="AT228" s="287"/>
      <c r="AU228" s="287"/>
      <c r="AV228" s="287"/>
      <c r="AW228" s="287"/>
      <c r="AX228" s="287"/>
      <c r="AY228" s="287"/>
      <c r="AZ228" s="287"/>
      <c r="BA228" s="287"/>
      <c r="BB228" s="287"/>
      <c r="BC228" s="287"/>
    </row>
    <row r="229" ht="15.75" customHeight="1">
      <c r="A229" s="287"/>
      <c r="B229" s="287"/>
      <c r="C229" s="287"/>
      <c r="D229" s="287"/>
      <c r="E229" s="287"/>
      <c r="F229" s="287"/>
      <c r="G229" s="287"/>
      <c r="H229" s="287"/>
      <c r="I229" s="287"/>
      <c r="J229" s="287"/>
      <c r="K229" s="287"/>
      <c r="L229" s="287"/>
      <c r="M229" s="287"/>
      <c r="N229" s="287"/>
      <c r="O229" s="287"/>
      <c r="P229" s="287"/>
      <c r="Q229" s="287"/>
      <c r="R229" s="287"/>
      <c r="S229" s="287"/>
      <c r="T229" s="287"/>
      <c r="U229" s="287"/>
      <c r="V229" s="287"/>
      <c r="W229" s="287"/>
      <c r="X229" s="287"/>
      <c r="Y229" s="287"/>
      <c r="Z229" s="287"/>
      <c r="AA229" s="287"/>
      <c r="AB229" s="287"/>
      <c r="AC229" s="287"/>
      <c r="AD229" s="287"/>
      <c r="AE229" s="287"/>
      <c r="AF229" s="287"/>
      <c r="AG229" s="287"/>
      <c r="AH229" s="287"/>
      <c r="AI229" s="287"/>
      <c r="AJ229" s="287"/>
      <c r="AK229" s="287"/>
      <c r="AL229" s="287"/>
      <c r="AM229" s="287"/>
      <c r="AN229" s="287"/>
      <c r="AO229" s="287"/>
      <c r="AP229" s="287"/>
      <c r="AQ229" s="287"/>
      <c r="AR229" s="287"/>
      <c r="AS229" s="287"/>
      <c r="AT229" s="287"/>
      <c r="AU229" s="287"/>
      <c r="AV229" s="287"/>
      <c r="AW229" s="287"/>
      <c r="AX229" s="287"/>
      <c r="AY229" s="287"/>
      <c r="AZ229" s="287"/>
      <c r="BA229" s="287"/>
      <c r="BB229" s="287"/>
      <c r="BC229" s="287"/>
    </row>
    <row r="230" ht="15.75" customHeight="1">
      <c r="A230" s="287"/>
      <c r="B230" s="287"/>
      <c r="C230" s="287"/>
      <c r="D230" s="287"/>
      <c r="E230" s="287"/>
      <c r="F230" s="287"/>
      <c r="G230" s="287"/>
      <c r="H230" s="287"/>
      <c r="I230" s="287"/>
      <c r="J230" s="287"/>
      <c r="K230" s="287"/>
      <c r="L230" s="287"/>
      <c r="M230" s="287"/>
      <c r="N230" s="287"/>
      <c r="O230" s="287"/>
      <c r="P230" s="287"/>
      <c r="Q230" s="287"/>
      <c r="R230" s="287"/>
      <c r="S230" s="287"/>
      <c r="T230" s="287"/>
      <c r="U230" s="287"/>
      <c r="V230" s="287"/>
      <c r="W230" s="287"/>
      <c r="X230" s="287"/>
      <c r="Y230" s="287"/>
      <c r="Z230" s="287"/>
      <c r="AA230" s="287"/>
      <c r="AB230" s="287"/>
      <c r="AC230" s="287"/>
      <c r="AD230" s="287"/>
      <c r="AE230" s="287"/>
      <c r="AF230" s="287"/>
      <c r="AG230" s="287"/>
      <c r="AH230" s="287"/>
      <c r="AI230" s="287"/>
      <c r="AJ230" s="287"/>
      <c r="AK230" s="287"/>
      <c r="AL230" s="287"/>
      <c r="AM230" s="287"/>
      <c r="AN230" s="287"/>
      <c r="AO230" s="287"/>
      <c r="AP230" s="287"/>
      <c r="AQ230" s="287"/>
      <c r="AR230" s="287"/>
      <c r="AS230" s="287"/>
      <c r="AT230" s="287"/>
      <c r="AU230" s="287"/>
      <c r="AV230" s="287"/>
      <c r="AW230" s="287"/>
      <c r="AX230" s="287"/>
      <c r="AY230" s="287"/>
      <c r="AZ230" s="287"/>
      <c r="BA230" s="287"/>
      <c r="BB230" s="287"/>
      <c r="BC230" s="287"/>
    </row>
    <row r="231" ht="15.75" customHeight="1">
      <c r="A231" s="287"/>
      <c r="B231" s="287"/>
      <c r="C231" s="287"/>
      <c r="D231" s="287"/>
      <c r="E231" s="287"/>
      <c r="F231" s="287"/>
      <c r="G231" s="287"/>
      <c r="H231" s="287"/>
      <c r="I231" s="287"/>
      <c r="J231" s="287"/>
      <c r="K231" s="287"/>
      <c r="L231" s="287"/>
      <c r="M231" s="287"/>
      <c r="N231" s="287"/>
      <c r="O231" s="287"/>
      <c r="P231" s="287"/>
      <c r="Q231" s="287"/>
      <c r="R231" s="287"/>
      <c r="S231" s="287"/>
      <c r="T231" s="287"/>
      <c r="U231" s="287"/>
      <c r="V231" s="287"/>
      <c r="W231" s="287"/>
      <c r="X231" s="287"/>
      <c r="Y231" s="287"/>
      <c r="Z231" s="287"/>
      <c r="AA231" s="287"/>
      <c r="AB231" s="287"/>
      <c r="AC231" s="287"/>
      <c r="AD231" s="287"/>
      <c r="AE231" s="287"/>
      <c r="AF231" s="287"/>
      <c r="AG231" s="287"/>
      <c r="AH231" s="287"/>
      <c r="AI231" s="287"/>
      <c r="AJ231" s="287"/>
      <c r="AK231" s="287"/>
      <c r="AL231" s="287"/>
      <c r="AM231" s="287"/>
      <c r="AN231" s="287"/>
      <c r="AO231" s="287"/>
      <c r="AP231" s="287"/>
      <c r="AQ231" s="287"/>
      <c r="AR231" s="287"/>
      <c r="AS231" s="287"/>
      <c r="AT231" s="287"/>
      <c r="AU231" s="287"/>
      <c r="AV231" s="287"/>
      <c r="AW231" s="287"/>
      <c r="AX231" s="287"/>
      <c r="AY231" s="287"/>
      <c r="AZ231" s="287"/>
      <c r="BA231" s="287"/>
      <c r="BB231" s="287"/>
      <c r="BC231" s="287"/>
    </row>
    <row r="232" ht="15.75" customHeight="1">
      <c r="A232" s="287"/>
      <c r="B232" s="287"/>
      <c r="C232" s="287"/>
      <c r="D232" s="287"/>
      <c r="E232" s="287"/>
      <c r="F232" s="287"/>
      <c r="G232" s="287"/>
      <c r="H232" s="287"/>
      <c r="I232" s="287"/>
      <c r="J232" s="287"/>
      <c r="K232" s="287"/>
      <c r="L232" s="287"/>
      <c r="M232" s="287"/>
      <c r="N232" s="287"/>
      <c r="O232" s="287"/>
      <c r="P232" s="287"/>
      <c r="Q232" s="287"/>
      <c r="R232" s="287"/>
      <c r="S232" s="287"/>
      <c r="T232" s="287"/>
      <c r="U232" s="287"/>
      <c r="V232" s="287"/>
      <c r="W232" s="287"/>
      <c r="X232" s="287"/>
      <c r="Y232" s="287"/>
      <c r="Z232" s="287"/>
      <c r="AA232" s="287"/>
      <c r="AB232" s="287"/>
      <c r="AC232" s="287"/>
      <c r="AD232" s="287"/>
      <c r="AE232" s="287"/>
      <c r="AF232" s="287"/>
      <c r="AG232" s="287"/>
      <c r="AH232" s="287"/>
      <c r="AI232" s="287"/>
      <c r="AJ232" s="287"/>
      <c r="AK232" s="287"/>
      <c r="AL232" s="287"/>
      <c r="AM232" s="287"/>
      <c r="AN232" s="287"/>
      <c r="AO232" s="287"/>
      <c r="AP232" s="287"/>
      <c r="AQ232" s="287"/>
      <c r="AR232" s="287"/>
      <c r="AS232" s="287"/>
      <c r="AT232" s="287"/>
      <c r="AU232" s="287"/>
      <c r="AV232" s="287"/>
      <c r="AW232" s="287"/>
      <c r="AX232" s="287"/>
      <c r="AY232" s="287"/>
      <c r="AZ232" s="287"/>
      <c r="BA232" s="287"/>
      <c r="BB232" s="287"/>
      <c r="BC232" s="287"/>
    </row>
    <row r="233" ht="15.75" customHeight="1">
      <c r="A233" s="287"/>
      <c r="B233" s="287"/>
      <c r="C233" s="287"/>
      <c r="D233" s="287"/>
      <c r="E233" s="287"/>
      <c r="F233" s="287"/>
      <c r="G233" s="287"/>
      <c r="H233" s="287"/>
      <c r="I233" s="287"/>
      <c r="J233" s="287"/>
      <c r="K233" s="287"/>
      <c r="L233" s="287"/>
      <c r="M233" s="287"/>
      <c r="N233" s="287"/>
      <c r="O233" s="287"/>
      <c r="P233" s="287"/>
      <c r="Q233" s="287"/>
      <c r="R233" s="287"/>
      <c r="S233" s="287"/>
      <c r="T233" s="287"/>
      <c r="U233" s="287"/>
      <c r="V233" s="287"/>
      <c r="W233" s="287"/>
      <c r="X233" s="287"/>
      <c r="Y233" s="287"/>
      <c r="Z233" s="287"/>
      <c r="AA233" s="287"/>
      <c r="AB233" s="287"/>
      <c r="AC233" s="287"/>
      <c r="AD233" s="287"/>
      <c r="AE233" s="287"/>
      <c r="AF233" s="287"/>
      <c r="AG233" s="287"/>
      <c r="AH233" s="287"/>
      <c r="AI233" s="287"/>
      <c r="AJ233" s="287"/>
      <c r="AK233" s="287"/>
      <c r="AL233" s="287"/>
      <c r="AM233" s="287"/>
      <c r="AN233" s="287"/>
      <c r="AO233" s="287"/>
      <c r="AP233" s="287"/>
      <c r="AQ233" s="287"/>
      <c r="AR233" s="287"/>
      <c r="AS233" s="287"/>
      <c r="AT233" s="287"/>
      <c r="AU233" s="287"/>
      <c r="AV233" s="287"/>
      <c r="AW233" s="287"/>
      <c r="AX233" s="287"/>
      <c r="AY233" s="287"/>
      <c r="AZ233" s="287"/>
      <c r="BA233" s="287"/>
      <c r="BB233" s="287"/>
      <c r="BC233" s="287"/>
    </row>
    <row r="234" ht="15.75" customHeight="1">
      <c r="A234" s="287"/>
      <c r="B234" s="287"/>
      <c r="C234" s="287"/>
      <c r="D234" s="287"/>
      <c r="E234" s="287"/>
      <c r="F234" s="287"/>
      <c r="G234" s="287"/>
      <c r="H234" s="287"/>
      <c r="I234" s="287"/>
      <c r="J234" s="287"/>
      <c r="K234" s="287"/>
      <c r="L234" s="287"/>
      <c r="M234" s="287"/>
      <c r="N234" s="287"/>
      <c r="O234" s="287"/>
      <c r="P234" s="287"/>
      <c r="Q234" s="287"/>
      <c r="R234" s="287"/>
      <c r="S234" s="287"/>
      <c r="T234" s="287"/>
      <c r="U234" s="287"/>
      <c r="V234" s="287"/>
      <c r="W234" s="287"/>
      <c r="X234" s="287"/>
      <c r="Y234" s="287"/>
      <c r="Z234" s="287"/>
      <c r="AA234" s="287"/>
      <c r="AB234" s="287"/>
      <c r="AC234" s="287"/>
      <c r="AD234" s="287"/>
      <c r="AE234" s="287"/>
      <c r="AF234" s="287"/>
      <c r="AG234" s="287"/>
      <c r="AH234" s="287"/>
      <c r="AI234" s="287"/>
      <c r="AJ234" s="287"/>
      <c r="AK234" s="287"/>
      <c r="AL234" s="287"/>
      <c r="AM234" s="287"/>
      <c r="AN234" s="287"/>
      <c r="AO234" s="287"/>
      <c r="AP234" s="287"/>
      <c r="AQ234" s="287"/>
      <c r="AR234" s="287"/>
      <c r="AS234" s="287"/>
      <c r="AT234" s="287"/>
      <c r="AU234" s="287"/>
      <c r="AV234" s="287"/>
      <c r="AW234" s="287"/>
      <c r="AX234" s="287"/>
      <c r="AY234" s="287"/>
      <c r="AZ234" s="287"/>
      <c r="BA234" s="287"/>
      <c r="BB234" s="287"/>
      <c r="BC234" s="287"/>
    </row>
    <row r="235" ht="15.75" customHeight="1">
      <c r="A235" s="287"/>
      <c r="B235" s="287"/>
      <c r="C235" s="287"/>
      <c r="D235" s="287"/>
      <c r="E235" s="287"/>
      <c r="F235" s="287"/>
      <c r="G235" s="287"/>
      <c r="H235" s="287"/>
      <c r="I235" s="287"/>
      <c r="J235" s="287"/>
      <c r="K235" s="287"/>
      <c r="L235" s="287"/>
      <c r="M235" s="287"/>
      <c r="N235" s="287"/>
      <c r="O235" s="287"/>
      <c r="P235" s="287"/>
      <c r="Q235" s="287"/>
      <c r="R235" s="287"/>
      <c r="S235" s="287"/>
      <c r="T235" s="287"/>
      <c r="U235" s="287"/>
      <c r="V235" s="287"/>
      <c r="W235" s="287"/>
      <c r="X235" s="287"/>
      <c r="Y235" s="287"/>
      <c r="Z235" s="287"/>
      <c r="AA235" s="287"/>
      <c r="AB235" s="287"/>
      <c r="AC235" s="287"/>
      <c r="AD235" s="287"/>
      <c r="AE235" s="287"/>
      <c r="AF235" s="287"/>
      <c r="AG235" s="287"/>
      <c r="AH235" s="287"/>
      <c r="AI235" s="287"/>
      <c r="AJ235" s="287"/>
      <c r="AK235" s="287"/>
      <c r="AL235" s="287"/>
      <c r="AM235" s="287"/>
      <c r="AN235" s="287"/>
      <c r="AO235" s="287"/>
      <c r="AP235" s="287"/>
      <c r="AQ235" s="287"/>
      <c r="AR235" s="287"/>
      <c r="AS235" s="287"/>
      <c r="AT235" s="287"/>
      <c r="AU235" s="287"/>
      <c r="AV235" s="287"/>
      <c r="AW235" s="287"/>
      <c r="AX235" s="287"/>
      <c r="AY235" s="287"/>
      <c r="AZ235" s="287"/>
      <c r="BA235" s="287"/>
      <c r="BB235" s="287"/>
      <c r="BC235" s="287"/>
    </row>
    <row r="236" ht="15.75" customHeight="1">
      <c r="A236" s="287"/>
      <c r="B236" s="287"/>
      <c r="C236" s="287"/>
      <c r="D236" s="287"/>
      <c r="E236" s="287"/>
      <c r="F236" s="287"/>
      <c r="G236" s="287"/>
      <c r="H236" s="287"/>
      <c r="I236" s="287"/>
      <c r="J236" s="287"/>
      <c r="K236" s="287"/>
      <c r="L236" s="287"/>
      <c r="M236" s="287"/>
      <c r="N236" s="287"/>
      <c r="O236" s="287"/>
      <c r="P236" s="287"/>
      <c r="Q236" s="287"/>
      <c r="R236" s="287"/>
      <c r="S236" s="287"/>
      <c r="T236" s="287"/>
      <c r="U236" s="287"/>
      <c r="V236" s="287"/>
      <c r="W236" s="287"/>
      <c r="X236" s="287"/>
      <c r="Y236" s="287"/>
      <c r="Z236" s="287"/>
      <c r="AA236" s="287"/>
      <c r="AB236" s="287"/>
      <c r="AC236" s="287"/>
      <c r="AD236" s="287"/>
      <c r="AE236" s="287"/>
      <c r="AF236" s="287"/>
      <c r="AG236" s="287"/>
      <c r="AH236" s="287"/>
      <c r="AI236" s="287"/>
      <c r="AJ236" s="287"/>
      <c r="AK236" s="287"/>
      <c r="AL236" s="287"/>
      <c r="AM236" s="287"/>
      <c r="AN236" s="287"/>
      <c r="AO236" s="287"/>
      <c r="AP236" s="287"/>
      <c r="AQ236" s="287"/>
      <c r="AR236" s="287"/>
      <c r="AS236" s="287"/>
      <c r="AT236" s="287"/>
      <c r="AU236" s="287"/>
      <c r="AV236" s="287"/>
      <c r="AW236" s="287"/>
      <c r="AX236" s="287"/>
      <c r="AY236" s="287"/>
      <c r="AZ236" s="287"/>
      <c r="BA236" s="287"/>
      <c r="BB236" s="287"/>
      <c r="BC236" s="287"/>
    </row>
    <row r="237" ht="15.75" customHeight="1">
      <c r="A237" s="287"/>
      <c r="B237" s="287"/>
      <c r="C237" s="287"/>
      <c r="D237" s="287"/>
      <c r="E237" s="287"/>
      <c r="F237" s="287"/>
      <c r="G237" s="287"/>
      <c r="H237" s="287"/>
      <c r="I237" s="287"/>
      <c r="J237" s="287"/>
      <c r="K237" s="287"/>
      <c r="L237" s="287"/>
      <c r="M237" s="287"/>
      <c r="N237" s="287"/>
      <c r="O237" s="287"/>
      <c r="P237" s="287"/>
      <c r="Q237" s="287"/>
      <c r="R237" s="287"/>
      <c r="S237" s="287"/>
      <c r="T237" s="287"/>
      <c r="U237" s="287"/>
      <c r="V237" s="287"/>
      <c r="W237" s="287"/>
      <c r="X237" s="287"/>
      <c r="Y237" s="287"/>
      <c r="Z237" s="287"/>
      <c r="AA237" s="287"/>
      <c r="AB237" s="287"/>
      <c r="AC237" s="287"/>
      <c r="AD237" s="287"/>
      <c r="AE237" s="287"/>
      <c r="AF237" s="287"/>
      <c r="AG237" s="287"/>
      <c r="AH237" s="287"/>
      <c r="AI237" s="287"/>
      <c r="AJ237" s="287"/>
      <c r="AK237" s="287"/>
      <c r="AL237" s="287"/>
      <c r="AM237" s="287"/>
      <c r="AN237" s="287"/>
      <c r="AO237" s="287"/>
      <c r="AP237" s="287"/>
      <c r="AQ237" s="287"/>
      <c r="AR237" s="287"/>
      <c r="AS237" s="287"/>
      <c r="AT237" s="287"/>
      <c r="AU237" s="287"/>
      <c r="AV237" s="287"/>
      <c r="AW237" s="287"/>
      <c r="AX237" s="287"/>
      <c r="AY237" s="287"/>
      <c r="AZ237" s="287"/>
      <c r="BA237" s="287"/>
      <c r="BB237" s="287"/>
      <c r="BC237" s="287"/>
    </row>
    <row r="238" ht="15.75" customHeight="1">
      <c r="A238" s="287"/>
      <c r="B238" s="287"/>
      <c r="C238" s="287"/>
      <c r="D238" s="287"/>
      <c r="E238" s="287"/>
      <c r="F238" s="287"/>
      <c r="G238" s="287"/>
      <c r="H238" s="287"/>
      <c r="I238" s="287"/>
      <c r="J238" s="287"/>
      <c r="K238" s="287"/>
      <c r="L238" s="287"/>
      <c r="M238" s="287"/>
      <c r="N238" s="287"/>
      <c r="O238" s="287"/>
      <c r="P238" s="287"/>
      <c r="Q238" s="287"/>
      <c r="R238" s="287"/>
      <c r="S238" s="287"/>
      <c r="T238" s="287"/>
      <c r="U238" s="287"/>
      <c r="V238" s="287"/>
      <c r="W238" s="287"/>
      <c r="X238" s="287"/>
      <c r="Y238" s="287"/>
      <c r="Z238" s="287"/>
      <c r="AA238" s="287"/>
      <c r="AB238" s="287"/>
      <c r="AC238" s="287"/>
      <c r="AD238" s="287"/>
      <c r="AE238" s="287"/>
      <c r="AF238" s="287"/>
      <c r="AG238" s="287"/>
      <c r="AH238" s="287"/>
      <c r="AI238" s="287"/>
      <c r="AJ238" s="287"/>
      <c r="AK238" s="287"/>
      <c r="AL238" s="287"/>
      <c r="AM238" s="287"/>
      <c r="AN238" s="287"/>
      <c r="AO238" s="287"/>
      <c r="AP238" s="287"/>
      <c r="AQ238" s="287"/>
      <c r="AR238" s="287"/>
      <c r="AS238" s="287"/>
      <c r="AT238" s="287"/>
      <c r="AU238" s="287"/>
      <c r="AV238" s="287"/>
      <c r="AW238" s="287"/>
      <c r="AX238" s="287"/>
      <c r="AY238" s="287"/>
      <c r="AZ238" s="287"/>
      <c r="BA238" s="287"/>
      <c r="BB238" s="287"/>
      <c r="BC238" s="287"/>
    </row>
    <row r="239" ht="15.75" customHeight="1">
      <c r="A239" s="287"/>
      <c r="B239" s="287"/>
      <c r="C239" s="287"/>
      <c r="D239" s="287"/>
      <c r="E239" s="287"/>
      <c r="F239" s="287"/>
      <c r="G239" s="287"/>
      <c r="H239" s="287"/>
      <c r="I239" s="287"/>
      <c r="J239" s="287"/>
      <c r="K239" s="287"/>
      <c r="L239" s="287"/>
      <c r="M239" s="287"/>
      <c r="N239" s="287"/>
      <c r="O239" s="287"/>
      <c r="P239" s="287"/>
      <c r="Q239" s="287"/>
      <c r="R239" s="287"/>
      <c r="S239" s="287"/>
      <c r="T239" s="287"/>
      <c r="U239" s="287"/>
      <c r="V239" s="287"/>
      <c r="W239" s="287"/>
      <c r="X239" s="287"/>
      <c r="Y239" s="287"/>
      <c r="Z239" s="287"/>
      <c r="AA239" s="287"/>
      <c r="AB239" s="287"/>
      <c r="AC239" s="287"/>
      <c r="AD239" s="287"/>
      <c r="AE239" s="287"/>
      <c r="AF239" s="287"/>
      <c r="AG239" s="287"/>
      <c r="AH239" s="287"/>
      <c r="AI239" s="287"/>
      <c r="AJ239" s="287"/>
      <c r="AK239" s="287"/>
      <c r="AL239" s="287"/>
      <c r="AM239" s="287"/>
      <c r="AN239" s="287"/>
      <c r="AO239" s="287"/>
      <c r="AP239" s="287"/>
      <c r="AQ239" s="287"/>
      <c r="AR239" s="287"/>
      <c r="AS239" s="287"/>
      <c r="AT239" s="287"/>
      <c r="AU239" s="287"/>
      <c r="AV239" s="287"/>
      <c r="AW239" s="287"/>
      <c r="AX239" s="287"/>
      <c r="AY239" s="287"/>
      <c r="AZ239" s="287"/>
      <c r="BA239" s="287"/>
      <c r="BB239" s="287"/>
      <c r="BC239" s="287"/>
    </row>
    <row r="240" ht="15.75" customHeight="1">
      <c r="A240" s="287"/>
      <c r="B240" s="287"/>
      <c r="C240" s="287"/>
      <c r="D240" s="287"/>
      <c r="E240" s="287"/>
      <c r="F240" s="287"/>
      <c r="G240" s="287"/>
      <c r="H240" s="287"/>
      <c r="I240" s="287"/>
      <c r="J240" s="287"/>
      <c r="K240" s="287"/>
      <c r="L240" s="287"/>
      <c r="M240" s="287"/>
      <c r="N240" s="287"/>
      <c r="O240" s="287"/>
      <c r="P240" s="287"/>
      <c r="Q240" s="287"/>
      <c r="R240" s="287"/>
      <c r="S240" s="287"/>
      <c r="T240" s="287"/>
      <c r="U240" s="287"/>
      <c r="V240" s="287"/>
      <c r="W240" s="287"/>
      <c r="X240" s="287"/>
      <c r="Y240" s="287"/>
      <c r="Z240" s="287"/>
      <c r="AA240" s="287"/>
      <c r="AB240" s="287"/>
      <c r="AC240" s="287"/>
      <c r="AD240" s="287"/>
      <c r="AE240" s="287"/>
      <c r="AF240" s="287"/>
      <c r="AG240" s="287"/>
      <c r="AH240" s="287"/>
      <c r="AI240" s="287"/>
      <c r="AJ240" s="287"/>
      <c r="AK240" s="287"/>
      <c r="AL240" s="287"/>
      <c r="AM240" s="287"/>
      <c r="AN240" s="287"/>
      <c r="AO240" s="287"/>
      <c r="AP240" s="287"/>
      <c r="AQ240" s="287"/>
      <c r="AR240" s="287"/>
      <c r="AS240" s="287"/>
      <c r="AT240" s="287"/>
      <c r="AU240" s="287"/>
      <c r="AV240" s="287"/>
      <c r="AW240" s="287"/>
      <c r="AX240" s="287"/>
      <c r="AY240" s="287"/>
      <c r="AZ240" s="287"/>
      <c r="BA240" s="287"/>
      <c r="BB240" s="287"/>
      <c r="BC240" s="287"/>
    </row>
    <row r="241" ht="15.75" customHeight="1">
      <c r="A241" s="287"/>
      <c r="B241" s="287"/>
      <c r="C241" s="287"/>
      <c r="D241" s="287"/>
      <c r="E241" s="287"/>
      <c r="F241" s="287"/>
      <c r="G241" s="287"/>
      <c r="H241" s="287"/>
      <c r="I241" s="287"/>
      <c r="J241" s="287"/>
      <c r="K241" s="287"/>
      <c r="L241" s="287"/>
      <c r="M241" s="287"/>
      <c r="N241" s="287"/>
      <c r="O241" s="287"/>
      <c r="P241" s="287"/>
      <c r="Q241" s="287"/>
      <c r="R241" s="287"/>
      <c r="S241" s="287"/>
      <c r="T241" s="287"/>
      <c r="U241" s="287"/>
      <c r="V241" s="287"/>
      <c r="W241" s="287"/>
      <c r="X241" s="287"/>
      <c r="Y241" s="287"/>
      <c r="Z241" s="287"/>
      <c r="AA241" s="287"/>
      <c r="AB241" s="287"/>
      <c r="AC241" s="287"/>
      <c r="AD241" s="287"/>
      <c r="AE241" s="287"/>
      <c r="AF241" s="287"/>
      <c r="AG241" s="287"/>
      <c r="AH241" s="287"/>
      <c r="AI241" s="287"/>
      <c r="AJ241" s="287"/>
      <c r="AK241" s="287"/>
      <c r="AL241" s="287"/>
      <c r="AM241" s="287"/>
      <c r="AN241" s="287"/>
      <c r="AO241" s="287"/>
      <c r="AP241" s="287"/>
      <c r="AQ241" s="287"/>
      <c r="AR241" s="287"/>
      <c r="AS241" s="287"/>
      <c r="AT241" s="287"/>
      <c r="AU241" s="287"/>
      <c r="AV241" s="287"/>
      <c r="AW241" s="287"/>
      <c r="AX241" s="287"/>
      <c r="AY241" s="287"/>
      <c r="AZ241" s="287"/>
      <c r="BA241" s="287"/>
      <c r="BB241" s="287"/>
      <c r="BC241" s="287"/>
    </row>
    <row r="242" ht="15.75" customHeight="1">
      <c r="A242" s="287"/>
      <c r="B242" s="287"/>
      <c r="C242" s="287"/>
      <c r="D242" s="287"/>
      <c r="E242" s="287"/>
      <c r="F242" s="287"/>
      <c r="G242" s="287"/>
      <c r="H242" s="287"/>
      <c r="I242" s="287"/>
      <c r="J242" s="287"/>
      <c r="K242" s="287"/>
      <c r="L242" s="287"/>
      <c r="M242" s="287"/>
      <c r="N242" s="287"/>
      <c r="O242" s="287"/>
      <c r="P242" s="287"/>
      <c r="Q242" s="287"/>
      <c r="R242" s="287"/>
      <c r="S242" s="287"/>
      <c r="T242" s="287"/>
      <c r="U242" s="287"/>
      <c r="V242" s="287"/>
      <c r="W242" s="287"/>
      <c r="X242" s="287"/>
      <c r="Y242" s="287"/>
      <c r="Z242" s="287"/>
      <c r="AA242" s="287"/>
      <c r="AB242" s="287"/>
      <c r="AC242" s="287"/>
      <c r="AD242" s="287"/>
      <c r="AE242" s="287"/>
      <c r="AF242" s="287"/>
      <c r="AG242" s="287"/>
      <c r="AH242" s="287"/>
      <c r="AI242" s="287"/>
      <c r="AJ242" s="287"/>
      <c r="AK242" s="287"/>
      <c r="AL242" s="287"/>
      <c r="AM242" s="287"/>
      <c r="AN242" s="287"/>
      <c r="AO242" s="287"/>
      <c r="AP242" s="287"/>
      <c r="AQ242" s="287"/>
      <c r="AR242" s="287"/>
      <c r="AS242" s="287"/>
      <c r="AT242" s="287"/>
      <c r="AU242" s="287"/>
      <c r="AV242" s="287"/>
      <c r="AW242" s="287"/>
      <c r="AX242" s="287"/>
      <c r="AY242" s="287"/>
      <c r="AZ242" s="287"/>
      <c r="BA242" s="287"/>
      <c r="BB242" s="287"/>
      <c r="BC242" s="287"/>
    </row>
    <row r="243" ht="15.75" customHeight="1">
      <c r="A243" s="287"/>
      <c r="B243" s="287"/>
      <c r="C243" s="287"/>
      <c r="D243" s="287"/>
      <c r="E243" s="287"/>
      <c r="F243" s="287"/>
      <c r="G243" s="287"/>
      <c r="H243" s="287"/>
      <c r="I243" s="287"/>
      <c r="J243" s="287"/>
      <c r="K243" s="287"/>
      <c r="L243" s="287"/>
      <c r="M243" s="287"/>
      <c r="N243" s="287"/>
      <c r="O243" s="287"/>
      <c r="P243" s="287"/>
      <c r="Q243" s="287"/>
      <c r="R243" s="287"/>
      <c r="S243" s="287"/>
      <c r="T243" s="287"/>
      <c r="U243" s="287"/>
      <c r="V243" s="287"/>
      <c r="W243" s="287"/>
      <c r="X243" s="287"/>
      <c r="Y243" s="287"/>
      <c r="Z243" s="287"/>
      <c r="AA243" s="287"/>
      <c r="AB243" s="287"/>
      <c r="AC243" s="287"/>
      <c r="AD243" s="287"/>
      <c r="AE243" s="287"/>
      <c r="AF243" s="287"/>
      <c r="AG243" s="287"/>
      <c r="AH243" s="287"/>
      <c r="AI243" s="287"/>
      <c r="AJ243" s="287"/>
      <c r="AK243" s="287"/>
      <c r="AL243" s="287"/>
      <c r="AM243" s="287"/>
      <c r="AN243" s="287"/>
      <c r="AO243" s="287"/>
      <c r="AP243" s="287"/>
      <c r="AQ243" s="287"/>
      <c r="AR243" s="287"/>
      <c r="AS243" s="287"/>
      <c r="AT243" s="287"/>
      <c r="AU243" s="287"/>
      <c r="AV243" s="287"/>
      <c r="AW243" s="287"/>
      <c r="AX243" s="287"/>
      <c r="AY243" s="287"/>
      <c r="AZ243" s="287"/>
      <c r="BA243" s="287"/>
      <c r="BB243" s="287"/>
      <c r="BC243" s="287"/>
    </row>
    <row r="244" ht="15.75" customHeight="1">
      <c r="A244" s="287"/>
      <c r="B244" s="287"/>
      <c r="C244" s="287"/>
      <c r="D244" s="287"/>
      <c r="E244" s="287"/>
      <c r="F244" s="287"/>
      <c r="G244" s="287"/>
      <c r="H244" s="287"/>
      <c r="I244" s="287"/>
      <c r="J244" s="287"/>
      <c r="K244" s="287"/>
      <c r="L244" s="287"/>
      <c r="M244" s="287"/>
      <c r="N244" s="287"/>
      <c r="O244" s="287"/>
      <c r="P244" s="287"/>
      <c r="Q244" s="287"/>
      <c r="R244" s="287"/>
      <c r="S244" s="287"/>
      <c r="T244" s="287"/>
      <c r="U244" s="287"/>
      <c r="V244" s="287"/>
      <c r="W244" s="287"/>
      <c r="X244" s="287"/>
      <c r="Y244" s="287"/>
      <c r="Z244" s="287"/>
      <c r="AA244" s="287"/>
      <c r="AB244" s="287"/>
      <c r="AC244" s="287"/>
      <c r="AD244" s="287"/>
      <c r="AE244" s="287"/>
      <c r="AF244" s="287"/>
      <c r="AG244" s="287"/>
      <c r="AH244" s="287"/>
      <c r="AI244" s="287"/>
      <c r="AJ244" s="287"/>
      <c r="AK244" s="287"/>
      <c r="AL244" s="287"/>
      <c r="AM244" s="287"/>
      <c r="AN244" s="287"/>
      <c r="AO244" s="287"/>
      <c r="AP244" s="287"/>
      <c r="AQ244" s="287"/>
      <c r="AR244" s="287"/>
      <c r="AS244" s="287"/>
      <c r="AT244" s="287"/>
      <c r="AU244" s="287"/>
      <c r="AV244" s="287"/>
      <c r="AW244" s="287"/>
      <c r="AX244" s="287"/>
      <c r="AY244" s="287"/>
      <c r="AZ244" s="287"/>
      <c r="BA244" s="287"/>
      <c r="BB244" s="287"/>
      <c r="BC244" s="287"/>
    </row>
    <row r="245" ht="15.75" customHeight="1">
      <c r="A245" s="287"/>
      <c r="B245" s="287"/>
      <c r="C245" s="287"/>
      <c r="D245" s="287"/>
      <c r="E245" s="287"/>
      <c r="F245" s="287"/>
      <c r="G245" s="287"/>
      <c r="H245" s="287"/>
      <c r="I245" s="287"/>
      <c r="J245" s="287"/>
      <c r="K245" s="287"/>
      <c r="L245" s="287"/>
      <c r="M245" s="287"/>
      <c r="N245" s="287"/>
      <c r="O245" s="287"/>
      <c r="P245" s="287"/>
      <c r="Q245" s="287"/>
      <c r="R245" s="287"/>
      <c r="S245" s="287"/>
      <c r="T245" s="287"/>
      <c r="U245" s="287"/>
      <c r="V245" s="287"/>
      <c r="W245" s="287"/>
      <c r="X245" s="287"/>
      <c r="Y245" s="287"/>
      <c r="Z245" s="287"/>
      <c r="AA245" s="287"/>
      <c r="AB245" s="287"/>
      <c r="AC245" s="287"/>
      <c r="AD245" s="287"/>
      <c r="AE245" s="287"/>
      <c r="AF245" s="287"/>
      <c r="AG245" s="287"/>
      <c r="AH245" s="287"/>
      <c r="AI245" s="287"/>
      <c r="AJ245" s="287"/>
      <c r="AK245" s="287"/>
      <c r="AL245" s="287"/>
      <c r="AM245" s="287"/>
      <c r="AN245" s="287"/>
      <c r="AO245" s="287"/>
      <c r="AP245" s="287"/>
      <c r="AQ245" s="287"/>
      <c r="AR245" s="287"/>
      <c r="AS245" s="287"/>
      <c r="AT245" s="287"/>
      <c r="AU245" s="287"/>
      <c r="AV245" s="287"/>
      <c r="AW245" s="287"/>
      <c r="AX245" s="287"/>
      <c r="AY245" s="287"/>
      <c r="AZ245" s="287"/>
      <c r="BA245" s="287"/>
      <c r="BB245" s="287"/>
      <c r="BC245" s="287"/>
    </row>
    <row r="246" ht="15.75" customHeight="1">
      <c r="A246" s="287"/>
      <c r="B246" s="287"/>
      <c r="C246" s="287"/>
      <c r="D246" s="287"/>
      <c r="E246" s="287"/>
      <c r="F246" s="287"/>
      <c r="G246" s="287"/>
      <c r="H246" s="287"/>
      <c r="I246" s="287"/>
      <c r="J246" s="287"/>
      <c r="K246" s="287"/>
      <c r="L246" s="287"/>
      <c r="M246" s="287"/>
      <c r="N246" s="287"/>
      <c r="O246" s="287"/>
      <c r="P246" s="287"/>
      <c r="Q246" s="287"/>
      <c r="R246" s="287"/>
      <c r="S246" s="287"/>
      <c r="T246" s="287"/>
      <c r="U246" s="287"/>
      <c r="V246" s="287"/>
      <c r="W246" s="287"/>
      <c r="X246" s="287"/>
      <c r="Y246" s="287"/>
      <c r="Z246" s="287"/>
      <c r="AA246" s="287"/>
      <c r="AB246" s="287"/>
      <c r="AC246" s="287"/>
      <c r="AD246" s="287"/>
      <c r="AE246" s="287"/>
      <c r="AF246" s="287"/>
      <c r="AG246" s="287"/>
      <c r="AH246" s="287"/>
      <c r="AI246" s="287"/>
      <c r="AJ246" s="287"/>
      <c r="AK246" s="287"/>
      <c r="AL246" s="287"/>
      <c r="AM246" s="287"/>
      <c r="AN246" s="287"/>
      <c r="AO246" s="287"/>
      <c r="AP246" s="287"/>
      <c r="AQ246" s="287"/>
      <c r="AR246" s="287"/>
      <c r="AS246" s="287"/>
      <c r="AT246" s="287"/>
      <c r="AU246" s="287"/>
      <c r="AV246" s="287"/>
      <c r="AW246" s="287"/>
      <c r="AX246" s="287"/>
      <c r="AY246" s="287"/>
      <c r="AZ246" s="287"/>
      <c r="BA246" s="287"/>
      <c r="BB246" s="287"/>
      <c r="BC246" s="287"/>
    </row>
    <row r="247" ht="15.75" customHeight="1">
      <c r="A247" s="287"/>
      <c r="B247" s="287"/>
      <c r="C247" s="287"/>
      <c r="D247" s="287"/>
      <c r="E247" s="287"/>
      <c r="F247" s="287"/>
      <c r="G247" s="287"/>
      <c r="H247" s="287"/>
      <c r="I247" s="287"/>
      <c r="J247" s="287"/>
      <c r="K247" s="287"/>
      <c r="L247" s="287"/>
      <c r="M247" s="287"/>
      <c r="N247" s="287"/>
      <c r="O247" s="287"/>
      <c r="P247" s="287"/>
      <c r="Q247" s="287"/>
      <c r="R247" s="287"/>
      <c r="S247" s="287"/>
      <c r="T247" s="287"/>
      <c r="U247" s="287"/>
      <c r="V247" s="287"/>
      <c r="W247" s="287"/>
      <c r="X247" s="287"/>
      <c r="Y247" s="287"/>
      <c r="Z247" s="287"/>
      <c r="AA247" s="287"/>
      <c r="AB247" s="287"/>
      <c r="AC247" s="287"/>
      <c r="AD247" s="287"/>
      <c r="AE247" s="287"/>
      <c r="AF247" s="287"/>
      <c r="AG247" s="287"/>
      <c r="AH247" s="287"/>
      <c r="AI247" s="287"/>
      <c r="AJ247" s="287"/>
      <c r="AK247" s="287"/>
      <c r="AL247" s="287"/>
      <c r="AM247" s="287"/>
      <c r="AN247" s="287"/>
      <c r="AO247" s="287"/>
      <c r="AP247" s="287"/>
      <c r="AQ247" s="287"/>
      <c r="AR247" s="287"/>
      <c r="AS247" s="287"/>
      <c r="AT247" s="287"/>
      <c r="AU247" s="287"/>
      <c r="AV247" s="287"/>
      <c r="AW247" s="287"/>
      <c r="AX247" s="287"/>
      <c r="AY247" s="287"/>
      <c r="AZ247" s="287"/>
      <c r="BA247" s="287"/>
      <c r="BB247" s="287"/>
      <c r="BC247" s="287"/>
    </row>
    <row r="248" ht="15.75" customHeight="1">
      <c r="A248" s="287"/>
      <c r="B248" s="287"/>
      <c r="C248" s="287"/>
      <c r="D248" s="287"/>
      <c r="E248" s="287"/>
      <c r="F248" s="287"/>
      <c r="G248" s="287"/>
      <c r="H248" s="287"/>
      <c r="I248" s="287"/>
      <c r="J248" s="287"/>
      <c r="K248" s="287"/>
      <c r="L248" s="287"/>
      <c r="M248" s="287"/>
      <c r="N248" s="287"/>
      <c r="O248" s="287"/>
      <c r="P248" s="287"/>
      <c r="Q248" s="287"/>
      <c r="R248" s="287"/>
      <c r="S248" s="287"/>
      <c r="T248" s="287"/>
      <c r="U248" s="287"/>
      <c r="V248" s="287"/>
      <c r="W248" s="287"/>
      <c r="X248" s="287"/>
      <c r="Y248" s="287"/>
      <c r="Z248" s="287"/>
      <c r="AA248" s="287"/>
      <c r="AB248" s="287"/>
      <c r="AC248" s="287"/>
      <c r="AD248" s="287"/>
      <c r="AE248" s="287"/>
      <c r="AF248" s="287"/>
      <c r="AG248" s="287"/>
      <c r="AH248" s="287"/>
      <c r="AI248" s="287"/>
      <c r="AJ248" s="287"/>
      <c r="AK248" s="287"/>
      <c r="AL248" s="287"/>
      <c r="AM248" s="287"/>
      <c r="AN248" s="287"/>
      <c r="AO248" s="287"/>
      <c r="AP248" s="287"/>
      <c r="AQ248" s="287"/>
      <c r="AR248" s="287"/>
      <c r="AS248" s="287"/>
      <c r="AT248" s="287"/>
      <c r="AU248" s="287"/>
      <c r="AV248" s="287"/>
      <c r="AW248" s="287"/>
      <c r="AX248" s="287"/>
      <c r="AY248" s="287"/>
      <c r="AZ248" s="287"/>
      <c r="BA248" s="287"/>
      <c r="BB248" s="287"/>
      <c r="BC248" s="287"/>
    </row>
    <row r="249" ht="15.75" customHeight="1">
      <c r="A249" s="287"/>
      <c r="B249" s="287"/>
      <c r="C249" s="287"/>
      <c r="D249" s="287"/>
      <c r="E249" s="287"/>
      <c r="F249" s="287"/>
      <c r="G249" s="287"/>
      <c r="H249" s="287"/>
      <c r="I249" s="287"/>
      <c r="J249" s="287"/>
      <c r="K249" s="287"/>
      <c r="L249" s="287"/>
      <c r="M249" s="287"/>
      <c r="N249" s="287"/>
      <c r="O249" s="287"/>
      <c r="P249" s="287"/>
      <c r="Q249" s="287"/>
      <c r="R249" s="287"/>
      <c r="S249" s="287"/>
      <c r="T249" s="287"/>
      <c r="U249" s="287"/>
      <c r="V249" s="287"/>
      <c r="W249" s="287"/>
      <c r="X249" s="287"/>
      <c r="Y249" s="287"/>
      <c r="Z249" s="287"/>
      <c r="AA249" s="287"/>
      <c r="AB249" s="287"/>
      <c r="AC249" s="287"/>
      <c r="AD249" s="287"/>
      <c r="AE249" s="287"/>
      <c r="AF249" s="287"/>
      <c r="AG249" s="287"/>
      <c r="AH249" s="287"/>
      <c r="AI249" s="287"/>
      <c r="AJ249" s="287"/>
      <c r="AK249" s="287"/>
      <c r="AL249" s="287"/>
      <c r="AM249" s="287"/>
      <c r="AN249" s="287"/>
      <c r="AO249" s="287"/>
      <c r="AP249" s="287"/>
      <c r="AQ249" s="287"/>
      <c r="AR249" s="287"/>
      <c r="AS249" s="287"/>
      <c r="AT249" s="287"/>
      <c r="AU249" s="287"/>
      <c r="AV249" s="287"/>
      <c r="AW249" s="287"/>
      <c r="AX249" s="287"/>
      <c r="AY249" s="287"/>
      <c r="AZ249" s="287"/>
      <c r="BA249" s="287"/>
      <c r="BB249" s="287"/>
      <c r="BC249" s="287"/>
    </row>
    <row r="250" ht="15.75" customHeight="1">
      <c r="A250" s="287"/>
      <c r="B250" s="287"/>
      <c r="C250" s="287"/>
      <c r="D250" s="287"/>
      <c r="E250" s="287"/>
      <c r="F250" s="287"/>
      <c r="G250" s="287"/>
      <c r="H250" s="287"/>
      <c r="I250" s="287"/>
      <c r="J250" s="287"/>
      <c r="K250" s="287"/>
      <c r="L250" s="287"/>
      <c r="M250" s="287"/>
      <c r="N250" s="287"/>
      <c r="O250" s="287"/>
      <c r="P250" s="287"/>
      <c r="Q250" s="287"/>
      <c r="R250" s="287"/>
      <c r="S250" s="287"/>
      <c r="T250" s="287"/>
      <c r="U250" s="287"/>
      <c r="V250" s="287"/>
      <c r="W250" s="287"/>
      <c r="X250" s="287"/>
      <c r="Y250" s="287"/>
      <c r="Z250" s="287"/>
      <c r="AA250" s="287"/>
      <c r="AB250" s="287"/>
      <c r="AC250" s="287"/>
      <c r="AD250" s="287"/>
      <c r="AE250" s="287"/>
      <c r="AF250" s="287"/>
      <c r="AG250" s="287"/>
      <c r="AH250" s="287"/>
      <c r="AI250" s="287"/>
      <c r="AJ250" s="287"/>
      <c r="AK250" s="287"/>
      <c r="AL250" s="287"/>
      <c r="AM250" s="287"/>
      <c r="AN250" s="287"/>
      <c r="AO250" s="287"/>
      <c r="AP250" s="287"/>
      <c r="AQ250" s="287"/>
      <c r="AR250" s="287"/>
      <c r="AS250" s="287"/>
      <c r="AT250" s="287"/>
      <c r="AU250" s="287"/>
      <c r="AV250" s="287"/>
      <c r="AW250" s="287"/>
      <c r="AX250" s="287"/>
      <c r="AY250" s="287"/>
      <c r="AZ250" s="287"/>
      <c r="BA250" s="287"/>
      <c r="BB250" s="287"/>
      <c r="BC250" s="287"/>
    </row>
    <row r="251" ht="15.75" customHeight="1">
      <c r="A251" s="287"/>
      <c r="B251" s="287"/>
      <c r="C251" s="287"/>
      <c r="D251" s="287"/>
      <c r="E251" s="287"/>
      <c r="F251" s="287"/>
      <c r="G251" s="287"/>
      <c r="H251" s="287"/>
      <c r="I251" s="287"/>
      <c r="J251" s="287"/>
      <c r="K251" s="287"/>
      <c r="L251" s="287"/>
      <c r="M251" s="287"/>
      <c r="N251" s="287"/>
      <c r="O251" s="287"/>
      <c r="P251" s="287"/>
      <c r="Q251" s="287"/>
      <c r="R251" s="287"/>
      <c r="S251" s="287"/>
      <c r="T251" s="287"/>
      <c r="U251" s="287"/>
      <c r="V251" s="287"/>
      <c r="W251" s="287"/>
      <c r="X251" s="287"/>
      <c r="Y251" s="287"/>
      <c r="Z251" s="287"/>
      <c r="AA251" s="287"/>
      <c r="AB251" s="287"/>
      <c r="AC251" s="287"/>
      <c r="AD251" s="287"/>
      <c r="AE251" s="287"/>
      <c r="AF251" s="287"/>
      <c r="AG251" s="287"/>
      <c r="AH251" s="287"/>
      <c r="AI251" s="287"/>
      <c r="AJ251" s="287"/>
      <c r="AK251" s="287"/>
      <c r="AL251" s="287"/>
      <c r="AM251" s="287"/>
      <c r="AN251" s="287"/>
      <c r="AO251" s="287"/>
      <c r="AP251" s="287"/>
      <c r="AQ251" s="287"/>
      <c r="AR251" s="287"/>
      <c r="AS251" s="287"/>
      <c r="AT251" s="287"/>
      <c r="AU251" s="287"/>
      <c r="AV251" s="287"/>
      <c r="AW251" s="287"/>
      <c r="AX251" s="287"/>
      <c r="AY251" s="287"/>
      <c r="AZ251" s="287"/>
      <c r="BA251" s="287"/>
      <c r="BB251" s="287"/>
      <c r="BC251" s="287"/>
    </row>
    <row r="252" ht="15.75" customHeight="1">
      <c r="A252" s="287"/>
      <c r="B252" s="287"/>
      <c r="C252" s="287"/>
      <c r="D252" s="287"/>
      <c r="E252" s="287"/>
      <c r="F252" s="287"/>
      <c r="G252" s="287"/>
      <c r="H252" s="287"/>
      <c r="I252" s="287"/>
      <c r="J252" s="287"/>
      <c r="K252" s="287"/>
      <c r="L252" s="287"/>
      <c r="M252" s="287"/>
      <c r="N252" s="287"/>
      <c r="O252" s="287"/>
      <c r="P252" s="287"/>
      <c r="Q252" s="287"/>
      <c r="R252" s="287"/>
      <c r="S252" s="287"/>
      <c r="T252" s="287"/>
      <c r="U252" s="287"/>
      <c r="V252" s="287"/>
      <c r="W252" s="287"/>
      <c r="X252" s="287"/>
      <c r="Y252" s="287"/>
      <c r="Z252" s="287"/>
      <c r="AA252" s="287"/>
      <c r="AB252" s="287"/>
      <c r="AC252" s="287"/>
      <c r="AD252" s="287"/>
      <c r="AE252" s="287"/>
      <c r="AF252" s="287"/>
      <c r="AG252" s="287"/>
      <c r="AH252" s="287"/>
      <c r="AI252" s="287"/>
      <c r="AJ252" s="287"/>
      <c r="AK252" s="287"/>
      <c r="AL252" s="287"/>
      <c r="AM252" s="287"/>
      <c r="AN252" s="287"/>
      <c r="AO252" s="287"/>
      <c r="AP252" s="287"/>
      <c r="AQ252" s="287"/>
      <c r="AR252" s="287"/>
      <c r="AS252" s="287"/>
      <c r="AT252" s="287"/>
      <c r="AU252" s="287"/>
      <c r="AV252" s="287"/>
      <c r="AW252" s="287"/>
      <c r="AX252" s="287"/>
      <c r="AY252" s="287"/>
      <c r="AZ252" s="287"/>
      <c r="BA252" s="287"/>
      <c r="BB252" s="287"/>
      <c r="BC252" s="287"/>
    </row>
    <row r="253" ht="15.75" customHeight="1">
      <c r="A253" s="287"/>
      <c r="B253" s="287"/>
      <c r="C253" s="287"/>
      <c r="D253" s="287"/>
      <c r="E253" s="287"/>
      <c r="F253" s="287"/>
      <c r="G253" s="287"/>
      <c r="H253" s="287"/>
      <c r="I253" s="287"/>
      <c r="J253" s="287"/>
      <c r="K253" s="287"/>
      <c r="L253" s="287"/>
      <c r="M253" s="287"/>
      <c r="N253" s="287"/>
      <c r="O253" s="287"/>
      <c r="P253" s="287"/>
      <c r="Q253" s="287"/>
      <c r="R253" s="287"/>
      <c r="S253" s="287"/>
      <c r="T253" s="287"/>
      <c r="U253" s="287"/>
      <c r="V253" s="287"/>
      <c r="W253" s="287"/>
      <c r="X253" s="287"/>
      <c r="Y253" s="287"/>
      <c r="Z253" s="287"/>
      <c r="AA253" s="287"/>
      <c r="AB253" s="287"/>
      <c r="AC253" s="287"/>
      <c r="AD253" s="287"/>
      <c r="AE253" s="287"/>
      <c r="AF253" s="287"/>
      <c r="AG253" s="287"/>
      <c r="AH253" s="287"/>
      <c r="AI253" s="287"/>
      <c r="AJ253" s="287"/>
      <c r="AK253" s="287"/>
      <c r="AL253" s="287"/>
      <c r="AM253" s="287"/>
      <c r="AN253" s="287"/>
      <c r="AO253" s="287"/>
      <c r="AP253" s="287"/>
      <c r="AQ253" s="287"/>
      <c r="AR253" s="287"/>
      <c r="AS253" s="287"/>
      <c r="AT253" s="287"/>
      <c r="AU253" s="287"/>
      <c r="AV253" s="287"/>
      <c r="AW253" s="287"/>
      <c r="AX253" s="287"/>
      <c r="AY253" s="287"/>
      <c r="AZ253" s="287"/>
      <c r="BA253" s="287"/>
      <c r="BB253" s="287"/>
      <c r="BC253" s="287"/>
    </row>
    <row r="254" ht="15.75" customHeight="1">
      <c r="A254" s="287"/>
      <c r="B254" s="287"/>
      <c r="C254" s="287"/>
      <c r="D254" s="287"/>
      <c r="E254" s="287"/>
      <c r="F254" s="287"/>
      <c r="G254" s="287"/>
      <c r="H254" s="287"/>
      <c r="I254" s="287"/>
      <c r="J254" s="287"/>
      <c r="K254" s="287"/>
      <c r="L254" s="287"/>
      <c r="M254" s="287"/>
      <c r="N254" s="287"/>
      <c r="O254" s="287"/>
      <c r="P254" s="287"/>
      <c r="Q254" s="287"/>
      <c r="R254" s="287"/>
      <c r="S254" s="287"/>
      <c r="T254" s="287"/>
      <c r="U254" s="287"/>
      <c r="V254" s="287"/>
      <c r="W254" s="287"/>
      <c r="X254" s="287"/>
      <c r="Y254" s="287"/>
      <c r="Z254" s="287"/>
      <c r="AA254" s="287"/>
      <c r="AB254" s="287"/>
      <c r="AC254" s="287"/>
      <c r="AD254" s="287"/>
      <c r="AE254" s="287"/>
      <c r="AF254" s="287"/>
      <c r="AG254" s="287"/>
      <c r="AH254" s="287"/>
      <c r="AI254" s="287"/>
      <c r="AJ254" s="287"/>
      <c r="AK254" s="287"/>
      <c r="AL254" s="287"/>
      <c r="AM254" s="287"/>
      <c r="AN254" s="287"/>
      <c r="AO254" s="287"/>
      <c r="AP254" s="287"/>
      <c r="AQ254" s="287"/>
      <c r="AR254" s="287"/>
      <c r="AS254" s="287"/>
      <c r="AT254" s="287"/>
      <c r="AU254" s="287"/>
      <c r="AV254" s="287"/>
      <c r="AW254" s="287"/>
      <c r="AX254" s="287"/>
      <c r="AY254" s="287"/>
      <c r="AZ254" s="287"/>
      <c r="BA254" s="287"/>
      <c r="BB254" s="287"/>
      <c r="BC254" s="287"/>
    </row>
    <row r="255" ht="15.75" customHeight="1">
      <c r="A255" s="287"/>
      <c r="B255" s="287"/>
      <c r="C255" s="287"/>
      <c r="D255" s="287"/>
      <c r="E255" s="287"/>
      <c r="F255" s="287"/>
      <c r="G255" s="287"/>
      <c r="H255" s="287"/>
      <c r="I255" s="287"/>
      <c r="J255" s="287"/>
      <c r="K255" s="287"/>
      <c r="L255" s="287"/>
      <c r="M255" s="287"/>
      <c r="N255" s="287"/>
      <c r="O255" s="287"/>
      <c r="P255" s="287"/>
      <c r="Q255" s="287"/>
      <c r="R255" s="287"/>
      <c r="S255" s="287"/>
      <c r="T255" s="287"/>
      <c r="U255" s="287"/>
      <c r="V255" s="287"/>
      <c r="W255" s="287"/>
      <c r="X255" s="287"/>
      <c r="Y255" s="287"/>
      <c r="Z255" s="287"/>
      <c r="AA255" s="287"/>
      <c r="AB255" s="287"/>
      <c r="AC255" s="287"/>
      <c r="AD255" s="287"/>
      <c r="AE255" s="287"/>
      <c r="AF255" s="287"/>
      <c r="AG255" s="287"/>
      <c r="AH255" s="287"/>
      <c r="AI255" s="287"/>
      <c r="AJ255" s="287"/>
      <c r="AK255" s="287"/>
      <c r="AL255" s="287"/>
      <c r="AM255" s="287"/>
      <c r="AN255" s="287"/>
      <c r="AO255" s="287"/>
      <c r="AP255" s="287"/>
      <c r="AQ255" s="287"/>
      <c r="AR255" s="287"/>
      <c r="AS255" s="287"/>
      <c r="AT255" s="287"/>
      <c r="AU255" s="287"/>
      <c r="AV255" s="287"/>
      <c r="AW255" s="287"/>
      <c r="AX255" s="287"/>
      <c r="AY255" s="287"/>
      <c r="AZ255" s="287"/>
      <c r="BA255" s="287"/>
      <c r="BB255" s="287"/>
      <c r="BC255" s="287"/>
    </row>
    <row r="256" ht="15.75" customHeight="1">
      <c r="A256" s="287"/>
      <c r="B256" s="287"/>
      <c r="C256" s="287"/>
      <c r="D256" s="287"/>
      <c r="E256" s="287"/>
      <c r="F256" s="287"/>
      <c r="G256" s="287"/>
      <c r="H256" s="287"/>
      <c r="I256" s="287"/>
      <c r="J256" s="287"/>
      <c r="K256" s="287"/>
      <c r="L256" s="287"/>
      <c r="M256" s="287"/>
      <c r="N256" s="287"/>
      <c r="O256" s="287"/>
      <c r="P256" s="287"/>
      <c r="Q256" s="287"/>
      <c r="R256" s="287"/>
      <c r="S256" s="287"/>
      <c r="T256" s="287"/>
      <c r="U256" s="287"/>
      <c r="V256" s="287"/>
      <c r="W256" s="287"/>
      <c r="X256" s="287"/>
      <c r="Y256" s="287"/>
      <c r="Z256" s="287"/>
      <c r="AA256" s="287"/>
      <c r="AB256" s="287"/>
      <c r="AC256" s="287"/>
      <c r="AD256" s="287"/>
      <c r="AE256" s="287"/>
      <c r="AF256" s="287"/>
      <c r="AG256" s="287"/>
      <c r="AH256" s="287"/>
      <c r="AI256" s="287"/>
      <c r="AJ256" s="287"/>
      <c r="AK256" s="287"/>
      <c r="AL256" s="287"/>
      <c r="AM256" s="287"/>
      <c r="AN256" s="287"/>
      <c r="AO256" s="287"/>
      <c r="AP256" s="287"/>
      <c r="AQ256" s="287"/>
      <c r="AR256" s="287"/>
      <c r="AS256" s="287"/>
      <c r="AT256" s="287"/>
      <c r="AU256" s="287"/>
      <c r="AV256" s="287"/>
      <c r="AW256" s="287"/>
      <c r="AX256" s="287"/>
      <c r="AY256" s="287"/>
      <c r="AZ256" s="287"/>
      <c r="BA256" s="287"/>
      <c r="BB256" s="287"/>
      <c r="BC256" s="287"/>
    </row>
    <row r="257" ht="15.75" customHeight="1">
      <c r="A257" s="287"/>
      <c r="B257" s="287"/>
      <c r="C257" s="287"/>
      <c r="D257" s="287"/>
      <c r="E257" s="287"/>
      <c r="F257" s="287"/>
      <c r="G257" s="287"/>
      <c r="H257" s="287"/>
      <c r="I257" s="287"/>
      <c r="J257" s="287"/>
      <c r="K257" s="287"/>
      <c r="L257" s="287"/>
      <c r="M257" s="287"/>
      <c r="N257" s="287"/>
      <c r="O257" s="287"/>
      <c r="P257" s="287"/>
      <c r="Q257" s="287"/>
      <c r="R257" s="287"/>
      <c r="S257" s="287"/>
      <c r="T257" s="287"/>
      <c r="U257" s="287"/>
      <c r="V257" s="287"/>
      <c r="W257" s="287"/>
      <c r="X257" s="287"/>
      <c r="Y257" s="287"/>
      <c r="Z257" s="287"/>
      <c r="AA257" s="287"/>
      <c r="AB257" s="287"/>
      <c r="AC257" s="287"/>
      <c r="AD257" s="287"/>
      <c r="AE257" s="287"/>
      <c r="AF257" s="287"/>
      <c r="AG257" s="287"/>
      <c r="AH257" s="287"/>
      <c r="AI257" s="287"/>
      <c r="AJ257" s="287"/>
      <c r="AK257" s="287"/>
      <c r="AL257" s="287"/>
      <c r="AM257" s="287"/>
      <c r="AN257" s="287"/>
      <c r="AO257" s="287"/>
      <c r="AP257" s="287"/>
      <c r="AQ257" s="287"/>
      <c r="AR257" s="287"/>
      <c r="AS257" s="287"/>
      <c r="AT257" s="287"/>
      <c r="AU257" s="287"/>
      <c r="AV257" s="287"/>
      <c r="AW257" s="287"/>
      <c r="AX257" s="287"/>
      <c r="AY257" s="287"/>
      <c r="AZ257" s="287"/>
      <c r="BA257" s="287"/>
      <c r="BB257" s="287"/>
      <c r="BC257" s="287"/>
    </row>
    <row r="258" ht="15.75" customHeight="1">
      <c r="A258" s="287"/>
      <c r="B258" s="287"/>
      <c r="C258" s="287"/>
      <c r="D258" s="287"/>
      <c r="E258" s="287"/>
      <c r="F258" s="287"/>
      <c r="G258" s="287"/>
      <c r="H258" s="287"/>
      <c r="I258" s="287"/>
      <c r="J258" s="287"/>
      <c r="K258" s="287"/>
      <c r="L258" s="287"/>
      <c r="M258" s="287"/>
      <c r="N258" s="287"/>
      <c r="O258" s="287"/>
      <c r="P258" s="287"/>
      <c r="Q258" s="287"/>
      <c r="R258" s="287"/>
      <c r="S258" s="287"/>
      <c r="T258" s="287"/>
      <c r="U258" s="287"/>
      <c r="V258" s="287"/>
      <c r="W258" s="287"/>
      <c r="X258" s="287"/>
      <c r="Y258" s="287"/>
      <c r="Z258" s="287"/>
      <c r="AA258" s="287"/>
      <c r="AB258" s="287"/>
      <c r="AC258" s="287"/>
      <c r="AD258" s="287"/>
      <c r="AE258" s="287"/>
      <c r="AF258" s="287"/>
      <c r="AG258" s="287"/>
      <c r="AH258" s="287"/>
      <c r="AI258" s="287"/>
      <c r="AJ258" s="287"/>
      <c r="AK258" s="287"/>
      <c r="AL258" s="287"/>
      <c r="AM258" s="287"/>
      <c r="AN258" s="287"/>
      <c r="AO258" s="287"/>
      <c r="AP258" s="287"/>
      <c r="AQ258" s="287"/>
      <c r="AR258" s="287"/>
      <c r="AS258" s="287"/>
      <c r="AT258" s="287"/>
      <c r="AU258" s="287"/>
      <c r="AV258" s="287"/>
      <c r="AW258" s="287"/>
      <c r="AX258" s="287"/>
      <c r="AY258" s="287"/>
      <c r="AZ258" s="287"/>
      <c r="BA258" s="287"/>
      <c r="BB258" s="287"/>
      <c r="BC258" s="287"/>
    </row>
    <row r="259" ht="15.75" customHeight="1">
      <c r="A259" s="287"/>
      <c r="B259" s="287"/>
      <c r="C259" s="287"/>
      <c r="D259" s="287"/>
      <c r="E259" s="287"/>
      <c r="F259" s="287"/>
      <c r="G259" s="287"/>
      <c r="H259" s="287"/>
      <c r="I259" s="287"/>
      <c r="J259" s="287"/>
      <c r="K259" s="287"/>
      <c r="L259" s="287"/>
      <c r="M259" s="287"/>
      <c r="N259" s="287"/>
      <c r="O259" s="287"/>
      <c r="P259" s="287"/>
      <c r="Q259" s="287"/>
      <c r="R259" s="287"/>
      <c r="S259" s="287"/>
      <c r="T259" s="287"/>
      <c r="U259" s="287"/>
      <c r="V259" s="287"/>
      <c r="W259" s="287"/>
      <c r="X259" s="287"/>
      <c r="Y259" s="287"/>
      <c r="Z259" s="287"/>
      <c r="AA259" s="287"/>
      <c r="AB259" s="287"/>
      <c r="AC259" s="287"/>
      <c r="AD259" s="287"/>
      <c r="AE259" s="287"/>
      <c r="AF259" s="287"/>
      <c r="AG259" s="287"/>
      <c r="AH259" s="287"/>
      <c r="AI259" s="287"/>
      <c r="AJ259" s="287"/>
      <c r="AK259" s="287"/>
      <c r="AL259" s="287"/>
      <c r="AM259" s="287"/>
      <c r="AN259" s="287"/>
      <c r="AO259" s="287"/>
      <c r="AP259" s="287"/>
      <c r="AQ259" s="287"/>
      <c r="AR259" s="287"/>
      <c r="AS259" s="287"/>
      <c r="AT259" s="287"/>
      <c r="AU259" s="287"/>
      <c r="AV259" s="287"/>
      <c r="AW259" s="287"/>
      <c r="AX259" s="287"/>
      <c r="AY259" s="287"/>
      <c r="AZ259" s="287"/>
      <c r="BA259" s="287"/>
      <c r="BB259" s="287"/>
      <c r="BC259" s="287"/>
    </row>
    <row r="260" ht="15.75" customHeight="1">
      <c r="A260" s="287"/>
      <c r="B260" s="287"/>
      <c r="C260" s="287"/>
      <c r="D260" s="287"/>
      <c r="E260" s="287"/>
      <c r="F260" s="287"/>
      <c r="G260" s="287"/>
      <c r="H260" s="287"/>
      <c r="I260" s="287"/>
      <c r="J260" s="287"/>
      <c r="K260" s="287"/>
      <c r="L260" s="287"/>
      <c r="M260" s="287"/>
      <c r="N260" s="287"/>
      <c r="O260" s="287"/>
      <c r="P260" s="287"/>
      <c r="Q260" s="287"/>
      <c r="R260" s="287"/>
      <c r="S260" s="287"/>
      <c r="T260" s="287"/>
      <c r="U260" s="287"/>
      <c r="V260" s="287"/>
      <c r="W260" s="287"/>
      <c r="X260" s="287"/>
      <c r="Y260" s="287"/>
      <c r="Z260" s="287"/>
      <c r="AA260" s="287"/>
      <c r="AB260" s="287"/>
      <c r="AC260" s="287"/>
      <c r="AD260" s="287"/>
      <c r="AE260" s="287"/>
      <c r="AF260" s="287"/>
      <c r="AG260" s="287"/>
      <c r="AH260" s="287"/>
      <c r="AI260" s="287"/>
      <c r="AJ260" s="287"/>
      <c r="AK260" s="287"/>
      <c r="AL260" s="287"/>
      <c r="AM260" s="287"/>
      <c r="AN260" s="287"/>
      <c r="AO260" s="287"/>
      <c r="AP260" s="287"/>
      <c r="AQ260" s="287"/>
      <c r="AR260" s="287"/>
      <c r="AS260" s="287"/>
      <c r="AT260" s="287"/>
      <c r="AU260" s="287"/>
      <c r="AV260" s="287"/>
      <c r="AW260" s="287"/>
      <c r="AX260" s="287"/>
      <c r="AY260" s="287"/>
      <c r="AZ260" s="287"/>
      <c r="BA260" s="287"/>
      <c r="BB260" s="287"/>
      <c r="BC260" s="287"/>
    </row>
    <row r="261" ht="15.75" customHeight="1">
      <c r="A261" s="287"/>
      <c r="B261" s="287"/>
      <c r="C261" s="287"/>
      <c r="D261" s="287"/>
      <c r="E261" s="287"/>
      <c r="F261" s="287"/>
      <c r="G261" s="287"/>
      <c r="H261" s="287"/>
      <c r="I261" s="287"/>
      <c r="J261" s="287"/>
      <c r="K261" s="287"/>
      <c r="L261" s="287"/>
      <c r="M261" s="287"/>
      <c r="N261" s="287"/>
      <c r="O261" s="287"/>
      <c r="P261" s="287"/>
      <c r="Q261" s="287"/>
      <c r="R261" s="287"/>
      <c r="S261" s="287"/>
      <c r="T261" s="287"/>
      <c r="U261" s="287"/>
      <c r="V261" s="287"/>
      <c r="W261" s="287"/>
      <c r="X261" s="287"/>
      <c r="Y261" s="287"/>
      <c r="Z261" s="287"/>
      <c r="AA261" s="287"/>
      <c r="AB261" s="287"/>
      <c r="AC261" s="287"/>
      <c r="AD261" s="287"/>
      <c r="AE261" s="287"/>
      <c r="AF261" s="287"/>
      <c r="AG261" s="287"/>
      <c r="AH261" s="287"/>
      <c r="AI261" s="287"/>
      <c r="AJ261" s="287"/>
      <c r="AK261" s="287"/>
      <c r="AL261" s="287"/>
      <c r="AM261" s="287"/>
      <c r="AN261" s="287"/>
      <c r="AO261" s="287"/>
      <c r="AP261" s="287"/>
      <c r="AQ261" s="287"/>
      <c r="AR261" s="287"/>
      <c r="AS261" s="287"/>
      <c r="AT261" s="287"/>
      <c r="AU261" s="287"/>
      <c r="AV261" s="287"/>
      <c r="AW261" s="287"/>
      <c r="AX261" s="287"/>
      <c r="AY261" s="287"/>
      <c r="AZ261" s="287"/>
      <c r="BA261" s="287"/>
      <c r="BB261" s="287"/>
      <c r="BC261" s="287"/>
    </row>
    <row r="262" ht="15.75" customHeight="1">
      <c r="A262" s="287"/>
      <c r="B262" s="287"/>
      <c r="C262" s="287"/>
      <c r="D262" s="287"/>
      <c r="E262" s="287"/>
      <c r="F262" s="287"/>
      <c r="G262" s="287"/>
      <c r="H262" s="287"/>
      <c r="I262" s="287"/>
      <c r="J262" s="287"/>
      <c r="K262" s="287"/>
      <c r="L262" s="287"/>
      <c r="M262" s="287"/>
      <c r="N262" s="287"/>
      <c r="O262" s="287"/>
      <c r="P262" s="287"/>
      <c r="Q262" s="287"/>
      <c r="R262" s="287"/>
      <c r="S262" s="287"/>
      <c r="T262" s="287"/>
      <c r="U262" s="287"/>
      <c r="V262" s="287"/>
      <c r="W262" s="287"/>
      <c r="X262" s="287"/>
      <c r="Y262" s="287"/>
      <c r="Z262" s="287"/>
      <c r="AA262" s="287"/>
      <c r="AB262" s="287"/>
      <c r="AC262" s="287"/>
      <c r="AD262" s="287"/>
      <c r="AE262" s="287"/>
      <c r="AF262" s="287"/>
      <c r="AG262" s="287"/>
      <c r="AH262" s="287"/>
      <c r="AI262" s="287"/>
      <c r="AJ262" s="287"/>
      <c r="AK262" s="287"/>
      <c r="AL262" s="287"/>
      <c r="AM262" s="287"/>
      <c r="AN262" s="287"/>
      <c r="AO262" s="287"/>
      <c r="AP262" s="287"/>
      <c r="AQ262" s="287"/>
      <c r="AR262" s="287"/>
      <c r="AS262" s="287"/>
      <c r="AT262" s="287"/>
      <c r="AU262" s="287"/>
      <c r="AV262" s="287"/>
      <c r="AW262" s="287"/>
      <c r="AX262" s="287"/>
      <c r="AY262" s="287"/>
      <c r="AZ262" s="287"/>
      <c r="BA262" s="287"/>
      <c r="BB262" s="287"/>
      <c r="BC262" s="287"/>
    </row>
    <row r="263" ht="15.75" customHeight="1">
      <c r="A263" s="287"/>
      <c r="B263" s="287"/>
      <c r="C263" s="287"/>
      <c r="D263" s="287"/>
      <c r="E263" s="287"/>
      <c r="F263" s="287"/>
      <c r="G263" s="287"/>
      <c r="H263" s="287"/>
      <c r="I263" s="287"/>
      <c r="J263" s="287"/>
      <c r="K263" s="287"/>
      <c r="L263" s="287"/>
      <c r="M263" s="287"/>
      <c r="N263" s="287"/>
      <c r="O263" s="287"/>
      <c r="P263" s="287"/>
      <c r="Q263" s="287"/>
      <c r="R263" s="287"/>
      <c r="S263" s="287"/>
      <c r="T263" s="287"/>
      <c r="U263" s="287"/>
      <c r="V263" s="287"/>
      <c r="W263" s="287"/>
      <c r="X263" s="287"/>
      <c r="Y263" s="287"/>
      <c r="Z263" s="287"/>
      <c r="AA263" s="287"/>
      <c r="AB263" s="287"/>
      <c r="AC263" s="287"/>
      <c r="AD263" s="287"/>
      <c r="AE263" s="287"/>
      <c r="AF263" s="287"/>
      <c r="AG263" s="287"/>
      <c r="AH263" s="287"/>
      <c r="AI263" s="287"/>
      <c r="AJ263" s="287"/>
      <c r="AK263" s="287"/>
      <c r="AL263" s="287"/>
      <c r="AM263" s="287"/>
      <c r="AN263" s="287"/>
      <c r="AO263" s="287"/>
      <c r="AP263" s="287"/>
      <c r="AQ263" s="287"/>
      <c r="AR263" s="287"/>
      <c r="AS263" s="287"/>
      <c r="AT263" s="287"/>
      <c r="AU263" s="287"/>
      <c r="AV263" s="287"/>
      <c r="AW263" s="287"/>
      <c r="AX263" s="287"/>
      <c r="AY263" s="287"/>
      <c r="AZ263" s="287"/>
      <c r="BA263" s="287"/>
      <c r="BB263" s="287"/>
      <c r="BC263" s="287"/>
    </row>
    <row r="264" ht="15.75" customHeight="1">
      <c r="A264" s="287"/>
      <c r="B264" s="287"/>
      <c r="C264" s="287"/>
      <c r="D264" s="287"/>
      <c r="E264" s="287"/>
      <c r="F264" s="287"/>
      <c r="G264" s="287"/>
      <c r="H264" s="287"/>
      <c r="I264" s="287"/>
      <c r="J264" s="287"/>
      <c r="K264" s="287"/>
      <c r="L264" s="287"/>
      <c r="M264" s="287"/>
      <c r="N264" s="287"/>
      <c r="O264" s="287"/>
      <c r="P264" s="287"/>
      <c r="Q264" s="287"/>
      <c r="R264" s="287"/>
      <c r="S264" s="287"/>
      <c r="T264" s="287"/>
      <c r="U264" s="287"/>
      <c r="V264" s="287"/>
      <c r="W264" s="287"/>
      <c r="X264" s="287"/>
      <c r="Y264" s="287"/>
      <c r="Z264" s="287"/>
      <c r="AA264" s="287"/>
      <c r="AB264" s="287"/>
      <c r="AC264" s="287"/>
      <c r="AD264" s="287"/>
      <c r="AE264" s="287"/>
      <c r="AF264" s="287"/>
      <c r="AG264" s="287"/>
      <c r="AH264" s="287"/>
      <c r="AI264" s="287"/>
      <c r="AJ264" s="287"/>
      <c r="AK264" s="287"/>
      <c r="AL264" s="287"/>
      <c r="AM264" s="287"/>
      <c r="AN264" s="287"/>
      <c r="AO264" s="287"/>
      <c r="AP264" s="287"/>
      <c r="AQ264" s="287"/>
      <c r="AR264" s="287"/>
      <c r="AS264" s="287"/>
      <c r="AT264" s="287"/>
      <c r="AU264" s="287"/>
      <c r="AV264" s="287"/>
      <c r="AW264" s="287"/>
      <c r="AX264" s="287"/>
      <c r="AY264" s="287"/>
      <c r="AZ264" s="287"/>
      <c r="BA264" s="287"/>
      <c r="BB264" s="287"/>
      <c r="BC264" s="287"/>
    </row>
    <row r="265" ht="15.75" customHeight="1">
      <c r="A265" s="287"/>
      <c r="B265" s="287"/>
      <c r="C265" s="287"/>
      <c r="D265" s="287"/>
      <c r="E265" s="287"/>
      <c r="F265" s="287"/>
      <c r="G265" s="287"/>
      <c r="H265" s="287"/>
      <c r="I265" s="287"/>
      <c r="J265" s="287"/>
      <c r="K265" s="287"/>
      <c r="L265" s="287"/>
      <c r="M265" s="287"/>
      <c r="N265" s="287"/>
      <c r="O265" s="287"/>
      <c r="P265" s="287"/>
      <c r="Q265" s="287"/>
      <c r="R265" s="287"/>
      <c r="S265" s="287"/>
      <c r="T265" s="287"/>
      <c r="U265" s="287"/>
      <c r="V265" s="287"/>
      <c r="W265" s="287"/>
      <c r="X265" s="287"/>
      <c r="Y265" s="287"/>
      <c r="Z265" s="287"/>
      <c r="AA265" s="287"/>
      <c r="AB265" s="287"/>
      <c r="AC265" s="287"/>
      <c r="AD265" s="287"/>
      <c r="AE265" s="287"/>
      <c r="AF265" s="287"/>
      <c r="AG265" s="287"/>
      <c r="AH265" s="287"/>
      <c r="AI265" s="287"/>
      <c r="AJ265" s="287"/>
      <c r="AK265" s="287"/>
      <c r="AL265" s="287"/>
      <c r="AM265" s="287"/>
      <c r="AN265" s="287"/>
      <c r="AO265" s="287"/>
      <c r="AP265" s="287"/>
      <c r="AQ265" s="287"/>
      <c r="AR265" s="287"/>
      <c r="AS265" s="287"/>
      <c r="AT265" s="287"/>
      <c r="AU265" s="287"/>
      <c r="AV265" s="287"/>
      <c r="AW265" s="287"/>
      <c r="AX265" s="287"/>
      <c r="AY265" s="287"/>
      <c r="AZ265" s="287"/>
      <c r="BA265" s="287"/>
      <c r="BB265" s="287"/>
      <c r="BC265" s="287"/>
    </row>
    <row r="266" ht="15.75" customHeight="1">
      <c r="A266" s="287"/>
      <c r="B266" s="287"/>
      <c r="C266" s="287"/>
      <c r="D266" s="287"/>
      <c r="E266" s="287"/>
      <c r="F266" s="287"/>
      <c r="G266" s="287"/>
      <c r="H266" s="287"/>
      <c r="I266" s="287"/>
      <c r="J266" s="287"/>
      <c r="K266" s="287"/>
      <c r="L266" s="287"/>
      <c r="M266" s="287"/>
      <c r="N266" s="287"/>
      <c r="O266" s="287"/>
      <c r="P266" s="287"/>
      <c r="Q266" s="287"/>
      <c r="R266" s="287"/>
      <c r="S266" s="287"/>
      <c r="T266" s="287"/>
      <c r="U266" s="287"/>
      <c r="V266" s="287"/>
      <c r="W266" s="287"/>
      <c r="X266" s="287"/>
      <c r="Y266" s="287"/>
      <c r="Z266" s="287"/>
      <c r="AA266" s="287"/>
      <c r="AB266" s="287"/>
      <c r="AC266" s="287"/>
      <c r="AD266" s="287"/>
      <c r="AE266" s="287"/>
      <c r="AF266" s="287"/>
      <c r="AG266" s="287"/>
      <c r="AH266" s="287"/>
      <c r="AI266" s="287"/>
      <c r="AJ266" s="287"/>
      <c r="AK266" s="287"/>
      <c r="AL266" s="287"/>
      <c r="AM266" s="287"/>
      <c r="AN266" s="287"/>
      <c r="AO266" s="287"/>
      <c r="AP266" s="287"/>
      <c r="AQ266" s="287"/>
      <c r="AR266" s="287"/>
      <c r="AS266" s="287"/>
      <c r="AT266" s="287"/>
      <c r="AU266" s="287"/>
      <c r="AV266" s="287"/>
      <c r="AW266" s="287"/>
      <c r="AX266" s="287"/>
      <c r="AY266" s="287"/>
      <c r="AZ266" s="287"/>
      <c r="BA266" s="287"/>
      <c r="BB266" s="287"/>
      <c r="BC266" s="287"/>
    </row>
    <row r="267" ht="15.75" customHeight="1">
      <c r="A267" s="287"/>
      <c r="B267" s="287"/>
      <c r="C267" s="287"/>
      <c r="D267" s="287"/>
      <c r="E267" s="287"/>
      <c r="F267" s="287"/>
      <c r="G267" s="287"/>
      <c r="H267" s="287"/>
      <c r="I267" s="287"/>
      <c r="J267" s="287"/>
      <c r="K267" s="287"/>
      <c r="L267" s="287"/>
      <c r="M267" s="287"/>
      <c r="N267" s="287"/>
      <c r="O267" s="287"/>
      <c r="P267" s="287"/>
      <c r="Q267" s="287"/>
      <c r="R267" s="287"/>
      <c r="S267" s="287"/>
      <c r="T267" s="287"/>
      <c r="U267" s="287"/>
      <c r="V267" s="287"/>
      <c r="W267" s="287"/>
      <c r="X267" s="287"/>
      <c r="Y267" s="287"/>
      <c r="Z267" s="287"/>
      <c r="AA267" s="287"/>
      <c r="AB267" s="287"/>
      <c r="AC267" s="287"/>
      <c r="AD267" s="287"/>
      <c r="AE267" s="287"/>
      <c r="AF267" s="287"/>
      <c r="AG267" s="287"/>
      <c r="AH267" s="287"/>
      <c r="AI267" s="287"/>
      <c r="AJ267" s="287"/>
      <c r="AK267" s="287"/>
      <c r="AL267" s="287"/>
      <c r="AM267" s="287"/>
      <c r="AN267" s="287"/>
      <c r="AO267" s="287"/>
      <c r="AP267" s="287"/>
      <c r="AQ267" s="287"/>
      <c r="AR267" s="287"/>
      <c r="AS267" s="287"/>
      <c r="AT267" s="287"/>
      <c r="AU267" s="287"/>
      <c r="AV267" s="287"/>
      <c r="AW267" s="287"/>
      <c r="AX267" s="287"/>
      <c r="AY267" s="287"/>
      <c r="AZ267" s="287"/>
      <c r="BA267" s="287"/>
      <c r="BB267" s="287"/>
      <c r="BC267" s="287"/>
    </row>
    <row r="268" ht="15.75" customHeight="1">
      <c r="A268" s="287"/>
      <c r="B268" s="287"/>
      <c r="C268" s="287"/>
      <c r="D268" s="287"/>
      <c r="E268" s="287"/>
      <c r="F268" s="287"/>
      <c r="G268" s="287"/>
      <c r="H268" s="287"/>
      <c r="I268" s="287"/>
      <c r="J268" s="287"/>
      <c r="K268" s="287"/>
      <c r="L268" s="287"/>
      <c r="M268" s="287"/>
      <c r="N268" s="287"/>
      <c r="O268" s="287"/>
      <c r="P268" s="287"/>
      <c r="Q268" s="287"/>
      <c r="R268" s="287"/>
      <c r="S268" s="287"/>
      <c r="T268" s="287"/>
      <c r="U268" s="287"/>
      <c r="V268" s="287"/>
      <c r="W268" s="287"/>
      <c r="X268" s="287"/>
      <c r="Y268" s="287"/>
      <c r="Z268" s="287"/>
      <c r="AA268" s="287"/>
      <c r="AB268" s="287"/>
      <c r="AC268" s="287"/>
      <c r="AD268" s="287"/>
      <c r="AE268" s="287"/>
      <c r="AF268" s="287"/>
      <c r="AG268" s="287"/>
      <c r="AH268" s="287"/>
      <c r="AI268" s="287"/>
      <c r="AJ268" s="287"/>
      <c r="AK268" s="287"/>
      <c r="AL268" s="287"/>
      <c r="AM268" s="287"/>
      <c r="AN268" s="287"/>
      <c r="AO268" s="287"/>
      <c r="AP268" s="287"/>
      <c r="AQ268" s="287"/>
      <c r="AR268" s="287"/>
      <c r="AS268" s="287"/>
      <c r="AT268" s="287"/>
      <c r="AU268" s="287"/>
      <c r="AV268" s="287"/>
      <c r="AW268" s="287"/>
      <c r="AX268" s="287"/>
      <c r="AY268" s="287"/>
      <c r="AZ268" s="287"/>
      <c r="BA268" s="287"/>
      <c r="BB268" s="287"/>
      <c r="BC268" s="287"/>
    </row>
    <row r="269" ht="15.75" customHeight="1">
      <c r="A269" s="287"/>
      <c r="B269" s="287"/>
      <c r="C269" s="287"/>
      <c r="D269" s="287"/>
      <c r="E269" s="287"/>
      <c r="F269" s="287"/>
      <c r="G269" s="287"/>
      <c r="H269" s="287"/>
      <c r="I269" s="287"/>
      <c r="J269" s="287"/>
      <c r="K269" s="287"/>
      <c r="L269" s="287"/>
      <c r="M269" s="287"/>
      <c r="N269" s="287"/>
      <c r="O269" s="287"/>
      <c r="P269" s="287"/>
      <c r="Q269" s="287"/>
      <c r="R269" s="287"/>
      <c r="S269" s="287"/>
      <c r="T269" s="287"/>
      <c r="U269" s="287"/>
      <c r="V269" s="287"/>
      <c r="W269" s="287"/>
      <c r="X269" s="287"/>
      <c r="Y269" s="287"/>
      <c r="Z269" s="287"/>
      <c r="AA269" s="287"/>
      <c r="AB269" s="287"/>
      <c r="AC269" s="287"/>
      <c r="AD269" s="287"/>
      <c r="AE269" s="287"/>
      <c r="AF269" s="287"/>
      <c r="AG269" s="287"/>
      <c r="AH269" s="287"/>
      <c r="AI269" s="287"/>
      <c r="AJ269" s="287"/>
      <c r="AK269" s="287"/>
      <c r="AL269" s="287"/>
      <c r="AM269" s="287"/>
      <c r="AN269" s="287"/>
      <c r="AO269" s="287"/>
      <c r="AP269" s="287"/>
      <c r="AQ269" s="287"/>
      <c r="AR269" s="287"/>
      <c r="AS269" s="287"/>
      <c r="AT269" s="287"/>
      <c r="AU269" s="287"/>
      <c r="AV269" s="287"/>
      <c r="AW269" s="287"/>
      <c r="AX269" s="287"/>
      <c r="AY269" s="287"/>
      <c r="AZ269" s="287"/>
      <c r="BA269" s="287"/>
      <c r="BB269" s="287"/>
      <c r="BC269" s="287"/>
    </row>
    <row r="270" ht="15.75" customHeight="1">
      <c r="A270" s="287"/>
      <c r="B270" s="287"/>
      <c r="C270" s="287"/>
      <c r="D270" s="287"/>
      <c r="E270" s="287"/>
      <c r="F270" s="287"/>
      <c r="G270" s="287"/>
      <c r="H270" s="287"/>
      <c r="I270" s="287"/>
      <c r="J270" s="287"/>
      <c r="K270" s="287"/>
      <c r="L270" s="287"/>
      <c r="M270" s="287"/>
      <c r="N270" s="287"/>
      <c r="O270" s="287"/>
      <c r="P270" s="287"/>
      <c r="Q270" s="287"/>
      <c r="R270" s="287"/>
      <c r="S270" s="287"/>
      <c r="T270" s="287"/>
      <c r="U270" s="287"/>
      <c r="V270" s="287"/>
      <c r="W270" s="287"/>
      <c r="X270" s="287"/>
      <c r="Y270" s="287"/>
      <c r="Z270" s="287"/>
      <c r="AA270" s="287"/>
      <c r="AB270" s="287"/>
      <c r="AC270" s="287"/>
      <c r="AD270" s="287"/>
      <c r="AE270" s="287"/>
      <c r="AF270" s="287"/>
      <c r="AG270" s="287"/>
      <c r="AH270" s="287"/>
      <c r="AI270" s="287"/>
      <c r="AJ270" s="287"/>
      <c r="AK270" s="287"/>
      <c r="AL270" s="287"/>
      <c r="AM270" s="287"/>
      <c r="AN270" s="287"/>
      <c r="AO270" s="287"/>
      <c r="AP270" s="287"/>
      <c r="AQ270" s="287"/>
      <c r="AR270" s="287"/>
      <c r="AS270" s="287"/>
      <c r="AT270" s="287"/>
      <c r="AU270" s="287"/>
      <c r="AV270" s="287"/>
      <c r="AW270" s="287"/>
      <c r="AX270" s="287"/>
      <c r="AY270" s="287"/>
      <c r="AZ270" s="287"/>
      <c r="BA270" s="287"/>
      <c r="BB270" s="287"/>
      <c r="BC270" s="287"/>
    </row>
    <row r="271" ht="15.75" customHeight="1">
      <c r="A271" s="287"/>
      <c r="B271" s="287"/>
      <c r="C271" s="287"/>
      <c r="D271" s="287"/>
      <c r="E271" s="287"/>
      <c r="F271" s="287"/>
      <c r="G271" s="287"/>
      <c r="H271" s="287"/>
      <c r="I271" s="287"/>
      <c r="J271" s="287"/>
      <c r="K271" s="287"/>
      <c r="L271" s="287"/>
      <c r="M271" s="287"/>
      <c r="N271" s="287"/>
      <c r="O271" s="287"/>
      <c r="P271" s="287"/>
      <c r="Q271" s="287"/>
      <c r="R271" s="287"/>
      <c r="S271" s="287"/>
      <c r="T271" s="287"/>
      <c r="U271" s="287"/>
      <c r="V271" s="287"/>
      <c r="W271" s="287"/>
      <c r="X271" s="287"/>
      <c r="Y271" s="287"/>
      <c r="Z271" s="287"/>
      <c r="AA271" s="287"/>
      <c r="AB271" s="287"/>
      <c r="AC271" s="287"/>
      <c r="AD271" s="287"/>
      <c r="AE271" s="287"/>
      <c r="AF271" s="287"/>
      <c r="AG271" s="287"/>
      <c r="AH271" s="287"/>
      <c r="AI271" s="287"/>
      <c r="AJ271" s="287"/>
      <c r="AK271" s="287"/>
      <c r="AL271" s="287"/>
      <c r="AM271" s="287"/>
      <c r="AN271" s="287"/>
      <c r="AO271" s="287"/>
      <c r="AP271" s="287"/>
      <c r="AQ271" s="287"/>
      <c r="AR271" s="287"/>
      <c r="AS271" s="287"/>
      <c r="AT271" s="287"/>
      <c r="AU271" s="287"/>
      <c r="AV271" s="287"/>
      <c r="AW271" s="287"/>
      <c r="AX271" s="287"/>
      <c r="AY271" s="287"/>
      <c r="AZ271" s="287"/>
      <c r="BA271" s="287"/>
      <c r="BB271" s="287"/>
      <c r="BC271" s="287"/>
    </row>
    <row r="272" ht="15.75" customHeight="1">
      <c r="A272" s="287"/>
      <c r="B272" s="287"/>
      <c r="C272" s="287"/>
      <c r="D272" s="287"/>
      <c r="E272" s="287"/>
      <c r="F272" s="287"/>
      <c r="G272" s="287"/>
      <c r="H272" s="287"/>
      <c r="I272" s="287"/>
      <c r="J272" s="287"/>
      <c r="K272" s="287"/>
      <c r="L272" s="287"/>
      <c r="M272" s="287"/>
      <c r="N272" s="287"/>
      <c r="O272" s="287"/>
      <c r="P272" s="287"/>
      <c r="Q272" s="287"/>
      <c r="R272" s="287"/>
      <c r="S272" s="287"/>
      <c r="T272" s="287"/>
      <c r="U272" s="287"/>
      <c r="V272" s="287"/>
      <c r="W272" s="287"/>
      <c r="X272" s="287"/>
      <c r="Y272" s="287"/>
      <c r="Z272" s="287"/>
      <c r="AA272" s="287"/>
      <c r="AB272" s="287"/>
      <c r="AC272" s="287"/>
      <c r="AD272" s="287"/>
      <c r="AE272" s="287"/>
      <c r="AF272" s="287"/>
      <c r="AG272" s="287"/>
      <c r="AH272" s="287"/>
      <c r="AI272" s="287"/>
      <c r="AJ272" s="287"/>
      <c r="AK272" s="287"/>
      <c r="AL272" s="287"/>
      <c r="AM272" s="287"/>
      <c r="AN272" s="287"/>
      <c r="AO272" s="287"/>
      <c r="AP272" s="287"/>
      <c r="AQ272" s="287"/>
      <c r="AR272" s="287"/>
      <c r="AS272" s="287"/>
      <c r="AT272" s="287"/>
      <c r="AU272" s="287"/>
      <c r="AV272" s="287"/>
      <c r="AW272" s="287"/>
      <c r="AX272" s="287"/>
      <c r="AY272" s="287"/>
      <c r="AZ272" s="287"/>
      <c r="BA272" s="287"/>
      <c r="BB272" s="287"/>
      <c r="BC272" s="287"/>
    </row>
    <row r="273" ht="15.75" customHeight="1">
      <c r="A273" s="287"/>
      <c r="B273" s="287"/>
      <c r="C273" s="287"/>
      <c r="D273" s="287"/>
      <c r="E273" s="287"/>
      <c r="F273" s="287"/>
      <c r="G273" s="287"/>
      <c r="H273" s="287"/>
      <c r="I273" s="287"/>
      <c r="J273" s="287"/>
      <c r="K273" s="287"/>
      <c r="L273" s="287"/>
      <c r="M273" s="287"/>
      <c r="N273" s="287"/>
      <c r="O273" s="287"/>
      <c r="P273" s="287"/>
      <c r="Q273" s="287"/>
      <c r="R273" s="287"/>
      <c r="S273" s="287"/>
      <c r="T273" s="287"/>
      <c r="U273" s="287"/>
      <c r="V273" s="287"/>
      <c r="W273" s="287"/>
      <c r="X273" s="287"/>
      <c r="Y273" s="287"/>
      <c r="Z273" s="287"/>
      <c r="AA273" s="287"/>
      <c r="AB273" s="287"/>
      <c r="AC273" s="287"/>
      <c r="AD273" s="287"/>
      <c r="AE273" s="287"/>
      <c r="AF273" s="287"/>
      <c r="AG273" s="287"/>
      <c r="AH273" s="287"/>
      <c r="AI273" s="287"/>
      <c r="AJ273" s="287"/>
      <c r="AK273" s="287"/>
      <c r="AL273" s="287"/>
      <c r="AM273" s="287"/>
      <c r="AN273" s="287"/>
      <c r="AO273" s="287"/>
      <c r="AP273" s="287"/>
      <c r="AQ273" s="287"/>
      <c r="AR273" s="287"/>
      <c r="AS273" s="287"/>
      <c r="AT273" s="287"/>
      <c r="AU273" s="287"/>
      <c r="AV273" s="287"/>
      <c r="AW273" s="287"/>
      <c r="AX273" s="287"/>
      <c r="AY273" s="287"/>
      <c r="AZ273" s="287"/>
      <c r="BA273" s="287"/>
      <c r="BB273" s="287"/>
      <c r="BC273" s="287"/>
    </row>
    <row r="274" ht="15.75" customHeight="1">
      <c r="A274" s="287"/>
      <c r="B274" s="287"/>
      <c r="C274" s="287"/>
      <c r="D274" s="287"/>
      <c r="E274" s="287"/>
      <c r="F274" s="287"/>
      <c r="G274" s="287"/>
      <c r="H274" s="287"/>
      <c r="I274" s="287"/>
      <c r="J274" s="287"/>
      <c r="K274" s="287"/>
      <c r="L274" s="287"/>
      <c r="M274" s="287"/>
      <c r="N274" s="287"/>
      <c r="O274" s="287"/>
      <c r="P274" s="287"/>
      <c r="Q274" s="287"/>
      <c r="R274" s="287"/>
      <c r="S274" s="287"/>
      <c r="T274" s="287"/>
      <c r="U274" s="287"/>
      <c r="V274" s="287"/>
      <c r="W274" s="287"/>
      <c r="X274" s="287"/>
      <c r="Y274" s="287"/>
      <c r="Z274" s="287"/>
      <c r="AA274" s="287"/>
      <c r="AB274" s="287"/>
      <c r="AC274" s="287"/>
      <c r="AD274" s="287"/>
      <c r="AE274" s="287"/>
      <c r="AF274" s="287"/>
      <c r="AG274" s="287"/>
      <c r="AH274" s="287"/>
      <c r="AI274" s="287"/>
      <c r="AJ274" s="287"/>
      <c r="AK274" s="287"/>
      <c r="AL274" s="287"/>
      <c r="AM274" s="287"/>
      <c r="AN274" s="287"/>
      <c r="AO274" s="287"/>
      <c r="AP274" s="287"/>
      <c r="AQ274" s="287"/>
      <c r="AR274" s="287"/>
      <c r="AS274" s="287"/>
      <c r="AT274" s="287"/>
      <c r="AU274" s="287"/>
      <c r="AV274" s="287"/>
      <c r="AW274" s="287"/>
      <c r="AX274" s="287"/>
      <c r="AY274" s="287"/>
      <c r="AZ274" s="287"/>
      <c r="BA274" s="287"/>
      <c r="BB274" s="287"/>
      <c r="BC274" s="287"/>
    </row>
    <row r="275" ht="15.75" customHeight="1">
      <c r="A275" s="287"/>
      <c r="B275" s="287"/>
      <c r="C275" s="287"/>
      <c r="D275" s="287"/>
      <c r="E275" s="287"/>
      <c r="F275" s="287"/>
      <c r="G275" s="287"/>
      <c r="H275" s="287"/>
      <c r="I275" s="287"/>
      <c r="J275" s="287"/>
      <c r="K275" s="287"/>
      <c r="L275" s="287"/>
      <c r="M275" s="287"/>
      <c r="N275" s="287"/>
      <c r="O275" s="287"/>
      <c r="P275" s="287"/>
      <c r="Q275" s="287"/>
      <c r="R275" s="287"/>
      <c r="S275" s="287"/>
      <c r="T275" s="287"/>
      <c r="U275" s="287"/>
      <c r="V275" s="287"/>
      <c r="W275" s="287"/>
      <c r="X275" s="287"/>
      <c r="Y275" s="287"/>
      <c r="Z275" s="287"/>
      <c r="AA275" s="287"/>
      <c r="AB275" s="287"/>
      <c r="AC275" s="287"/>
      <c r="AD275" s="287"/>
      <c r="AE275" s="287"/>
      <c r="AF275" s="287"/>
      <c r="AG275" s="287"/>
      <c r="AH275" s="287"/>
      <c r="AI275" s="287"/>
      <c r="AJ275" s="287"/>
      <c r="AK275" s="287"/>
      <c r="AL275" s="287"/>
      <c r="AM275" s="287"/>
      <c r="AN275" s="287"/>
      <c r="AO275" s="287"/>
      <c r="AP275" s="287"/>
      <c r="AQ275" s="287"/>
      <c r="AR275" s="287"/>
      <c r="AS275" s="287"/>
      <c r="AT275" s="287"/>
      <c r="AU275" s="287"/>
      <c r="AV275" s="287"/>
      <c r="AW275" s="287"/>
      <c r="AX275" s="287"/>
      <c r="AY275" s="287"/>
      <c r="AZ275" s="287"/>
      <c r="BA275" s="287"/>
      <c r="BB275" s="287"/>
      <c r="BC275" s="287"/>
    </row>
    <row r="276" ht="15.75" customHeight="1">
      <c r="A276" s="287"/>
      <c r="B276" s="287"/>
      <c r="C276" s="287"/>
      <c r="D276" s="287"/>
      <c r="E276" s="287"/>
      <c r="F276" s="287"/>
      <c r="G276" s="287"/>
      <c r="H276" s="287"/>
      <c r="I276" s="287"/>
      <c r="J276" s="287"/>
      <c r="K276" s="287"/>
      <c r="L276" s="287"/>
      <c r="M276" s="287"/>
      <c r="N276" s="287"/>
      <c r="O276" s="287"/>
      <c r="P276" s="287"/>
      <c r="Q276" s="287"/>
      <c r="R276" s="287"/>
      <c r="S276" s="287"/>
      <c r="T276" s="287"/>
      <c r="U276" s="287"/>
      <c r="V276" s="287"/>
      <c r="W276" s="287"/>
      <c r="X276" s="287"/>
      <c r="Y276" s="287"/>
      <c r="Z276" s="287"/>
      <c r="AA276" s="287"/>
      <c r="AB276" s="287"/>
      <c r="AC276" s="287"/>
      <c r="AD276" s="287"/>
      <c r="AE276" s="287"/>
      <c r="AF276" s="287"/>
      <c r="AG276" s="287"/>
      <c r="AH276" s="287"/>
      <c r="AI276" s="287"/>
      <c r="AJ276" s="287"/>
      <c r="AK276" s="287"/>
      <c r="AL276" s="287"/>
      <c r="AM276" s="287"/>
      <c r="AN276" s="287"/>
      <c r="AO276" s="287"/>
      <c r="AP276" s="287"/>
      <c r="AQ276" s="287"/>
      <c r="AR276" s="287"/>
      <c r="AS276" s="287"/>
      <c r="AT276" s="287"/>
      <c r="AU276" s="287"/>
      <c r="AV276" s="287"/>
      <c r="AW276" s="287"/>
      <c r="AX276" s="287"/>
      <c r="AY276" s="287"/>
      <c r="AZ276" s="287"/>
      <c r="BA276" s="287"/>
      <c r="BB276" s="287"/>
      <c r="BC276" s="287"/>
    </row>
    <row r="277" ht="15.75" customHeight="1">
      <c r="A277" s="287"/>
      <c r="B277" s="287"/>
      <c r="C277" s="287"/>
      <c r="D277" s="287"/>
      <c r="E277" s="287"/>
      <c r="F277" s="287"/>
      <c r="G277" s="287"/>
      <c r="H277" s="287"/>
      <c r="I277" s="287"/>
      <c r="J277" s="287"/>
      <c r="K277" s="287"/>
      <c r="L277" s="287"/>
      <c r="M277" s="287"/>
      <c r="N277" s="287"/>
      <c r="O277" s="287"/>
      <c r="P277" s="287"/>
      <c r="Q277" s="287"/>
      <c r="R277" s="287"/>
      <c r="S277" s="287"/>
      <c r="T277" s="287"/>
      <c r="U277" s="287"/>
      <c r="V277" s="287"/>
      <c r="W277" s="287"/>
      <c r="X277" s="287"/>
      <c r="Y277" s="287"/>
      <c r="Z277" s="287"/>
      <c r="AA277" s="287"/>
      <c r="AB277" s="287"/>
      <c r="AC277" s="287"/>
      <c r="AD277" s="287"/>
      <c r="AE277" s="287"/>
      <c r="AF277" s="287"/>
      <c r="AG277" s="287"/>
      <c r="AH277" s="287"/>
      <c r="AI277" s="287"/>
      <c r="AJ277" s="287"/>
      <c r="AK277" s="287"/>
      <c r="AL277" s="287"/>
      <c r="AM277" s="287"/>
      <c r="AN277" s="287"/>
      <c r="AO277" s="287"/>
      <c r="AP277" s="287"/>
      <c r="AQ277" s="287"/>
      <c r="AR277" s="287"/>
      <c r="AS277" s="287"/>
      <c r="AT277" s="287"/>
      <c r="AU277" s="287"/>
      <c r="AV277" s="287"/>
      <c r="AW277" s="287"/>
      <c r="AX277" s="287"/>
      <c r="AY277" s="287"/>
      <c r="AZ277" s="287"/>
      <c r="BA277" s="287"/>
      <c r="BB277" s="287"/>
      <c r="BC277" s="287"/>
    </row>
    <row r="278" ht="15.75" customHeight="1">
      <c r="A278" s="287"/>
      <c r="B278" s="287"/>
      <c r="C278" s="287"/>
      <c r="D278" s="287"/>
      <c r="E278" s="287"/>
      <c r="F278" s="287"/>
      <c r="G278" s="287"/>
      <c r="H278" s="287"/>
      <c r="I278" s="287"/>
      <c r="J278" s="287"/>
      <c r="K278" s="287"/>
      <c r="L278" s="287"/>
      <c r="M278" s="287"/>
      <c r="N278" s="287"/>
      <c r="O278" s="287"/>
      <c r="P278" s="287"/>
      <c r="Q278" s="287"/>
      <c r="R278" s="287"/>
      <c r="S278" s="287"/>
      <c r="T278" s="287"/>
      <c r="U278" s="287"/>
      <c r="V278" s="287"/>
      <c r="W278" s="287"/>
      <c r="X278" s="287"/>
      <c r="Y278" s="287"/>
      <c r="Z278" s="287"/>
      <c r="AA278" s="287"/>
      <c r="AB278" s="287"/>
      <c r="AC278" s="287"/>
      <c r="AD278" s="287"/>
      <c r="AE278" s="287"/>
      <c r="AF278" s="287"/>
      <c r="AG278" s="287"/>
      <c r="AH278" s="287"/>
      <c r="AI278" s="287"/>
      <c r="AJ278" s="287"/>
      <c r="AK278" s="287"/>
      <c r="AL278" s="287"/>
      <c r="AM278" s="287"/>
      <c r="AN278" s="287"/>
      <c r="AO278" s="287"/>
      <c r="AP278" s="287"/>
      <c r="AQ278" s="287"/>
      <c r="AR278" s="287"/>
      <c r="AS278" s="287"/>
      <c r="AT278" s="287"/>
      <c r="AU278" s="287"/>
      <c r="AV278" s="287"/>
      <c r="AW278" s="287"/>
      <c r="AX278" s="287"/>
      <c r="AY278" s="287"/>
      <c r="AZ278" s="287"/>
      <c r="BA278" s="287"/>
      <c r="BB278" s="287"/>
      <c r="BC278" s="287"/>
    </row>
    <row r="279" ht="15.75" customHeight="1">
      <c r="A279" s="287"/>
      <c r="B279" s="287"/>
      <c r="C279" s="287"/>
      <c r="D279" s="287"/>
      <c r="E279" s="287"/>
      <c r="F279" s="287"/>
      <c r="G279" s="287"/>
      <c r="H279" s="287"/>
      <c r="I279" s="287"/>
      <c r="J279" s="287"/>
      <c r="K279" s="287"/>
      <c r="L279" s="287"/>
      <c r="M279" s="287"/>
      <c r="N279" s="287"/>
      <c r="O279" s="287"/>
      <c r="P279" s="287"/>
      <c r="Q279" s="287"/>
      <c r="R279" s="287"/>
      <c r="S279" s="287"/>
      <c r="T279" s="287"/>
      <c r="U279" s="287"/>
      <c r="V279" s="287"/>
      <c r="W279" s="287"/>
      <c r="X279" s="287"/>
      <c r="Y279" s="287"/>
      <c r="Z279" s="287"/>
      <c r="AA279" s="287"/>
      <c r="AB279" s="287"/>
      <c r="AC279" s="287"/>
      <c r="AD279" s="287"/>
      <c r="AE279" s="287"/>
      <c r="AF279" s="287"/>
      <c r="AG279" s="287"/>
      <c r="AH279" s="287"/>
      <c r="AI279" s="287"/>
      <c r="AJ279" s="287"/>
      <c r="AK279" s="287"/>
      <c r="AL279" s="287"/>
      <c r="AM279" s="287"/>
      <c r="AN279" s="287"/>
      <c r="AO279" s="287"/>
      <c r="AP279" s="287"/>
      <c r="AQ279" s="287"/>
      <c r="AR279" s="287"/>
      <c r="AS279" s="287"/>
      <c r="AT279" s="287"/>
      <c r="AU279" s="287"/>
      <c r="AV279" s="287"/>
      <c r="AW279" s="287"/>
      <c r="AX279" s="287"/>
      <c r="AY279" s="287"/>
      <c r="AZ279" s="287"/>
      <c r="BA279" s="287"/>
      <c r="BB279" s="287"/>
      <c r="BC279" s="287"/>
    </row>
    <row r="280" ht="15.75" customHeight="1">
      <c r="A280" s="287"/>
      <c r="B280" s="287"/>
      <c r="C280" s="287"/>
      <c r="D280" s="287"/>
      <c r="E280" s="287"/>
      <c r="F280" s="287"/>
      <c r="G280" s="287"/>
      <c r="H280" s="287"/>
      <c r="I280" s="287"/>
      <c r="J280" s="287"/>
      <c r="K280" s="287"/>
      <c r="L280" s="287"/>
      <c r="M280" s="287"/>
      <c r="N280" s="287"/>
      <c r="O280" s="287"/>
      <c r="P280" s="287"/>
      <c r="Q280" s="287"/>
      <c r="R280" s="287"/>
      <c r="S280" s="287"/>
      <c r="T280" s="287"/>
      <c r="U280" s="287"/>
      <c r="V280" s="287"/>
      <c r="W280" s="287"/>
      <c r="X280" s="287"/>
      <c r="Y280" s="287"/>
      <c r="Z280" s="287"/>
      <c r="AA280" s="287"/>
      <c r="AB280" s="287"/>
      <c r="AC280" s="287"/>
      <c r="AD280" s="287"/>
      <c r="AE280" s="287"/>
      <c r="AF280" s="287"/>
      <c r="AG280" s="287"/>
      <c r="AH280" s="287"/>
      <c r="AI280" s="287"/>
      <c r="AJ280" s="287"/>
      <c r="AK280" s="287"/>
      <c r="AL280" s="287"/>
      <c r="AM280" s="287"/>
      <c r="AN280" s="287"/>
      <c r="AO280" s="287"/>
      <c r="AP280" s="287"/>
      <c r="AQ280" s="287"/>
      <c r="AR280" s="287"/>
      <c r="AS280" s="287"/>
      <c r="AT280" s="287"/>
      <c r="AU280" s="287"/>
      <c r="AV280" s="287"/>
      <c r="AW280" s="287"/>
      <c r="AX280" s="287"/>
      <c r="AY280" s="287"/>
      <c r="AZ280" s="287"/>
      <c r="BA280" s="287"/>
      <c r="BB280" s="287"/>
      <c r="BC280" s="287"/>
    </row>
    <row r="281" ht="15.75" customHeight="1">
      <c r="A281" s="287"/>
      <c r="B281" s="287"/>
      <c r="C281" s="287"/>
      <c r="D281" s="287"/>
      <c r="E281" s="287"/>
      <c r="F281" s="287"/>
      <c r="G281" s="287"/>
      <c r="H281" s="287"/>
      <c r="I281" s="287"/>
      <c r="J281" s="287"/>
      <c r="K281" s="287"/>
      <c r="L281" s="287"/>
      <c r="M281" s="287"/>
      <c r="N281" s="287"/>
      <c r="O281" s="287"/>
      <c r="P281" s="287"/>
      <c r="Q281" s="287"/>
      <c r="R281" s="287"/>
      <c r="S281" s="287"/>
      <c r="T281" s="287"/>
      <c r="U281" s="287"/>
      <c r="V281" s="287"/>
      <c r="W281" s="287"/>
      <c r="X281" s="287"/>
      <c r="Y281" s="287"/>
      <c r="Z281" s="287"/>
      <c r="AA281" s="287"/>
      <c r="AB281" s="287"/>
      <c r="AC281" s="287"/>
      <c r="AD281" s="287"/>
      <c r="AE281" s="287"/>
      <c r="AF281" s="287"/>
      <c r="AG281" s="287"/>
      <c r="AH281" s="287"/>
      <c r="AI281" s="287"/>
      <c r="AJ281" s="287"/>
      <c r="AK281" s="287"/>
      <c r="AL281" s="287"/>
      <c r="AM281" s="287"/>
      <c r="AN281" s="287"/>
      <c r="AO281" s="287"/>
      <c r="AP281" s="287"/>
      <c r="AQ281" s="287"/>
      <c r="AR281" s="287"/>
      <c r="AS281" s="287"/>
      <c r="AT281" s="287"/>
      <c r="AU281" s="287"/>
      <c r="AV281" s="287"/>
      <c r="AW281" s="287"/>
      <c r="AX281" s="287"/>
      <c r="AY281" s="287"/>
      <c r="AZ281" s="287"/>
      <c r="BA281" s="287"/>
      <c r="BB281" s="287"/>
      <c r="BC281" s="287"/>
    </row>
    <row r="282" ht="15.75" customHeight="1">
      <c r="A282" s="287"/>
      <c r="B282" s="287"/>
      <c r="C282" s="287"/>
      <c r="D282" s="287"/>
      <c r="E282" s="287"/>
      <c r="F282" s="287"/>
      <c r="G282" s="287"/>
      <c r="H282" s="287"/>
      <c r="I282" s="287"/>
      <c r="J282" s="287"/>
      <c r="K282" s="287"/>
      <c r="L282" s="287"/>
      <c r="M282" s="287"/>
      <c r="N282" s="287"/>
      <c r="O282" s="287"/>
      <c r="P282" s="287"/>
      <c r="Q282" s="287"/>
      <c r="R282" s="287"/>
      <c r="S282" s="287"/>
      <c r="T282" s="287"/>
      <c r="U282" s="287"/>
      <c r="V282" s="287"/>
      <c r="W282" s="287"/>
      <c r="X282" s="287"/>
      <c r="Y282" s="287"/>
      <c r="Z282" s="287"/>
      <c r="AA282" s="287"/>
      <c r="AB282" s="287"/>
      <c r="AC282" s="287"/>
      <c r="AD282" s="287"/>
      <c r="AE282" s="287"/>
      <c r="AF282" s="287"/>
      <c r="AG282" s="287"/>
      <c r="AH282" s="287"/>
      <c r="AI282" s="287"/>
      <c r="AJ282" s="287"/>
      <c r="AK282" s="287"/>
      <c r="AL282" s="287"/>
      <c r="AM282" s="287"/>
      <c r="AN282" s="287"/>
      <c r="AO282" s="287"/>
      <c r="AP282" s="287"/>
      <c r="AQ282" s="287"/>
      <c r="AR282" s="287"/>
      <c r="AS282" s="287"/>
      <c r="AT282" s="287"/>
      <c r="AU282" s="287"/>
      <c r="AV282" s="287"/>
      <c r="AW282" s="287"/>
      <c r="AX282" s="287"/>
      <c r="AY282" s="287"/>
      <c r="AZ282" s="287"/>
      <c r="BA282" s="287"/>
      <c r="BB282" s="287"/>
      <c r="BC282" s="287"/>
    </row>
    <row r="283" ht="15.75" customHeight="1">
      <c r="A283" s="287"/>
      <c r="B283" s="287"/>
      <c r="C283" s="287"/>
      <c r="D283" s="287"/>
      <c r="E283" s="287"/>
      <c r="F283" s="287"/>
      <c r="G283" s="287"/>
      <c r="H283" s="287"/>
      <c r="I283" s="287"/>
      <c r="J283" s="287"/>
      <c r="K283" s="287"/>
      <c r="L283" s="287"/>
      <c r="M283" s="287"/>
      <c r="N283" s="287"/>
      <c r="O283" s="287"/>
      <c r="P283" s="287"/>
      <c r="Q283" s="287"/>
      <c r="R283" s="287"/>
      <c r="S283" s="287"/>
      <c r="T283" s="287"/>
      <c r="U283" s="287"/>
      <c r="V283" s="287"/>
      <c r="W283" s="287"/>
      <c r="X283" s="287"/>
      <c r="Y283" s="287"/>
      <c r="Z283" s="287"/>
      <c r="AA283" s="287"/>
      <c r="AB283" s="287"/>
      <c r="AC283" s="287"/>
      <c r="AD283" s="287"/>
      <c r="AE283" s="287"/>
      <c r="AF283" s="287"/>
      <c r="AG283" s="287"/>
      <c r="AH283" s="287"/>
      <c r="AI283" s="287"/>
      <c r="AJ283" s="287"/>
      <c r="AK283" s="287"/>
      <c r="AL283" s="287"/>
      <c r="AM283" s="287"/>
      <c r="AN283" s="287"/>
      <c r="AO283" s="287"/>
      <c r="AP283" s="287"/>
      <c r="AQ283" s="287"/>
      <c r="AR283" s="287"/>
      <c r="AS283" s="287"/>
      <c r="AT283" s="287"/>
      <c r="AU283" s="287"/>
      <c r="AV283" s="287"/>
      <c r="AW283" s="287"/>
      <c r="AX283" s="287"/>
      <c r="AY283" s="287"/>
      <c r="AZ283" s="287"/>
      <c r="BA283" s="287"/>
      <c r="BB283" s="287"/>
      <c r="BC283" s="287"/>
    </row>
    <row r="284" ht="15.75" customHeight="1">
      <c r="A284" s="287"/>
      <c r="B284" s="287"/>
      <c r="C284" s="287"/>
      <c r="D284" s="287"/>
      <c r="E284" s="287"/>
      <c r="F284" s="287"/>
      <c r="G284" s="287"/>
      <c r="H284" s="287"/>
      <c r="I284" s="287"/>
      <c r="J284" s="287"/>
      <c r="K284" s="287"/>
      <c r="L284" s="287"/>
      <c r="M284" s="287"/>
      <c r="N284" s="287"/>
      <c r="O284" s="287"/>
      <c r="P284" s="287"/>
      <c r="Q284" s="287"/>
      <c r="R284" s="287"/>
      <c r="S284" s="287"/>
      <c r="T284" s="287"/>
      <c r="U284" s="287"/>
      <c r="V284" s="287"/>
      <c r="W284" s="287"/>
      <c r="X284" s="287"/>
      <c r="Y284" s="287"/>
      <c r="Z284" s="287"/>
      <c r="AA284" s="287"/>
      <c r="AB284" s="287"/>
      <c r="AC284" s="287"/>
      <c r="AD284" s="287"/>
      <c r="AE284" s="287"/>
      <c r="AF284" s="287"/>
      <c r="AG284" s="287"/>
      <c r="AH284" s="287"/>
      <c r="AI284" s="287"/>
      <c r="AJ284" s="287"/>
      <c r="AK284" s="287"/>
      <c r="AL284" s="287"/>
      <c r="AM284" s="287"/>
      <c r="AN284" s="287"/>
      <c r="AO284" s="287"/>
      <c r="AP284" s="287"/>
      <c r="AQ284" s="287"/>
      <c r="AR284" s="287"/>
      <c r="AS284" s="287"/>
      <c r="AT284" s="287"/>
      <c r="AU284" s="287"/>
      <c r="AV284" s="287"/>
      <c r="AW284" s="287"/>
      <c r="AX284" s="287"/>
      <c r="AY284" s="287"/>
      <c r="AZ284" s="287"/>
      <c r="BA284" s="287"/>
      <c r="BB284" s="287"/>
      <c r="BC284" s="287"/>
    </row>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sheetData>
  <mergeCells count="460">
    <mergeCell ref="M21:P21"/>
    <mergeCell ref="M22:P22"/>
    <mergeCell ref="M23:P23"/>
    <mergeCell ref="M24:P24"/>
    <mergeCell ref="M25:P25"/>
    <mergeCell ref="M26:P26"/>
    <mergeCell ref="M27:P27"/>
    <mergeCell ref="M35:P35"/>
    <mergeCell ref="M36:P36"/>
    <mergeCell ref="M28:P28"/>
    <mergeCell ref="M29:P29"/>
    <mergeCell ref="M30:P30"/>
    <mergeCell ref="M31:P31"/>
    <mergeCell ref="M32:P32"/>
    <mergeCell ref="M33:P33"/>
    <mergeCell ref="M34:P34"/>
    <mergeCell ref="B10:D10"/>
    <mergeCell ref="B11:D11"/>
    <mergeCell ref="E12:I12"/>
    <mergeCell ref="J12:K12"/>
    <mergeCell ref="L12:P12"/>
    <mergeCell ref="R12:U13"/>
    <mergeCell ref="V12:W13"/>
    <mergeCell ref="L13:P13"/>
    <mergeCell ref="J15:K15"/>
    <mergeCell ref="L15:P15"/>
    <mergeCell ref="E13:I13"/>
    <mergeCell ref="J13:K13"/>
    <mergeCell ref="E14:I14"/>
    <mergeCell ref="J14:K14"/>
    <mergeCell ref="L14:P14"/>
    <mergeCell ref="R14:U15"/>
    <mergeCell ref="V14:W15"/>
    <mergeCell ref="B15:D15"/>
    <mergeCell ref="E15:I15"/>
    <mergeCell ref="B17:N18"/>
    <mergeCell ref="O17:S18"/>
    <mergeCell ref="T17:W18"/>
    <mergeCell ref="X17:AB18"/>
    <mergeCell ref="AC17:AG18"/>
    <mergeCell ref="C19:F19"/>
    <mergeCell ref="M19:P19"/>
    <mergeCell ref="W19:Z19"/>
    <mergeCell ref="C20:F20"/>
    <mergeCell ref="M20:P20"/>
    <mergeCell ref="C21:F21"/>
    <mergeCell ref="W22:Z22"/>
    <mergeCell ref="W20:Z20"/>
    <mergeCell ref="W21:Z21"/>
    <mergeCell ref="W23:Z23"/>
    <mergeCell ref="W24:Z24"/>
    <mergeCell ref="W25:Z25"/>
    <mergeCell ref="W26:Z26"/>
    <mergeCell ref="W27:Z27"/>
    <mergeCell ref="W28:Z28"/>
    <mergeCell ref="W29:Z29"/>
    <mergeCell ref="W30:Z30"/>
    <mergeCell ref="W31:Z31"/>
    <mergeCell ref="W32:Z32"/>
    <mergeCell ref="W33:Z33"/>
    <mergeCell ref="W34:Z34"/>
    <mergeCell ref="B2:AS6"/>
    <mergeCell ref="AT2:AV3"/>
    <mergeCell ref="AW2:AY3"/>
    <mergeCell ref="AZ2:BB3"/>
    <mergeCell ref="AT4:AV6"/>
    <mergeCell ref="AW4:AY6"/>
    <mergeCell ref="AZ4:BB6"/>
    <mergeCell ref="X10:Y10"/>
    <mergeCell ref="Z10:AC11"/>
    <mergeCell ref="X11:Y11"/>
    <mergeCell ref="X12:Y12"/>
    <mergeCell ref="Z12:AC13"/>
    <mergeCell ref="X13:Y13"/>
    <mergeCell ref="AD10:AE11"/>
    <mergeCell ref="AF10:AG10"/>
    <mergeCell ref="AF11:AG11"/>
    <mergeCell ref="AD12:AE13"/>
    <mergeCell ref="AF12:AG12"/>
    <mergeCell ref="AF13:AG13"/>
    <mergeCell ref="B8:P9"/>
    <mergeCell ref="R8:AO9"/>
    <mergeCell ref="AQ8:BB9"/>
    <mergeCell ref="E10:P10"/>
    <mergeCell ref="R10:U11"/>
    <mergeCell ref="V10:W11"/>
    <mergeCell ref="AN10:AO10"/>
    <mergeCell ref="E11:P11"/>
    <mergeCell ref="B12:D12"/>
    <mergeCell ref="B13:D13"/>
    <mergeCell ref="B14:D14"/>
    <mergeCell ref="X14:Y14"/>
    <mergeCell ref="Z14:AC15"/>
    <mergeCell ref="AD14:AE15"/>
    <mergeCell ref="AF14:AG14"/>
    <mergeCell ref="X15:Y15"/>
    <mergeCell ref="AF15:AG15"/>
    <mergeCell ref="AN13:AO13"/>
    <mergeCell ref="AN14:AO14"/>
    <mergeCell ref="AY28:BB28"/>
    <mergeCell ref="AY29:BB29"/>
    <mergeCell ref="AQ26:AV26"/>
    <mergeCell ref="AW26:BB26"/>
    <mergeCell ref="AQ27:AT28"/>
    <mergeCell ref="AU27:AX28"/>
    <mergeCell ref="AY27:BB27"/>
    <mergeCell ref="AQ29:AT30"/>
    <mergeCell ref="AU29:AX30"/>
    <mergeCell ref="AY30:BB30"/>
    <mergeCell ref="C29:F29"/>
    <mergeCell ref="C30:F30"/>
    <mergeCell ref="C31:F31"/>
    <mergeCell ref="C32:F32"/>
    <mergeCell ref="C33:F33"/>
    <mergeCell ref="C34:F34"/>
    <mergeCell ref="C35:F35"/>
    <mergeCell ref="C36:F36"/>
    <mergeCell ref="C22:F22"/>
    <mergeCell ref="C23:F23"/>
    <mergeCell ref="C24:F24"/>
    <mergeCell ref="C25:F25"/>
    <mergeCell ref="C26:F26"/>
    <mergeCell ref="C27:F27"/>
    <mergeCell ref="C28:F28"/>
    <mergeCell ref="AG32:AJ32"/>
    <mergeCell ref="AG33:AJ33"/>
    <mergeCell ref="AG35:AJ35"/>
    <mergeCell ref="AG25:AJ25"/>
    <mergeCell ref="AG26:AJ26"/>
    <mergeCell ref="AG27:AJ27"/>
    <mergeCell ref="AG28:AJ28"/>
    <mergeCell ref="AG29:AJ29"/>
    <mergeCell ref="AG30:AJ30"/>
    <mergeCell ref="AG31:AJ31"/>
    <mergeCell ref="AU33:AV34"/>
    <mergeCell ref="AW33:AZ34"/>
    <mergeCell ref="AG34:AJ34"/>
    <mergeCell ref="AQ31:AT32"/>
    <mergeCell ref="AU31:AX32"/>
    <mergeCell ref="AY31:AZ31"/>
    <mergeCell ref="BA31:BB31"/>
    <mergeCell ref="AY32:AZ32"/>
    <mergeCell ref="BA32:BB32"/>
    <mergeCell ref="BA33:BB34"/>
    <mergeCell ref="AH12:AK13"/>
    <mergeCell ref="AH14:AK15"/>
    <mergeCell ref="AL14:AM15"/>
    <mergeCell ref="AH17:AK18"/>
    <mergeCell ref="AH10:AK11"/>
    <mergeCell ref="AL10:AM11"/>
    <mergeCell ref="AQ10:BB19"/>
    <mergeCell ref="AN11:AO11"/>
    <mergeCell ref="AL12:AM13"/>
    <mergeCell ref="AN12:AO12"/>
    <mergeCell ref="AN15:AO15"/>
    <mergeCell ref="AY25:AZ25"/>
    <mergeCell ref="BA25:BB25"/>
    <mergeCell ref="AL17:AO18"/>
    <mergeCell ref="AG19:AJ19"/>
    <mergeCell ref="AG20:AJ20"/>
    <mergeCell ref="AG21:AJ21"/>
    <mergeCell ref="AG22:AJ22"/>
    <mergeCell ref="AG23:AJ23"/>
    <mergeCell ref="AG24:AJ24"/>
    <mergeCell ref="AQ21:BB22"/>
    <mergeCell ref="AQ23:AV23"/>
    <mergeCell ref="AW23:BB23"/>
    <mergeCell ref="AQ24:AV24"/>
    <mergeCell ref="AW24:BB24"/>
    <mergeCell ref="AQ25:AV25"/>
    <mergeCell ref="AW25:AX25"/>
    <mergeCell ref="AQ40:BB40"/>
    <mergeCell ref="AQ41:BB41"/>
    <mergeCell ref="AQ42:BB42"/>
    <mergeCell ref="AQ43:BB43"/>
    <mergeCell ref="AQ33:AT34"/>
    <mergeCell ref="AQ35:AT36"/>
    <mergeCell ref="AU35:AV36"/>
    <mergeCell ref="AW35:AZ36"/>
    <mergeCell ref="BA35:BB36"/>
    <mergeCell ref="AG36:AJ36"/>
    <mergeCell ref="AQ38:BB39"/>
    <mergeCell ref="S40:X40"/>
    <mergeCell ref="Y40:AB40"/>
    <mergeCell ref="S41:X41"/>
    <mergeCell ref="Y41:AB41"/>
    <mergeCell ref="AC40:AG40"/>
    <mergeCell ref="AH40:AK40"/>
    <mergeCell ref="AC41:AG41"/>
    <mergeCell ref="AH41:AK41"/>
    <mergeCell ref="AL41:AO41"/>
    <mergeCell ref="W35:Z35"/>
    <mergeCell ref="W36:Z36"/>
    <mergeCell ref="B38:AO39"/>
    <mergeCell ref="J40:L40"/>
    <mergeCell ref="M40:O40"/>
    <mergeCell ref="P40:R40"/>
    <mergeCell ref="AL40:AO40"/>
    <mergeCell ref="M42:O42"/>
    <mergeCell ref="P42:R42"/>
    <mergeCell ref="S42:X42"/>
    <mergeCell ref="Y42:AB42"/>
    <mergeCell ref="AC42:AG42"/>
    <mergeCell ref="AH42:AK42"/>
    <mergeCell ref="AL42:AO42"/>
    <mergeCell ref="B40:I40"/>
    <mergeCell ref="B41:I41"/>
    <mergeCell ref="J41:L41"/>
    <mergeCell ref="M41:O41"/>
    <mergeCell ref="P41:R41"/>
    <mergeCell ref="B42:I42"/>
    <mergeCell ref="J42:L42"/>
    <mergeCell ref="AH43:AK43"/>
    <mergeCell ref="AL43:AO43"/>
    <mergeCell ref="B43:I43"/>
    <mergeCell ref="J43:L43"/>
    <mergeCell ref="M43:O43"/>
    <mergeCell ref="P43:R43"/>
    <mergeCell ref="S43:X43"/>
    <mergeCell ref="Y43:AB43"/>
    <mergeCell ref="AC43:AG43"/>
    <mergeCell ref="Q58:U59"/>
    <mergeCell ref="V58:Z59"/>
    <mergeCell ref="Q60:U61"/>
    <mergeCell ref="G58:K59"/>
    <mergeCell ref="L58:P59"/>
    <mergeCell ref="B60:F61"/>
    <mergeCell ref="G60:K61"/>
    <mergeCell ref="L60:P61"/>
    <mergeCell ref="B66:R70"/>
    <mergeCell ref="B71:Q72"/>
    <mergeCell ref="B56:F57"/>
    <mergeCell ref="G56:K57"/>
    <mergeCell ref="L56:P57"/>
    <mergeCell ref="Q56:U57"/>
    <mergeCell ref="V56:Z57"/>
    <mergeCell ref="AA56:AE57"/>
    <mergeCell ref="B58:F59"/>
    <mergeCell ref="AA58:AE59"/>
    <mergeCell ref="AF58:AJ59"/>
    <mergeCell ref="AK58:AO59"/>
    <mergeCell ref="V60:AN60"/>
    <mergeCell ref="V61:AO61"/>
    <mergeCell ref="B63:BB64"/>
    <mergeCell ref="B65:R65"/>
    <mergeCell ref="W73:Z73"/>
    <mergeCell ref="AA73:AD73"/>
    <mergeCell ref="Z77:AK80"/>
    <mergeCell ref="AL77:AW80"/>
    <mergeCell ref="AY77:BB80"/>
    <mergeCell ref="S65:AI65"/>
    <mergeCell ref="AJ65:BB65"/>
    <mergeCell ref="S66:AI70"/>
    <mergeCell ref="AJ66:BB73"/>
    <mergeCell ref="W71:Z72"/>
    <mergeCell ref="AA71:AD72"/>
    <mergeCell ref="AE71:AI72"/>
    <mergeCell ref="AE73:AI73"/>
    <mergeCell ref="B73:R73"/>
    <mergeCell ref="B75:M76"/>
    <mergeCell ref="N75:Y76"/>
    <mergeCell ref="Z75:AK76"/>
    <mergeCell ref="AL75:AW76"/>
    <mergeCell ref="AY75:BB76"/>
    <mergeCell ref="B84:E87"/>
    <mergeCell ref="F84:I87"/>
    <mergeCell ref="J84:M87"/>
    <mergeCell ref="N84:Q87"/>
    <mergeCell ref="R84:U87"/>
    <mergeCell ref="V84:Y87"/>
    <mergeCell ref="Z84:AC87"/>
    <mergeCell ref="A89:BC89"/>
    <mergeCell ref="A90:BC90"/>
    <mergeCell ref="A91:BC91"/>
    <mergeCell ref="A92:BC92"/>
    <mergeCell ref="A93:BC93"/>
    <mergeCell ref="A94:BC94"/>
    <mergeCell ref="A95:BC95"/>
    <mergeCell ref="AH47:AK47"/>
    <mergeCell ref="AL47:AO47"/>
    <mergeCell ref="AQ47:BB47"/>
    <mergeCell ref="B47:I47"/>
    <mergeCell ref="J47:L47"/>
    <mergeCell ref="M47:O47"/>
    <mergeCell ref="P47:R47"/>
    <mergeCell ref="S47:X47"/>
    <mergeCell ref="Y47:AB47"/>
    <mergeCell ref="AC47:AG47"/>
    <mergeCell ref="B48:T49"/>
    <mergeCell ref="V48:AN49"/>
    <mergeCell ref="AQ48:BB48"/>
    <mergeCell ref="B50:F51"/>
    <mergeCell ref="G50:K51"/>
    <mergeCell ref="L50:P51"/>
    <mergeCell ref="Q50:U51"/>
    <mergeCell ref="AF50:AJ51"/>
    <mergeCell ref="V50:Z51"/>
    <mergeCell ref="AA50:AE51"/>
    <mergeCell ref="G52:K53"/>
    <mergeCell ref="L52:P53"/>
    <mergeCell ref="Q52:U53"/>
    <mergeCell ref="V52:Z53"/>
    <mergeCell ref="AA52:AE53"/>
    <mergeCell ref="AQ49:BA54"/>
    <mergeCell ref="AQ55:BB58"/>
    <mergeCell ref="AQ59:BA59"/>
    <mergeCell ref="AQ60:BB60"/>
    <mergeCell ref="AQ61:AX61"/>
    <mergeCell ref="AY61:BB61"/>
    <mergeCell ref="AF56:AJ57"/>
    <mergeCell ref="AK56:AO57"/>
    <mergeCell ref="AH46:AK46"/>
    <mergeCell ref="AL46:AO46"/>
    <mergeCell ref="AQ46:BB46"/>
    <mergeCell ref="BB49:BB54"/>
    <mergeCell ref="AK50:AO51"/>
    <mergeCell ref="AF52:AJ53"/>
    <mergeCell ref="AK52:AO53"/>
    <mergeCell ref="AH44:AK44"/>
    <mergeCell ref="AL44:AO44"/>
    <mergeCell ref="AQ44:BB44"/>
    <mergeCell ref="B44:I44"/>
    <mergeCell ref="J44:L44"/>
    <mergeCell ref="M44:O44"/>
    <mergeCell ref="P44:R44"/>
    <mergeCell ref="S44:X44"/>
    <mergeCell ref="Y44:AB44"/>
    <mergeCell ref="AC44:AG44"/>
    <mergeCell ref="AH45:AK45"/>
    <mergeCell ref="AL45:AO45"/>
    <mergeCell ref="AQ45:BB45"/>
    <mergeCell ref="B45:I45"/>
    <mergeCell ref="J45:L45"/>
    <mergeCell ref="M45:O45"/>
    <mergeCell ref="P45:R45"/>
    <mergeCell ref="S45:X45"/>
    <mergeCell ref="Y45:AB45"/>
    <mergeCell ref="AC45:AG45"/>
    <mergeCell ref="B46:I46"/>
    <mergeCell ref="J46:L46"/>
    <mergeCell ref="M46:O46"/>
    <mergeCell ref="P46:R46"/>
    <mergeCell ref="S46:X46"/>
    <mergeCell ref="Y46:AB46"/>
    <mergeCell ref="AC46:AG46"/>
    <mergeCell ref="AF54:AJ55"/>
    <mergeCell ref="AK54:AO55"/>
    <mergeCell ref="B52:F53"/>
    <mergeCell ref="B54:F55"/>
    <mergeCell ref="G54:K55"/>
    <mergeCell ref="L54:P55"/>
    <mergeCell ref="Q54:U55"/>
    <mergeCell ref="V54:Z55"/>
    <mergeCell ref="AA54:AE55"/>
    <mergeCell ref="S71:V72"/>
    <mergeCell ref="S73:V73"/>
    <mergeCell ref="N77:Y80"/>
    <mergeCell ref="B77:M80"/>
    <mergeCell ref="B82:E83"/>
    <mergeCell ref="F82:I83"/>
    <mergeCell ref="J82:M83"/>
    <mergeCell ref="N82:Q83"/>
    <mergeCell ref="R82:U83"/>
    <mergeCell ref="V82:Y83"/>
    <mergeCell ref="Z82:AC83"/>
    <mergeCell ref="AD82:AG83"/>
    <mergeCell ref="AH82:AK83"/>
    <mergeCell ref="AL82:AO83"/>
    <mergeCell ref="AP82:AS83"/>
    <mergeCell ref="AT82:AW83"/>
    <mergeCell ref="AX82:BB83"/>
    <mergeCell ref="AD84:AG87"/>
    <mergeCell ref="AH84:AK87"/>
    <mergeCell ref="AL84:AO87"/>
    <mergeCell ref="AP84:AS87"/>
    <mergeCell ref="AT84:AW87"/>
    <mergeCell ref="AX84:BB87"/>
    <mergeCell ref="AX88:BB88"/>
    <mergeCell ref="A145:BC145"/>
    <mergeCell ref="A146:BC146"/>
    <mergeCell ref="A147:BC147"/>
    <mergeCell ref="A148:BC148"/>
    <mergeCell ref="A149:BC149"/>
    <mergeCell ref="A150:BC150"/>
    <mergeCell ref="A151:BC151"/>
    <mergeCell ref="A152:BC152"/>
    <mergeCell ref="A153:BC153"/>
    <mergeCell ref="A154:BC154"/>
    <mergeCell ref="A155:BC155"/>
    <mergeCell ref="A156:BC156"/>
    <mergeCell ref="A157:BC157"/>
    <mergeCell ref="A158:BC158"/>
    <mergeCell ref="A159:BC159"/>
    <mergeCell ref="A160:BC160"/>
    <mergeCell ref="A161:BC161"/>
    <mergeCell ref="A162:BC162"/>
    <mergeCell ref="A163:BC163"/>
    <mergeCell ref="A164:BC164"/>
    <mergeCell ref="A165:BC165"/>
    <mergeCell ref="A173:BC173"/>
    <mergeCell ref="A174:BC174"/>
    <mergeCell ref="A175:BC175"/>
    <mergeCell ref="A176:BC176"/>
    <mergeCell ref="A177:BC177"/>
    <mergeCell ref="A166:BC166"/>
    <mergeCell ref="A167:BC167"/>
    <mergeCell ref="A168:BC168"/>
    <mergeCell ref="A169:BC169"/>
    <mergeCell ref="A170:BC170"/>
    <mergeCell ref="A171:BC171"/>
    <mergeCell ref="A172:BC172"/>
    <mergeCell ref="A96:BC96"/>
    <mergeCell ref="A97:BC97"/>
    <mergeCell ref="A98:BC98"/>
    <mergeCell ref="A99:BC99"/>
    <mergeCell ref="A100:BC100"/>
    <mergeCell ref="A101:BC101"/>
    <mergeCell ref="A102:BC102"/>
    <mergeCell ref="A103:BC103"/>
    <mergeCell ref="A104:BC104"/>
    <mergeCell ref="A105:BC105"/>
    <mergeCell ref="A106:BC106"/>
    <mergeCell ref="A107:BC107"/>
    <mergeCell ref="A108:BC108"/>
    <mergeCell ref="A109:BC109"/>
    <mergeCell ref="A110:BC110"/>
    <mergeCell ref="A111:BC111"/>
    <mergeCell ref="A112:BC112"/>
    <mergeCell ref="A113:BC113"/>
    <mergeCell ref="A114:BC114"/>
    <mergeCell ref="A115:BC115"/>
    <mergeCell ref="A116:BC116"/>
    <mergeCell ref="A117:BC117"/>
    <mergeCell ref="A118:BC118"/>
    <mergeCell ref="A119:BC119"/>
    <mergeCell ref="A120:BC120"/>
    <mergeCell ref="A121:BC121"/>
    <mergeCell ref="A122:BC122"/>
    <mergeCell ref="A123:BC123"/>
    <mergeCell ref="A124:BC124"/>
    <mergeCell ref="A125:BC125"/>
    <mergeCell ref="A126:BC126"/>
    <mergeCell ref="A127:BC127"/>
    <mergeCell ref="A128:BC128"/>
    <mergeCell ref="A129:BC129"/>
    <mergeCell ref="A130:BC130"/>
    <mergeCell ref="A131:BC131"/>
    <mergeCell ref="A132:BC132"/>
    <mergeCell ref="A133:BC133"/>
    <mergeCell ref="A134:BC134"/>
    <mergeCell ref="A135:BC135"/>
    <mergeCell ref="A136:BC136"/>
    <mergeCell ref="A137:BC137"/>
    <mergeCell ref="A138:BC138"/>
    <mergeCell ref="A139:BC139"/>
    <mergeCell ref="A140:BC140"/>
    <mergeCell ref="A141:BC141"/>
    <mergeCell ref="A142:BC142"/>
    <mergeCell ref="A143:BC143"/>
    <mergeCell ref="A144:BC144"/>
  </mergeCells>
  <conditionalFormatting sqref="B19:B36 L19:L36 V19:V36 AF19:AF36">
    <cfRule type="containsText" dxfId="3" priority="1" operator="containsText" text="✖">
      <formula>NOT(ISERROR(SEARCH(("✖"),(B19))))</formula>
    </cfRule>
  </conditionalFormatting>
  <conditionalFormatting sqref="B19:B36 L19:L36 V19:V36 AF19:AF36">
    <cfRule type="containsText" dxfId="1" priority="2" operator="containsText" text="✔">
      <formula>NOT(ISERROR(SEARCH(("✔"),(B19))))</formula>
    </cfRule>
  </conditionalFormatting>
  <conditionalFormatting sqref="C19:F36 M19:P36 W19:Z36 AG19:AJ36">
    <cfRule type="expression" dxfId="4" priority="3">
      <formula>H19&gt;0</formula>
    </cfRule>
  </conditionalFormatting>
  <conditionalFormatting sqref="C20:F20">
    <cfRule type="expression" dxfId="2" priority="4">
      <formula>H20&gt;0</formula>
    </cfRule>
  </conditionalFormatting>
  <conditionalFormatting sqref="C21:F21">
    <cfRule type="expression" dxfId="2" priority="5">
      <formula>H21&gt;0</formula>
    </cfRule>
  </conditionalFormatting>
  <conditionalFormatting sqref="C22:F22">
    <cfRule type="expression" dxfId="2" priority="6">
      <formula>H22&gt;0</formula>
    </cfRule>
  </conditionalFormatting>
  <conditionalFormatting sqref="C23:F23">
    <cfRule type="expression" dxfId="2" priority="7">
      <formula>H23&gt;0</formula>
    </cfRule>
  </conditionalFormatting>
  <conditionalFormatting sqref="C24:F24">
    <cfRule type="expression" dxfId="2" priority="8">
      <formula>H24&gt;0</formula>
    </cfRule>
  </conditionalFormatting>
  <conditionalFormatting sqref="C25:F25">
    <cfRule type="expression" dxfId="2" priority="9">
      <formula>H25&gt;0</formula>
    </cfRule>
  </conditionalFormatting>
  <conditionalFormatting sqref="C26:F26">
    <cfRule type="expression" dxfId="2" priority="10">
      <formula>H26&gt;0</formula>
    </cfRule>
  </conditionalFormatting>
  <conditionalFormatting sqref="C27:F27">
    <cfRule type="expression" dxfId="2" priority="11">
      <formula>H27&gt;0</formula>
    </cfRule>
  </conditionalFormatting>
  <conditionalFormatting sqref="C28:F28">
    <cfRule type="expression" dxfId="2" priority="12">
      <formula>H28&gt;0</formula>
    </cfRule>
  </conditionalFormatting>
  <conditionalFormatting sqref="C29:F29">
    <cfRule type="expression" dxfId="2" priority="13">
      <formula>H29&gt;0</formula>
    </cfRule>
  </conditionalFormatting>
  <conditionalFormatting sqref="C30:F30">
    <cfRule type="expression" dxfId="2" priority="14">
      <formula>H30&gt;0</formula>
    </cfRule>
  </conditionalFormatting>
  <conditionalFormatting sqref="C31:F31">
    <cfRule type="expression" dxfId="2" priority="15">
      <formula>H31&gt;0</formula>
    </cfRule>
  </conditionalFormatting>
  <conditionalFormatting sqref="C32:F32">
    <cfRule type="expression" dxfId="2" priority="16">
      <formula>H32&gt;0</formula>
    </cfRule>
  </conditionalFormatting>
  <conditionalFormatting sqref="C33:F33">
    <cfRule type="expression" dxfId="2" priority="17">
      <formula>H33&gt;0</formula>
    </cfRule>
  </conditionalFormatting>
  <conditionalFormatting sqref="C34:F34">
    <cfRule type="expression" dxfId="2" priority="18">
      <formula>H34&gt;0</formula>
    </cfRule>
  </conditionalFormatting>
  <conditionalFormatting sqref="C35:F35">
    <cfRule type="expression" dxfId="2" priority="19">
      <formula>H35&gt;0</formula>
    </cfRule>
  </conditionalFormatting>
  <conditionalFormatting sqref="C36:F36">
    <cfRule type="expression" dxfId="2" priority="20">
      <formula>H36&gt;0</formula>
    </cfRule>
  </conditionalFormatting>
  <conditionalFormatting sqref="M19:P19">
    <cfRule type="expression" dxfId="2" priority="21">
      <formula>R19&gt;0</formula>
    </cfRule>
  </conditionalFormatting>
  <conditionalFormatting sqref="M20:P20">
    <cfRule type="expression" dxfId="2" priority="22">
      <formula>R20&gt;0</formula>
    </cfRule>
  </conditionalFormatting>
  <conditionalFormatting sqref="M21:P21">
    <cfRule type="expression" dxfId="2" priority="23">
      <formula>R21&gt;0</formula>
    </cfRule>
  </conditionalFormatting>
  <conditionalFormatting sqref="M22:P22">
    <cfRule type="expression" dxfId="2" priority="24">
      <formula>R22&gt;0</formula>
    </cfRule>
  </conditionalFormatting>
  <conditionalFormatting sqref="M23:P23">
    <cfRule type="expression" dxfId="2" priority="25">
      <formula>R23&gt;0</formula>
    </cfRule>
  </conditionalFormatting>
  <conditionalFormatting sqref="M24:P24">
    <cfRule type="expression" dxfId="2" priority="26">
      <formula>R24&gt;0</formula>
    </cfRule>
  </conditionalFormatting>
  <conditionalFormatting sqref="M25:P25">
    <cfRule type="expression" dxfId="2" priority="27">
      <formula>R25&gt;0</formula>
    </cfRule>
  </conditionalFormatting>
  <conditionalFormatting sqref="M26:P26">
    <cfRule type="expression" dxfId="2" priority="28">
      <formula>R26&gt;0</formula>
    </cfRule>
  </conditionalFormatting>
  <conditionalFormatting sqref="M27:P27">
    <cfRule type="expression" dxfId="2" priority="29">
      <formula>R27&gt;0</formula>
    </cfRule>
  </conditionalFormatting>
  <conditionalFormatting sqref="M28:P28">
    <cfRule type="expression" dxfId="2" priority="30">
      <formula>R28&gt;0</formula>
    </cfRule>
  </conditionalFormatting>
  <conditionalFormatting sqref="M29:P29">
    <cfRule type="expression" dxfId="2" priority="31">
      <formula>R29&gt;0</formula>
    </cfRule>
  </conditionalFormatting>
  <conditionalFormatting sqref="M30:P30">
    <cfRule type="expression" dxfId="2" priority="32">
      <formula>R30&gt;0</formula>
    </cfRule>
  </conditionalFormatting>
  <conditionalFormatting sqref="M31:P31">
    <cfRule type="expression" dxfId="2" priority="33">
      <formula>R31&gt;0</formula>
    </cfRule>
  </conditionalFormatting>
  <conditionalFormatting sqref="M32:P32">
    <cfRule type="expression" dxfId="2" priority="34">
      <formula>R32&gt;0</formula>
    </cfRule>
  </conditionalFormatting>
  <conditionalFormatting sqref="M33:P33">
    <cfRule type="expression" dxfId="2" priority="35">
      <formula>R33&gt;0</formula>
    </cfRule>
  </conditionalFormatting>
  <conditionalFormatting sqref="M34:P34">
    <cfRule type="expression" dxfId="2" priority="36">
      <formula>R34&gt;0</formula>
    </cfRule>
  </conditionalFormatting>
  <conditionalFormatting sqref="M35:P35">
    <cfRule type="expression" dxfId="2" priority="37">
      <formula>R35&gt;0</formula>
    </cfRule>
  </conditionalFormatting>
  <conditionalFormatting sqref="M36:P36">
    <cfRule type="expression" dxfId="2" priority="38">
      <formula>R36&gt;0</formula>
    </cfRule>
  </conditionalFormatting>
  <conditionalFormatting sqref="W19:Z19">
    <cfRule type="expression" dxfId="2" priority="39">
      <formula>AB19&gt;0</formula>
    </cfRule>
  </conditionalFormatting>
  <conditionalFormatting sqref="W20:Z20">
    <cfRule type="expression" dxfId="2" priority="40">
      <formula>AB20&gt;0</formula>
    </cfRule>
  </conditionalFormatting>
  <conditionalFormatting sqref="W21:Z21">
    <cfRule type="expression" dxfId="2" priority="41">
      <formula>AB21&gt;0</formula>
    </cfRule>
  </conditionalFormatting>
  <conditionalFormatting sqref="W22:Z22">
    <cfRule type="expression" dxfId="2" priority="42">
      <formula>AB22&gt;0</formula>
    </cfRule>
  </conditionalFormatting>
  <conditionalFormatting sqref="W23:Z23">
    <cfRule type="expression" dxfId="2" priority="43">
      <formula>AB23&gt;0</formula>
    </cfRule>
  </conditionalFormatting>
  <conditionalFormatting sqref="W24:Z24">
    <cfRule type="expression" dxfId="2" priority="44">
      <formula>AB24&gt;0</formula>
    </cfRule>
  </conditionalFormatting>
  <conditionalFormatting sqref="W25:Z25">
    <cfRule type="expression" dxfId="2" priority="45">
      <formula>AB25&gt;0</formula>
    </cfRule>
  </conditionalFormatting>
  <conditionalFormatting sqref="W26:Z26">
    <cfRule type="expression" dxfId="2" priority="46">
      <formula>AB26&gt;0</formula>
    </cfRule>
  </conditionalFormatting>
  <conditionalFormatting sqref="W27:Z27">
    <cfRule type="expression" dxfId="2" priority="47">
      <formula>AB27&gt;0</formula>
    </cfRule>
  </conditionalFormatting>
  <conditionalFormatting sqref="W28:Z28">
    <cfRule type="expression" dxfId="2" priority="48">
      <formula>AB28&gt;0</formula>
    </cfRule>
  </conditionalFormatting>
  <conditionalFormatting sqref="W29:Z29">
    <cfRule type="expression" dxfId="2" priority="49">
      <formula>AB29&gt;0</formula>
    </cfRule>
  </conditionalFormatting>
  <conditionalFormatting sqref="W30:Z30">
    <cfRule type="expression" dxfId="2" priority="50">
      <formula>AB30&gt;0</formula>
    </cfRule>
  </conditionalFormatting>
  <conditionalFormatting sqref="W31:Z31">
    <cfRule type="expression" dxfId="2" priority="51">
      <formula>AB31&gt;0</formula>
    </cfRule>
  </conditionalFormatting>
  <conditionalFormatting sqref="W32:Z32">
    <cfRule type="expression" dxfId="2" priority="52">
      <formula>AB32&gt;0</formula>
    </cfRule>
  </conditionalFormatting>
  <conditionalFormatting sqref="W33:Z33">
    <cfRule type="expression" dxfId="2" priority="53">
      <formula>AB33&gt;0</formula>
    </cfRule>
  </conditionalFormatting>
  <conditionalFormatting sqref="W34:Z34">
    <cfRule type="expression" dxfId="2" priority="54">
      <formula>AB34&gt;0</formula>
    </cfRule>
  </conditionalFormatting>
  <conditionalFormatting sqref="W35:Z35">
    <cfRule type="expression" dxfId="2" priority="55">
      <formula>AB35&gt;0</formula>
    </cfRule>
  </conditionalFormatting>
  <conditionalFormatting sqref="W36:Z36">
    <cfRule type="expression" dxfId="2" priority="56">
      <formula>AB36&gt;0</formula>
    </cfRule>
  </conditionalFormatting>
  <conditionalFormatting sqref="AG19:AJ19">
    <cfRule type="expression" dxfId="2" priority="57">
      <formula>AL19&gt;0</formula>
    </cfRule>
  </conditionalFormatting>
  <conditionalFormatting sqref="AG20:AJ20">
    <cfRule type="expression" dxfId="2" priority="58">
      <formula>AL20&gt;0</formula>
    </cfRule>
  </conditionalFormatting>
  <conditionalFormatting sqref="AG21:AJ21">
    <cfRule type="expression" dxfId="2" priority="59">
      <formula>AL21&gt;0</formula>
    </cfRule>
  </conditionalFormatting>
  <conditionalFormatting sqref="AG22:AJ22">
    <cfRule type="expression" dxfId="2" priority="60">
      <formula>AL22&gt;0</formula>
    </cfRule>
  </conditionalFormatting>
  <conditionalFormatting sqref="AG23:AJ23">
    <cfRule type="expression" dxfId="2" priority="61">
      <formula>AL23&gt;0</formula>
    </cfRule>
  </conditionalFormatting>
  <conditionalFormatting sqref="AG24:AJ24">
    <cfRule type="expression" dxfId="2" priority="62">
      <formula>AL24&gt;0</formula>
    </cfRule>
  </conditionalFormatting>
  <conditionalFormatting sqref="AG25:AJ25">
    <cfRule type="expression" dxfId="2" priority="63">
      <formula>AL25&gt;0</formula>
    </cfRule>
  </conditionalFormatting>
  <conditionalFormatting sqref="AG26:AJ26">
    <cfRule type="expression" dxfId="2" priority="64">
      <formula>AL26&gt;0</formula>
    </cfRule>
  </conditionalFormatting>
  <conditionalFormatting sqref="AG27:AJ27">
    <cfRule type="expression" dxfId="2" priority="65">
      <formula>AL27&gt;0</formula>
    </cfRule>
  </conditionalFormatting>
  <conditionalFormatting sqref="AG28:AJ28">
    <cfRule type="expression" dxfId="2" priority="66">
      <formula>AL28&gt;0</formula>
    </cfRule>
  </conditionalFormatting>
  <conditionalFormatting sqref="AG29:AJ29">
    <cfRule type="expression" dxfId="2" priority="67">
      <formula>AL29&gt;0</formula>
    </cfRule>
  </conditionalFormatting>
  <conditionalFormatting sqref="AG30:AJ30">
    <cfRule type="expression" dxfId="2" priority="68">
      <formula>AL30&gt;0</formula>
    </cfRule>
  </conditionalFormatting>
  <conditionalFormatting sqref="AG31:AJ31">
    <cfRule type="expression" dxfId="2" priority="69">
      <formula>AL31&gt;0</formula>
    </cfRule>
  </conditionalFormatting>
  <conditionalFormatting sqref="AG32:AJ32">
    <cfRule type="expression" dxfId="2" priority="70">
      <formula>AL32&gt;0</formula>
    </cfRule>
  </conditionalFormatting>
  <conditionalFormatting sqref="AG33:AJ33">
    <cfRule type="expression" dxfId="2" priority="71">
      <formula>AL33&gt;0</formula>
    </cfRule>
  </conditionalFormatting>
  <conditionalFormatting sqref="AG34:AJ34">
    <cfRule type="expression" dxfId="2" priority="72">
      <formula>AL34&gt;0</formula>
    </cfRule>
  </conditionalFormatting>
  <conditionalFormatting sqref="AG35:AJ35">
    <cfRule type="expression" dxfId="2" priority="73">
      <formula>AL35&gt;0</formula>
    </cfRule>
  </conditionalFormatting>
  <conditionalFormatting sqref="AG36:AJ36">
    <cfRule type="expression" dxfId="2" priority="74">
      <formula>AL36&gt;0</formula>
    </cfRule>
  </conditionalFormatting>
  <dataValidations>
    <dataValidation type="list" allowBlank="1" sqref="U49 AO49 BB49 BB59 AO60 R72">
      <formula1>"1,2,3,4,5,6,7,8,9,10"</formula1>
    </dataValidation>
    <dataValidation type="list" allowBlank="1" sqref="AU33 BA33 AU35 BA35 B19:B36 L19:L36 V19:V36 AF19:AF36">
      <formula1>"✖,✔"</formula1>
    </dataValidation>
    <dataValidation type="list" allowBlank="1" sqref="E12">
      <formula1>"간호사,갱 보스,건달,건 몰,건축가,경관,고고학자,곡예사,골동품상,골동품 연구가,과학자,광부,광신자,교수,교주,기술자,기자,깡패,노조 활동가,농부,단독 범죄자,대학생,도둑,도박사,등반가,디자이너,디프로그래머,딜레탕트,떠돌이,리포터,매춘부,맹수사냥꾼,미술가,밀수꾼,밀주업자,바텐더,박물관 큐레이터,배우,벌목꾼,법의학자,변호사,병사,병원 보조원,복서/레슬러,부랑자,부족민,부하 조직원,비서,비행사,사기꾼,사립탐정,사무원,사서,사육사,사진가,사진기자,서적상,선교"&amp;"사,선원,선출직 공무원,성직자,소방관,수병,스턴트맨,스턴트우먼,스파이,신비학자,신사/숙녀,심령학자,심리학자,약사,엔지니어,연구실 조수,연구자,연방 요원,연예인,연주자,외신 기자,운동선수,운전사,웨이터,웨이트리스,위조업자,은행강도,의사,인턴,자객,자연 애호가,작가,잠수부,장교,장물아비,장의사,장인,전속 기사,점장,정신감정사,정신과 의사,정신병원 직원,정신분석가,조련사,조종사,중상급 관리자,집사,카우걸/카우보이,컴퓨터 테크니션,탐광인,탐험가,택시 운전사,판"&amp;"매원,판사,편집자,폭력배,프로그래머,하녀,하인,해커,현상금 사냥꾼,형사,회계사,회사 탐정,ETC"</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55" width="2.5"/>
  </cols>
  <sheetData>
    <row r="1" ht="11.25" customHeight="1">
      <c r="A1" s="1">
        <v>35.0</v>
      </c>
      <c r="B1" s="2"/>
      <c r="C1" s="2"/>
      <c r="D1" s="2"/>
      <c r="E1" s="2"/>
      <c r="F1" s="2"/>
      <c r="G1" s="2"/>
      <c r="H1" s="2"/>
      <c r="I1" s="2"/>
      <c r="J1" s="2"/>
      <c r="K1" s="2"/>
      <c r="L1" s="2"/>
      <c r="M1" s="2"/>
      <c r="N1" s="2"/>
      <c r="O1" s="2"/>
      <c r="P1" s="2"/>
      <c r="Q1" s="2"/>
      <c r="R1" s="2"/>
      <c r="S1" s="2"/>
      <c r="T1" s="2"/>
      <c r="U1" s="2"/>
      <c r="V1" s="2"/>
      <c r="W1" s="2"/>
      <c r="X1" s="2"/>
      <c r="Y1" s="2"/>
      <c r="Z1" s="2"/>
      <c r="AA1" s="2"/>
      <c r="AB1" s="2"/>
      <c r="AC1" s="3"/>
      <c r="AD1" s="3"/>
      <c r="AE1" s="3"/>
      <c r="AF1" s="3"/>
      <c r="AG1" s="3"/>
      <c r="AH1" s="3"/>
      <c r="AI1" s="3"/>
      <c r="AJ1" s="3"/>
      <c r="AK1" s="3"/>
      <c r="AL1" s="3"/>
      <c r="AM1" s="3"/>
      <c r="AN1" s="3"/>
      <c r="AO1" s="3"/>
      <c r="AP1" s="3"/>
      <c r="AQ1" s="3"/>
      <c r="AR1" s="3"/>
      <c r="AS1" s="3"/>
      <c r="AT1" s="3"/>
      <c r="AU1" s="3"/>
      <c r="AV1" s="3"/>
      <c r="AW1" s="3"/>
      <c r="AX1" s="3"/>
      <c r="AY1" s="3"/>
      <c r="AZ1" s="3"/>
      <c r="BA1" s="3"/>
      <c r="BB1" s="3"/>
      <c r="BC1" s="3"/>
    </row>
    <row r="2" ht="9.0" customHeight="1">
      <c r="A2" s="2"/>
      <c r="B2" s="385" t="s">
        <v>0</v>
      </c>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386" t="s">
        <v>1</v>
      </c>
      <c r="AU2" s="5"/>
      <c r="AV2" s="7"/>
      <c r="AW2" s="386" t="s">
        <v>2</v>
      </c>
      <c r="AX2" s="5"/>
      <c r="AY2" s="7"/>
      <c r="AZ2" s="386" t="s">
        <v>3</v>
      </c>
      <c r="BA2" s="5"/>
      <c r="BB2" s="7"/>
      <c r="BC2" s="3"/>
    </row>
    <row r="3" ht="9.0" customHeight="1">
      <c r="A3" s="8"/>
      <c r="B3" s="9"/>
      <c r="AT3" s="10"/>
      <c r="AU3" s="11"/>
      <c r="AV3" s="12"/>
      <c r="AW3" s="10"/>
      <c r="AX3" s="11"/>
      <c r="AY3" s="12"/>
      <c r="AZ3" s="10"/>
      <c r="BA3" s="11"/>
      <c r="BB3" s="12"/>
      <c r="BC3" s="3"/>
    </row>
    <row r="4" ht="9.0" customHeight="1">
      <c r="A4" s="8"/>
      <c r="B4" s="9"/>
      <c r="AT4" s="13"/>
      <c r="AU4" s="5"/>
      <c r="AV4" s="7"/>
      <c r="AW4" s="386" t="s">
        <v>4</v>
      </c>
      <c r="AX4" s="5"/>
      <c r="AY4" s="7"/>
      <c r="AZ4" s="387" t="s">
        <v>5</v>
      </c>
      <c r="BA4" s="5"/>
      <c r="BB4" s="7"/>
      <c r="BC4" s="3"/>
    </row>
    <row r="5" ht="9.0" customHeight="1">
      <c r="A5" s="8"/>
      <c r="B5" s="9"/>
      <c r="AT5" s="9"/>
      <c r="AV5" s="15"/>
      <c r="AW5" s="9"/>
      <c r="AY5" s="15"/>
      <c r="AZ5" s="9"/>
      <c r="BB5" s="15"/>
      <c r="BC5" s="3"/>
    </row>
    <row r="6" ht="9.0" customHeight="1">
      <c r="A6" s="2"/>
      <c r="B6" s="9"/>
      <c r="AT6" s="10"/>
      <c r="AU6" s="11"/>
      <c r="AV6" s="12"/>
      <c r="AW6" s="10"/>
      <c r="AX6" s="11"/>
      <c r="AY6" s="12"/>
      <c r="AZ6" s="10"/>
      <c r="BA6" s="11"/>
      <c r="BB6" s="12"/>
      <c r="BC6" s="2"/>
    </row>
    <row r="7" ht="13.5" customHeight="1">
      <c r="A7" s="16"/>
      <c r="B7" s="17"/>
      <c r="C7" s="17"/>
      <c r="D7" s="17"/>
      <c r="E7" s="17"/>
      <c r="F7" s="17"/>
      <c r="G7" s="17"/>
      <c r="H7" s="17"/>
      <c r="I7" s="17"/>
      <c r="J7" s="17"/>
      <c r="K7" s="17"/>
      <c r="L7" s="17"/>
      <c r="M7" s="17"/>
      <c r="N7" s="17"/>
      <c r="O7" s="18"/>
      <c r="P7" s="18"/>
      <c r="Q7" s="19"/>
      <c r="R7" s="18"/>
      <c r="S7" s="18"/>
      <c r="T7" s="18"/>
      <c r="U7" s="18"/>
      <c r="V7" s="18"/>
      <c r="W7" s="18"/>
      <c r="X7" s="18"/>
      <c r="Y7" s="18"/>
      <c r="Z7" s="18"/>
      <c r="AA7" s="18"/>
      <c r="AB7" s="18"/>
      <c r="AC7" s="18"/>
      <c r="AD7" s="18"/>
      <c r="AE7" s="18"/>
      <c r="AF7" s="18"/>
      <c r="AG7" s="18"/>
      <c r="AH7" s="18"/>
      <c r="AI7" s="18"/>
      <c r="AJ7" s="18"/>
      <c r="AK7" s="18"/>
      <c r="AL7" s="18"/>
      <c r="AM7" s="18"/>
      <c r="AN7" s="18"/>
      <c r="AO7" s="18"/>
      <c r="AP7" s="20"/>
      <c r="AQ7" s="17"/>
      <c r="AR7" s="17"/>
      <c r="AS7" s="17"/>
      <c r="AT7" s="17"/>
      <c r="AU7" s="17"/>
      <c r="AV7" s="17"/>
      <c r="AW7" s="17"/>
      <c r="AX7" s="17"/>
      <c r="AY7" s="17"/>
      <c r="AZ7" s="17"/>
      <c r="BA7" s="17"/>
      <c r="BB7" s="17"/>
      <c r="BC7" s="21"/>
    </row>
    <row r="8" ht="13.5" customHeight="1">
      <c r="A8" s="22"/>
      <c r="B8" s="388" t="s">
        <v>6</v>
      </c>
      <c r="C8" s="24"/>
      <c r="D8" s="24"/>
      <c r="E8" s="24"/>
      <c r="F8" s="24"/>
      <c r="G8" s="24"/>
      <c r="H8" s="24"/>
      <c r="I8" s="24"/>
      <c r="J8" s="24"/>
      <c r="K8" s="24"/>
      <c r="L8" s="24"/>
      <c r="M8" s="24"/>
      <c r="N8" s="24"/>
      <c r="O8" s="24"/>
      <c r="P8" s="25"/>
      <c r="Q8" s="26"/>
      <c r="R8" s="388" t="s">
        <v>7</v>
      </c>
      <c r="S8" s="24"/>
      <c r="T8" s="24"/>
      <c r="U8" s="24"/>
      <c r="V8" s="24"/>
      <c r="W8" s="24"/>
      <c r="X8" s="24"/>
      <c r="Y8" s="24"/>
      <c r="Z8" s="24"/>
      <c r="AA8" s="24"/>
      <c r="AB8" s="24"/>
      <c r="AC8" s="24"/>
      <c r="AD8" s="24"/>
      <c r="AE8" s="24"/>
      <c r="AF8" s="24"/>
      <c r="AG8" s="24"/>
      <c r="AH8" s="24"/>
      <c r="AI8" s="24"/>
      <c r="AJ8" s="24"/>
      <c r="AK8" s="24"/>
      <c r="AL8" s="24"/>
      <c r="AM8" s="24"/>
      <c r="AN8" s="24"/>
      <c r="AO8" s="25"/>
      <c r="AP8" s="27"/>
      <c r="AQ8" s="388" t="s">
        <v>8</v>
      </c>
      <c r="AR8" s="24"/>
      <c r="AS8" s="24"/>
      <c r="AT8" s="24"/>
      <c r="AU8" s="24"/>
      <c r="AV8" s="24"/>
      <c r="AW8" s="24"/>
      <c r="AX8" s="24"/>
      <c r="AY8" s="24"/>
      <c r="AZ8" s="24"/>
      <c r="BA8" s="24"/>
      <c r="BB8" s="25"/>
      <c r="BC8" s="28"/>
    </row>
    <row r="9" ht="13.5" customHeight="1">
      <c r="A9" s="29"/>
      <c r="B9" s="30"/>
      <c r="C9" s="31"/>
      <c r="D9" s="31"/>
      <c r="E9" s="31"/>
      <c r="F9" s="31"/>
      <c r="G9" s="31"/>
      <c r="H9" s="31"/>
      <c r="I9" s="31"/>
      <c r="J9" s="31"/>
      <c r="K9" s="31"/>
      <c r="L9" s="31"/>
      <c r="M9" s="31"/>
      <c r="N9" s="31"/>
      <c r="O9" s="31"/>
      <c r="P9" s="32"/>
      <c r="Q9" s="26"/>
      <c r="R9" s="30"/>
      <c r="S9" s="31"/>
      <c r="T9" s="31"/>
      <c r="U9" s="31"/>
      <c r="V9" s="31"/>
      <c r="W9" s="31"/>
      <c r="X9" s="31"/>
      <c r="Y9" s="31"/>
      <c r="Z9" s="31"/>
      <c r="AA9" s="31"/>
      <c r="AB9" s="31"/>
      <c r="AC9" s="31"/>
      <c r="AD9" s="31"/>
      <c r="AE9" s="31"/>
      <c r="AF9" s="31"/>
      <c r="AG9" s="31"/>
      <c r="AH9" s="31"/>
      <c r="AI9" s="31"/>
      <c r="AJ9" s="31"/>
      <c r="AK9" s="31"/>
      <c r="AL9" s="31"/>
      <c r="AM9" s="31"/>
      <c r="AN9" s="31"/>
      <c r="AO9" s="32"/>
      <c r="AP9" s="27"/>
      <c r="AQ9" s="30"/>
      <c r="AR9" s="31"/>
      <c r="AS9" s="31"/>
      <c r="AT9" s="31"/>
      <c r="AU9" s="31"/>
      <c r="AV9" s="31"/>
      <c r="AW9" s="31"/>
      <c r="AX9" s="31"/>
      <c r="AY9" s="31"/>
      <c r="AZ9" s="31"/>
      <c r="BA9" s="31"/>
      <c r="BB9" s="32"/>
      <c r="BC9" s="28"/>
    </row>
    <row r="10" ht="13.5" customHeight="1">
      <c r="A10" s="22"/>
      <c r="B10" s="389" t="s">
        <v>9</v>
      </c>
      <c r="C10" s="34"/>
      <c r="D10" s="35"/>
      <c r="E10" s="36"/>
      <c r="F10" s="34"/>
      <c r="G10" s="34"/>
      <c r="H10" s="34"/>
      <c r="I10" s="34"/>
      <c r="J10" s="34"/>
      <c r="K10" s="34"/>
      <c r="L10" s="34"/>
      <c r="M10" s="34"/>
      <c r="N10" s="34"/>
      <c r="O10" s="34"/>
      <c r="P10" s="35"/>
      <c r="Q10" s="26"/>
      <c r="R10" s="390" t="s">
        <v>10</v>
      </c>
      <c r="S10" s="24"/>
      <c r="T10" s="24"/>
      <c r="U10" s="25"/>
      <c r="V10" s="38"/>
      <c r="W10" s="25"/>
      <c r="X10" s="391">
        <f>Int(DIVIDE(V10,2))</f>
        <v>0</v>
      </c>
      <c r="Y10" s="35"/>
      <c r="Z10" s="392" t="s">
        <v>11</v>
      </c>
      <c r="AA10" s="24"/>
      <c r="AB10" s="24"/>
      <c r="AC10" s="25"/>
      <c r="AD10" s="38"/>
      <c r="AE10" s="25"/>
      <c r="AF10" s="391">
        <f>Int(DIVIDE(AD10,2))</f>
        <v>0</v>
      </c>
      <c r="AG10" s="35"/>
      <c r="AH10" s="392" t="s">
        <v>12</v>
      </c>
      <c r="AI10" s="24"/>
      <c r="AJ10" s="24"/>
      <c r="AK10" s="25"/>
      <c r="AL10" s="38"/>
      <c r="AM10" s="25"/>
      <c r="AN10" s="391">
        <f>Int(DIVIDE(AL10,2))</f>
        <v>0</v>
      </c>
      <c r="AO10" s="35"/>
      <c r="AP10" s="28"/>
      <c r="AQ10" s="290"/>
      <c r="BB10" s="15"/>
      <c r="BC10" s="3"/>
    </row>
    <row r="11" ht="13.5" customHeight="1">
      <c r="A11" s="22"/>
      <c r="B11" s="389" t="s">
        <v>13</v>
      </c>
      <c r="C11" s="34"/>
      <c r="D11" s="35"/>
      <c r="E11" s="42"/>
      <c r="F11" s="34"/>
      <c r="G11" s="34"/>
      <c r="H11" s="34"/>
      <c r="I11" s="34"/>
      <c r="J11" s="34"/>
      <c r="K11" s="34"/>
      <c r="L11" s="34"/>
      <c r="M11" s="34"/>
      <c r="N11" s="34"/>
      <c r="O11" s="34"/>
      <c r="P11" s="35"/>
      <c r="Q11" s="26"/>
      <c r="R11" s="30"/>
      <c r="S11" s="31"/>
      <c r="T11" s="31"/>
      <c r="U11" s="32"/>
      <c r="V11" s="30"/>
      <c r="W11" s="32"/>
      <c r="X11" s="393">
        <f>int(DIVIDE(V10,5))</f>
        <v>0</v>
      </c>
      <c r="Y11" s="35"/>
      <c r="Z11" s="30"/>
      <c r="AA11" s="31"/>
      <c r="AB11" s="31"/>
      <c r="AC11" s="32"/>
      <c r="AD11" s="30"/>
      <c r="AE11" s="32"/>
      <c r="AF11" s="393">
        <f>int(DIVIDE(AD10,5))</f>
        <v>0</v>
      </c>
      <c r="AG11" s="35"/>
      <c r="AH11" s="30"/>
      <c r="AI11" s="31"/>
      <c r="AJ11" s="31"/>
      <c r="AK11" s="32"/>
      <c r="AL11" s="30"/>
      <c r="AM11" s="32"/>
      <c r="AN11" s="393">
        <f>int(DIVIDE(AL10,5))</f>
        <v>0</v>
      </c>
      <c r="AO11" s="35"/>
      <c r="AP11" s="28"/>
      <c r="AQ11" s="9"/>
      <c r="BB11" s="15"/>
      <c r="BC11" s="2"/>
    </row>
    <row r="12" ht="13.5" customHeight="1">
      <c r="A12" s="22"/>
      <c r="B12" s="394" t="s">
        <v>14</v>
      </c>
      <c r="C12" s="34"/>
      <c r="D12" s="35"/>
      <c r="E12" s="45" t="s">
        <v>164</v>
      </c>
      <c r="J12" s="395" t="s">
        <v>16</v>
      </c>
      <c r="K12" s="35"/>
      <c r="L12" s="36"/>
      <c r="M12" s="34"/>
      <c r="N12" s="34"/>
      <c r="O12" s="34"/>
      <c r="P12" s="35"/>
      <c r="Q12" s="26"/>
      <c r="R12" s="390" t="s">
        <v>17</v>
      </c>
      <c r="S12" s="24"/>
      <c r="T12" s="24"/>
      <c r="U12" s="25"/>
      <c r="V12" s="38"/>
      <c r="W12" s="25"/>
      <c r="X12" s="391">
        <f>Int(DIVIDE(V12,2))</f>
        <v>0</v>
      </c>
      <c r="Y12" s="35"/>
      <c r="Z12" s="390" t="s">
        <v>18</v>
      </c>
      <c r="AA12" s="24"/>
      <c r="AB12" s="24"/>
      <c r="AC12" s="25"/>
      <c r="AD12" s="38"/>
      <c r="AE12" s="25"/>
      <c r="AF12" s="391">
        <f>Int(DIVIDE(AD12,2))</f>
        <v>0</v>
      </c>
      <c r="AG12" s="35"/>
      <c r="AH12" s="392" t="s">
        <v>19</v>
      </c>
      <c r="AI12" s="24"/>
      <c r="AJ12" s="24"/>
      <c r="AK12" s="25"/>
      <c r="AL12" s="38"/>
      <c r="AM12" s="25"/>
      <c r="AN12" s="391">
        <f>Int(DIVIDE(AL12,2))</f>
        <v>0</v>
      </c>
      <c r="AO12" s="35"/>
      <c r="AP12" s="28"/>
      <c r="AQ12" s="9"/>
      <c r="BB12" s="15"/>
      <c r="BC12" s="3"/>
    </row>
    <row r="13" ht="13.5" customHeight="1">
      <c r="A13" s="22"/>
      <c r="B13" s="389" t="s">
        <v>20</v>
      </c>
      <c r="C13" s="34"/>
      <c r="D13" s="35"/>
      <c r="E13" s="47"/>
      <c r="F13" s="34"/>
      <c r="G13" s="34"/>
      <c r="H13" s="34"/>
      <c r="I13" s="35"/>
      <c r="J13" s="396" t="s">
        <v>21</v>
      </c>
      <c r="K13" s="35"/>
      <c r="L13" s="36"/>
      <c r="M13" s="34"/>
      <c r="N13" s="34"/>
      <c r="O13" s="34"/>
      <c r="P13" s="35"/>
      <c r="Q13" s="26"/>
      <c r="R13" s="30"/>
      <c r="S13" s="31"/>
      <c r="T13" s="31"/>
      <c r="U13" s="32"/>
      <c r="V13" s="30"/>
      <c r="W13" s="32"/>
      <c r="X13" s="393">
        <f>int(DIVIDE(V12,5))</f>
        <v>0</v>
      </c>
      <c r="Y13" s="35"/>
      <c r="Z13" s="30"/>
      <c r="AA13" s="31"/>
      <c r="AB13" s="31"/>
      <c r="AC13" s="32"/>
      <c r="AD13" s="30"/>
      <c r="AE13" s="32"/>
      <c r="AF13" s="393">
        <f>int(DIVIDE(AD12,5))</f>
        <v>0</v>
      </c>
      <c r="AG13" s="35"/>
      <c r="AH13" s="30"/>
      <c r="AI13" s="31"/>
      <c r="AJ13" s="31"/>
      <c r="AK13" s="32"/>
      <c r="AL13" s="30"/>
      <c r="AM13" s="32"/>
      <c r="AN13" s="393">
        <f>int(DIVIDE(AL12,5))</f>
        <v>0</v>
      </c>
      <c r="AO13" s="35"/>
      <c r="AP13" s="28"/>
      <c r="AQ13" s="9"/>
      <c r="BB13" s="15"/>
      <c r="BC13" s="3"/>
    </row>
    <row r="14" ht="13.5" customHeight="1">
      <c r="A14" s="22"/>
      <c r="B14" s="389" t="s">
        <v>22</v>
      </c>
      <c r="C14" s="34"/>
      <c r="D14" s="35"/>
      <c r="E14" s="47"/>
      <c r="F14" s="34"/>
      <c r="G14" s="34"/>
      <c r="H14" s="34"/>
      <c r="I14" s="35"/>
      <c r="J14" s="396" t="s">
        <v>23</v>
      </c>
      <c r="K14" s="35"/>
      <c r="L14" s="36"/>
      <c r="M14" s="34"/>
      <c r="N14" s="34"/>
      <c r="O14" s="34"/>
      <c r="P14" s="35"/>
      <c r="Q14" s="26"/>
      <c r="R14" s="390" t="s">
        <v>24</v>
      </c>
      <c r="S14" s="24"/>
      <c r="T14" s="24"/>
      <c r="U14" s="25"/>
      <c r="V14" s="38"/>
      <c r="W14" s="25"/>
      <c r="X14" s="397">
        <f>Int(DIVIDE(V14,2))</f>
        <v>0</v>
      </c>
      <c r="Y14" s="35"/>
      <c r="Z14" s="392" t="s">
        <v>25</v>
      </c>
      <c r="AA14" s="24"/>
      <c r="AB14" s="24"/>
      <c r="AC14" s="25"/>
      <c r="AD14" s="38"/>
      <c r="AE14" s="25"/>
      <c r="AF14" s="397">
        <f>Int(DIVIDE(AD14,2))</f>
        <v>0</v>
      </c>
      <c r="AG14" s="35"/>
      <c r="AH14" s="390" t="s">
        <v>26</v>
      </c>
      <c r="AI14" s="24"/>
      <c r="AJ14" s="24"/>
      <c r="AK14" s="25"/>
      <c r="AL14" s="38"/>
      <c r="AM14" s="25"/>
      <c r="AN14" s="397">
        <f>Int(DIVIDE(AL14,2))</f>
        <v>0</v>
      </c>
      <c r="AO14" s="35"/>
      <c r="AP14" s="28"/>
      <c r="AQ14" s="9"/>
      <c r="BB14" s="15"/>
      <c r="BC14" s="3"/>
    </row>
    <row r="15" ht="13.5" customHeight="1">
      <c r="A15" s="22"/>
      <c r="B15" s="389" t="s">
        <v>27</v>
      </c>
      <c r="C15" s="34"/>
      <c r="D15" s="35"/>
      <c r="E15" s="47"/>
      <c r="F15" s="34"/>
      <c r="G15" s="34"/>
      <c r="H15" s="34"/>
      <c r="I15" s="35"/>
      <c r="J15" s="396" t="s">
        <v>28</v>
      </c>
      <c r="K15" s="35"/>
      <c r="L15" s="36"/>
      <c r="M15" s="34"/>
      <c r="N15" s="34"/>
      <c r="O15" s="34"/>
      <c r="P15" s="35"/>
      <c r="Q15" s="26"/>
      <c r="R15" s="30"/>
      <c r="S15" s="31"/>
      <c r="T15" s="31"/>
      <c r="U15" s="32"/>
      <c r="V15" s="30"/>
      <c r="W15" s="32"/>
      <c r="X15" s="398">
        <f>int(DIVIDE(V14,5))</f>
        <v>0</v>
      </c>
      <c r="Y15" s="35"/>
      <c r="Z15" s="30"/>
      <c r="AA15" s="31"/>
      <c r="AB15" s="31"/>
      <c r="AC15" s="32"/>
      <c r="AD15" s="30"/>
      <c r="AE15" s="32"/>
      <c r="AF15" s="398">
        <f>int(DIVIDE(AD14,5))</f>
        <v>0</v>
      </c>
      <c r="AG15" s="35"/>
      <c r="AH15" s="30"/>
      <c r="AI15" s="31"/>
      <c r="AJ15" s="31"/>
      <c r="AK15" s="32"/>
      <c r="AL15" s="30"/>
      <c r="AM15" s="32"/>
      <c r="AN15" s="398">
        <f>int(DIVIDE(AL14,5))</f>
        <v>0</v>
      </c>
      <c r="AO15" s="35"/>
      <c r="AP15" s="28"/>
      <c r="AQ15" s="9"/>
      <c r="BB15" s="15"/>
      <c r="BC15" s="3"/>
    </row>
    <row r="16" ht="13.5" customHeight="1">
      <c r="A16" s="2"/>
      <c r="B16" s="51"/>
      <c r="C16" s="51"/>
      <c r="D16" s="51"/>
      <c r="E16" s="51"/>
      <c r="F16" s="51"/>
      <c r="G16" s="51"/>
      <c r="H16" s="51"/>
      <c r="I16" s="51"/>
      <c r="J16" s="51"/>
      <c r="K16" s="51"/>
      <c r="L16" s="51"/>
      <c r="M16" s="51"/>
      <c r="N16" s="51"/>
      <c r="O16" s="51"/>
      <c r="P16" s="51"/>
      <c r="Q16" s="52"/>
      <c r="R16" s="51"/>
      <c r="S16" s="51"/>
      <c r="T16" s="51"/>
      <c r="U16" s="51"/>
      <c r="V16" s="51"/>
      <c r="W16" s="51"/>
      <c r="X16" s="51"/>
      <c r="Y16" s="51"/>
      <c r="Z16" s="51"/>
      <c r="AA16" s="51"/>
      <c r="AB16" s="51"/>
      <c r="AC16" s="53"/>
      <c r="AD16" s="53"/>
      <c r="AE16" s="53"/>
      <c r="AF16" s="53"/>
      <c r="AG16" s="53"/>
      <c r="AH16" s="53"/>
      <c r="AI16" s="53"/>
      <c r="AJ16" s="53"/>
      <c r="AK16" s="53"/>
      <c r="AL16" s="53"/>
      <c r="AM16" s="53"/>
      <c r="AN16" s="53"/>
      <c r="AO16" s="53"/>
      <c r="AP16" s="3"/>
      <c r="AQ16" s="9"/>
      <c r="BB16" s="15"/>
      <c r="BC16" s="3"/>
    </row>
    <row r="17" ht="13.5" customHeight="1">
      <c r="A17" s="22"/>
      <c r="B17" s="399" t="s">
        <v>29</v>
      </c>
      <c r="C17" s="5"/>
      <c r="D17" s="5"/>
      <c r="E17" s="5"/>
      <c r="F17" s="5"/>
      <c r="G17" s="5"/>
      <c r="H17" s="5"/>
      <c r="I17" s="5"/>
      <c r="J17" s="5"/>
      <c r="K17" s="5"/>
      <c r="L17" s="5"/>
      <c r="M17" s="5"/>
      <c r="N17" s="55"/>
      <c r="O17" s="400" t="s">
        <v>30</v>
      </c>
      <c r="P17" s="5"/>
      <c r="Q17" s="5"/>
      <c r="R17" s="5"/>
      <c r="S17" s="5"/>
      <c r="T17" s="401">
        <f>IF(E12="간호사", AL12*4,
IF(E12="갱 보스", AL12*2+AD12*2,
IF(E12="건달", AL12*2+MAX(V10*2,AD10*2),
IF(E12="건 몰", AL12*2+AD12*2,
IF(E12="건축가", AL12*4,
IF(E12="경관", AL12*2+MAX(V10*2,AD10*2),
IF(E12="고고학자", AL12*4,
IF(E12="곡예사", AL12*2+AD10*2,
IF(E12="골동품상", AL12*4,
IF(E12="골동품 연구가", AL12*4,
IF(E12="과학자", AL12*4,
IF(E12="광부", AL12*2+MAX(V10*2,AD10*2),
IF(E12="광신자", AL12*2+MAX(AD12*2,AL10*2),
IF(E12="교수", AL12*4,
IF(E12="교주", AL12*2+AD12*2,
IF(E12="기술자", AL12*4,
IF(E12="기자", AL12*4,
IF(E12="깡패", AL12*2+V10*2,
IF(E12="노조 활동가", AL12*4,
IF(E12="농부", AL12*2+MAX(V10*2,AD10*2),
IF(E12="단독 범죄자", AL12*2+MAX(AD10*2,AD12*2),
IF(E12="대학생", AL12*4,
IF(E12="도둑", AL12*2+AD10*2,
IF(E12="도박사", AL12*2+MAX(AD10*2,AD12*2),
IF(E12="등반가", AL12*2+MAX(V10*2,AD10*2),
IF(E12="디자이너", AL12*4,
IF(E12="디프로그래머", AL12*4,
IF(E12="딜레탕트", AL12*2+AD12*2,
IF(E12="떠돌이", AL12*2+MAX(AD10*2,AD12*2),
IF(E12="리포터", AL12*4,
IF(E12="매춘부", AL12*2+AD12*2,
IF(E12="맹수사냥꾼", AL12*2+MAX(V10*2,AD10*2),
IF(E12="미술가", AL12*2+MAX(AD10*2,AL10*2),
IF(E12="밀수꾼", AL12*2+MAX(AD10*2,AD12*2),
IF(E12="밀주업자", AL12*2+V10*2,
IF(E12="바텐더", AL12*2+AD12*2,
IF(E12="박물관 큐레이터", AL12*4,
IF(E12="배우", AL12*2+AD12*2,
IF(E12="벌목꾼", AL12*2+MAX(V10*2,AD10*2),
IF(E12="법의학자", AL12*4,
IF(E12="변호사", AL12*4,
IF(E12="병사", AL12*2+MAX(V10*2,AD10*2),
IF(E12="병원 보조원", AL12*2+V10*2,
IF(E12="복서/레슬러", AL12*2+V10*2,
IF(E12="부랑자", AL12*2+MAX(AD12*2,V10*2,AD10*2),
IF(E12="부족민", AL12*2+MAX(V10*2,AD10*2),
IF(E12="부하 조직원", AL12*2+MAX(V10*2,AD10*2),
IF(E12="비서", AL12*2+MAX(AD10*2,AD12*2),
IF(E12="비숙련공", AL12*2+MAX(V10*2,AD10*2),
IF(E12="비행사", AL12*4,
IF(E12="사립탐정", AL12*2+MAX(V10*2,AD10*2),
IF(E12="사무원", AL12*4,
IF(E12="사서", AL12*4,
IF(E12="사육사", AL12*4,
IF(E12="사진가", AL12*4,
IF(E12="사진기자", AL12*4,
IF(E12="서적상", AL12*4,
IF(E12="선교사", AL12*2+AD12*2,
IF(E12="선원", AL12*2+MAX(V10*2,AD10*2),
IF(E12="선출직 공무원", AL12*2+AD12*2,
IF(E12="성직자", AL12*4,
IF(E12="소방관", AL12*2+MAX(V10*2,AD10*2),
IF(E12="수병", AL12*2+MAX(V10*2,AD10*2),
IF(E12="스턴트맨", AL12*2+MAX(V10*2,AD10*2),
IF(E12="스턴트우먼", AL12*2+MAX(V10*2,AD10*2),
IF(E12="스파이", AL12*2+MAX(AD10*2,AD12*2),
IF(E12="신비학자", AL12*4,
IF(E12="신사/숙녀", AL12*2+AD12*2,
IF(E12="심령학자", AL12*4,
IF(E12="심리학자", AL12*4,
IF(E12="약사", AL12*4,
IF(E12="엔지니어", AL12*4,
IF(E12="연구실 조수", AL12*4,
IF(E12="연구자", AL12*4,
IF(E12="연방 요원", AL12*4,
IF(E12="연예인", AL12*2+AD12*2,
IF(E12="연주자", AL12*2+MAX(AD10*2,AD12*2),
IF(E12="외신 기자", AL12*4,
IF(E12="운동선수", AL12*2+MAX(V10*2,AD10*2),
IF(E12="운전사", AL12*2+MAX(V10*2,AD10*2),
IF(E12="웨이터", AL12*2+MAX(AD10*2,AD12*2),
IF(E12="웨이트리스", AL12*2+MAX(AD10*2,AD12*2),
IF(E12="위조업자", AL12*4,
IF(E12="은행강도", AL12*2+MAX(V10*2,AD10*2),
IF(E12="의사", AL12*4,
IF(E12="인턴", AL12*4,
IF(E12="자객", AL12*2+MAX(V10*2,AD10*2),
IF(E12="자연 애호가", ,
IF(E12="작가", AL12*4,
IF(E12="잠수부", AL12*2+AD10*2,
IF(E12="장교", AL12*2+MAX(V10*2,AD10*2),
IF(E12="장물아비", AL12*2+AD12*2,
IF(E12="장의사", AL12*4,
IF(E12="장인", AL12*2+AD10*2,
IF(E12="전속 기사", AL12*2+AD10*2,
IF(E12="점장", AL12*2+MAX(AD10*2,AD12*2),
IF(E12="정신감정사", AL12*4,
IF(E12="정신과 의사", AL12*4,
IF(E12="정신병원 직원", AL12*2+MAX(V10*2,AD10*2),
IF(E12="정신분석가", AL12*4,
IF(E12="조련사", AL12*2+MAX(AD12*2,AL10*2),
IF(E12="조종사", AL12*2+AD10*2,
IF(E12="중상급 관리자", AL12*4,
IF(E12="집사", AL12*4,
IF(E12="카우걸/카우보이", AL12*2+MAX(V10*2,AD10*2),
IF(E12="컴퓨터 테크니션", AL12*4,
IF(E12="탐광인", AL12*2+MAX(V10*2,AD10*2),
IF(E12="탐험가", AL12*2+MAX(AD12*2,V10*2,AD10*2),
IF(E12="택시 운전사", AL12*2+AD10*2,
IF(E12="판매원", AL12*2+AD12*2,
IF(E12="판사", AL12*4,
IF(E12="편집자", AL12*4,
IF(E12="폭력배", AL12*2+V10*2,
IF(E12="프로그래머", AL12*4,
IF(E12="하녀", AL12*4,
IF(E12="하인", AL12*4,
IF(E12="해커", AL12*4,
IF(E12="현상금 사냥꾼", AL12*2+MAX(V10*2,AD10*2),
IF(E12="형사", AL12*2+MAX(V10*2,AD10*2),
IF(E12="회계사", AL12*4,
IF(E12="ETC", AL12*4,
IF(E12="회사 탐정", AL12*2+MAX(V10*2,AD10*2),"0"))))))))))))))))))))))))))))))))))))))))))))))))))))))))))))))))))))))))))))))))))))))))))))))))))))))))))))))))))))))))))</f>
        <v>0</v>
      </c>
      <c r="U17" s="5"/>
      <c r="V17" s="5"/>
      <c r="W17" s="7"/>
      <c r="X17" s="400" t="s">
        <v>31</v>
      </c>
      <c r="Y17" s="5"/>
      <c r="Z17" s="5"/>
      <c r="AA17" s="5"/>
      <c r="AB17" s="5"/>
      <c r="AC17" s="401">
        <f>(AD14*2)</f>
        <v>0</v>
      </c>
      <c r="AD17" s="5"/>
      <c r="AE17" s="5"/>
      <c r="AF17" s="5"/>
      <c r="AG17" s="7"/>
      <c r="AH17" s="400" t="s">
        <v>32</v>
      </c>
      <c r="AI17" s="5"/>
      <c r="AJ17" s="5"/>
      <c r="AK17" s="5"/>
      <c r="AL17" s="401">
        <f>(SUM(T17,AC17))-(SUM(H19:H36,R19:R36,AB19:AB36,AL19:AL36))+AY61+AB19</f>
        <v>0</v>
      </c>
      <c r="AM17" s="5"/>
      <c r="AN17" s="5"/>
      <c r="AO17" s="7"/>
      <c r="AP17" s="28"/>
      <c r="AQ17" s="9"/>
      <c r="BB17" s="15"/>
      <c r="BC17" s="3"/>
    </row>
    <row r="18" ht="13.5" customHeight="1">
      <c r="A18" s="22"/>
      <c r="B18" s="10"/>
      <c r="C18" s="11"/>
      <c r="D18" s="11"/>
      <c r="E18" s="11"/>
      <c r="F18" s="11"/>
      <c r="G18" s="11"/>
      <c r="H18" s="11"/>
      <c r="I18" s="11"/>
      <c r="J18" s="11"/>
      <c r="K18" s="11"/>
      <c r="L18" s="11"/>
      <c r="M18" s="11"/>
      <c r="N18" s="58"/>
      <c r="O18" s="10"/>
      <c r="P18" s="11"/>
      <c r="Q18" s="11"/>
      <c r="R18" s="11"/>
      <c r="S18" s="11"/>
      <c r="T18" s="59"/>
      <c r="U18" s="11"/>
      <c r="V18" s="11"/>
      <c r="W18" s="12"/>
      <c r="X18" s="10"/>
      <c r="Y18" s="11"/>
      <c r="Z18" s="11"/>
      <c r="AA18" s="11"/>
      <c r="AB18" s="11"/>
      <c r="AC18" s="59"/>
      <c r="AD18" s="11"/>
      <c r="AE18" s="11"/>
      <c r="AF18" s="11"/>
      <c r="AG18" s="12"/>
      <c r="AH18" s="10"/>
      <c r="AI18" s="11"/>
      <c r="AJ18" s="11"/>
      <c r="AK18" s="11"/>
      <c r="AL18" s="59"/>
      <c r="AM18" s="11"/>
      <c r="AN18" s="11"/>
      <c r="AO18" s="12"/>
      <c r="AP18" s="60"/>
      <c r="AQ18" s="9"/>
      <c r="BB18" s="15"/>
      <c r="BC18" s="3"/>
    </row>
    <row r="19" ht="16.5" customHeight="1">
      <c r="A19" s="22"/>
      <c r="B19" s="402" t="s">
        <v>33</v>
      </c>
      <c r="C19" s="403" t="s">
        <v>34</v>
      </c>
      <c r="G19" s="403">
        <v>25.0</v>
      </c>
      <c r="H19" s="404"/>
      <c r="I19" s="405">
        <f t="shared" ref="I19:I36" si="1">SUM(G19,H19)</f>
        <v>25</v>
      </c>
      <c r="J19" s="406">
        <f>int(DIVIDE(I19,2))</f>
        <v>12</v>
      </c>
      <c r="K19" s="407">
        <f t="shared" ref="K19:K36" si="2">int(DIVIDE(I19,5))</f>
        <v>5</v>
      </c>
      <c r="L19" s="402" t="s">
        <v>33</v>
      </c>
      <c r="M19" s="403" t="s">
        <v>35</v>
      </c>
      <c r="Q19" s="403">
        <v>0.0</v>
      </c>
      <c r="R19" s="408"/>
      <c r="S19" s="405">
        <f t="shared" ref="S19:S36" si="3">SUM(Q19,R19)</f>
        <v>0</v>
      </c>
      <c r="T19" s="409">
        <f t="shared" ref="T19:T36" si="4">Int(DIVIDE(S19,2))</f>
        <v>0</v>
      </c>
      <c r="U19" s="410">
        <f t="shared" ref="U19:U36" si="5">int(DIVIDE(S19,5))</f>
        <v>0</v>
      </c>
      <c r="V19" s="402" t="s">
        <v>33</v>
      </c>
      <c r="W19" s="403" t="s">
        <v>36</v>
      </c>
      <c r="AA19" s="403">
        <v>0.0</v>
      </c>
      <c r="AB19" s="411"/>
      <c r="AC19" s="405">
        <f t="shared" ref="AC19:AC36" si="6">SUM(AA19,AB19)</f>
        <v>0</v>
      </c>
      <c r="AD19" s="409">
        <f t="shared" ref="AD19:AD36" si="7">Int(DIVIDE(AC19,2))</f>
        <v>0</v>
      </c>
      <c r="AE19" s="410">
        <f t="shared" ref="AE19:AE36" si="8">int(DIVIDE(AC19,5))</f>
        <v>0</v>
      </c>
      <c r="AF19" s="402" t="s">
        <v>33</v>
      </c>
      <c r="AG19" s="403" t="s">
        <v>37</v>
      </c>
      <c r="AK19" s="412">
        <v>1.0</v>
      </c>
      <c r="AL19" s="413"/>
      <c r="AM19" s="414">
        <f t="shared" ref="AM19:AM36" si="9">SUM(AK19,AL19)</f>
        <v>1</v>
      </c>
      <c r="AN19" s="406">
        <f t="shared" ref="AN19:AN36" si="10">Int(DIVIDE(AM19,2))</f>
        <v>0</v>
      </c>
      <c r="AO19" s="407">
        <f t="shared" ref="AO19:AO36" si="11">int(DIVIDE(AM19,5))</f>
        <v>0</v>
      </c>
      <c r="AP19" s="60"/>
      <c r="AQ19" s="10"/>
      <c r="AR19" s="11"/>
      <c r="AS19" s="11"/>
      <c r="AT19" s="11"/>
      <c r="AU19" s="11"/>
      <c r="AV19" s="11"/>
      <c r="AW19" s="11"/>
      <c r="AX19" s="11"/>
      <c r="AY19" s="11"/>
      <c r="AZ19" s="11"/>
      <c r="BA19" s="11"/>
      <c r="BB19" s="12"/>
      <c r="BC19" s="3"/>
    </row>
    <row r="20" ht="16.5" customHeight="1">
      <c r="A20" s="22"/>
      <c r="B20" s="402" t="s">
        <v>33</v>
      </c>
      <c r="C20" s="403" t="s">
        <v>38</v>
      </c>
      <c r="G20" s="403">
        <v>20.0</v>
      </c>
      <c r="H20" s="408"/>
      <c r="I20" s="405">
        <f t="shared" si="1"/>
        <v>20</v>
      </c>
      <c r="J20" s="406">
        <f t="shared" ref="J20:J22" si="12">Int(DIVIDE(I20,2))</f>
        <v>10</v>
      </c>
      <c r="K20" s="407">
        <f t="shared" si="2"/>
        <v>4</v>
      </c>
      <c r="L20" s="402" t="s">
        <v>33</v>
      </c>
      <c r="M20" s="403" t="s">
        <v>39</v>
      </c>
      <c r="Q20" s="403">
        <v>5.0</v>
      </c>
      <c r="R20" s="413"/>
      <c r="S20" s="405">
        <f t="shared" si="3"/>
        <v>5</v>
      </c>
      <c r="T20" s="409">
        <f t="shared" si="4"/>
        <v>2</v>
      </c>
      <c r="U20" s="410">
        <f t="shared" si="5"/>
        <v>1</v>
      </c>
      <c r="V20" s="415" t="s">
        <v>33</v>
      </c>
      <c r="W20" s="403" t="s">
        <v>40</v>
      </c>
      <c r="AA20" s="403">
        <v>5.0</v>
      </c>
      <c r="AB20" s="408"/>
      <c r="AC20" s="405">
        <f t="shared" si="6"/>
        <v>5</v>
      </c>
      <c r="AD20" s="409">
        <f t="shared" si="7"/>
        <v>2</v>
      </c>
      <c r="AE20" s="410">
        <f t="shared" si="8"/>
        <v>1</v>
      </c>
      <c r="AF20" s="402" t="s">
        <v>33</v>
      </c>
      <c r="AG20" s="403" t="s">
        <v>41</v>
      </c>
      <c r="AK20" s="412">
        <v>30.0</v>
      </c>
      <c r="AL20" s="408"/>
      <c r="AM20" s="414">
        <f t="shared" si="9"/>
        <v>30</v>
      </c>
      <c r="AN20" s="406">
        <f t="shared" si="10"/>
        <v>15</v>
      </c>
      <c r="AO20" s="407">
        <f t="shared" si="11"/>
        <v>6</v>
      </c>
      <c r="AP20" s="28"/>
      <c r="AQ20" s="98"/>
      <c r="AR20" s="98"/>
      <c r="AS20" s="98"/>
      <c r="AT20" s="98"/>
      <c r="AU20" s="98"/>
      <c r="AV20" s="98"/>
      <c r="AW20" s="98"/>
      <c r="AX20" s="98"/>
      <c r="AY20" s="98"/>
      <c r="AZ20" s="98"/>
      <c r="BA20" s="98"/>
      <c r="BB20" s="98"/>
      <c r="BC20" s="3"/>
    </row>
    <row r="21" ht="16.5" customHeight="1">
      <c r="A21" s="22"/>
      <c r="B21" s="402" t="s">
        <v>33</v>
      </c>
      <c r="C21" s="403" t="s">
        <v>42</v>
      </c>
      <c r="G21" s="403">
        <v>20.0</v>
      </c>
      <c r="H21" s="408"/>
      <c r="I21" s="405">
        <f t="shared" si="1"/>
        <v>20</v>
      </c>
      <c r="J21" s="406">
        <f t="shared" si="12"/>
        <v>10</v>
      </c>
      <c r="K21" s="407">
        <f t="shared" si="2"/>
        <v>4</v>
      </c>
      <c r="L21" s="402" t="s">
        <v>33</v>
      </c>
      <c r="M21" s="403" t="s">
        <v>43</v>
      </c>
      <c r="Q21" s="403">
        <v>10.0</v>
      </c>
      <c r="R21" s="413"/>
      <c r="S21" s="405">
        <f t="shared" si="3"/>
        <v>10</v>
      </c>
      <c r="T21" s="409">
        <f t="shared" si="4"/>
        <v>5</v>
      </c>
      <c r="U21" s="410">
        <f t="shared" si="5"/>
        <v>2</v>
      </c>
      <c r="V21" s="402" t="s">
        <v>33</v>
      </c>
      <c r="W21" s="403" t="s">
        <v>44</v>
      </c>
      <c r="AA21" s="403">
        <v>1.0</v>
      </c>
      <c r="AB21" s="413"/>
      <c r="AC21" s="405">
        <f t="shared" si="6"/>
        <v>1</v>
      </c>
      <c r="AD21" s="409">
        <f t="shared" si="7"/>
        <v>0</v>
      </c>
      <c r="AE21" s="410">
        <f t="shared" si="8"/>
        <v>0</v>
      </c>
      <c r="AF21" s="402" t="s">
        <v>33</v>
      </c>
      <c r="AG21" s="403" t="s">
        <v>45</v>
      </c>
      <c r="AK21" s="412">
        <v>10.0</v>
      </c>
      <c r="AL21" s="413"/>
      <c r="AM21" s="414">
        <f t="shared" si="9"/>
        <v>10</v>
      </c>
      <c r="AN21" s="406">
        <f t="shared" si="10"/>
        <v>5</v>
      </c>
      <c r="AO21" s="407">
        <f t="shared" si="11"/>
        <v>2</v>
      </c>
      <c r="AP21" s="99"/>
      <c r="AQ21" s="399" t="s">
        <v>46</v>
      </c>
      <c r="AR21" s="5"/>
      <c r="AS21" s="5"/>
      <c r="AT21" s="5"/>
      <c r="AU21" s="5"/>
      <c r="AV21" s="5"/>
      <c r="AW21" s="5"/>
      <c r="AX21" s="5"/>
      <c r="AY21" s="5"/>
      <c r="AZ21" s="5"/>
      <c r="BA21" s="5"/>
      <c r="BB21" s="7"/>
      <c r="BC21" s="3"/>
    </row>
    <row r="22" ht="16.5" customHeight="1">
      <c r="A22" s="22"/>
      <c r="B22" s="402" t="s">
        <v>33</v>
      </c>
      <c r="C22" s="403" t="s">
        <v>47</v>
      </c>
      <c r="G22" s="403">
        <v>5.0</v>
      </c>
      <c r="H22" s="408"/>
      <c r="I22" s="405">
        <f t="shared" si="1"/>
        <v>5</v>
      </c>
      <c r="J22" s="406">
        <f t="shared" si="12"/>
        <v>2</v>
      </c>
      <c r="K22" s="407">
        <f t="shared" si="2"/>
        <v>1</v>
      </c>
      <c r="L22" s="402" t="s">
        <v>33</v>
      </c>
      <c r="M22" s="416" t="s">
        <v>48</v>
      </c>
      <c r="Q22" s="403">
        <v>1.0</v>
      </c>
      <c r="R22" s="408"/>
      <c r="S22" s="405">
        <f t="shared" si="3"/>
        <v>1</v>
      </c>
      <c r="T22" s="409">
        <f t="shared" si="4"/>
        <v>0</v>
      </c>
      <c r="U22" s="410">
        <f t="shared" si="5"/>
        <v>0</v>
      </c>
      <c r="V22" s="402" t="s">
        <v>33</v>
      </c>
      <c r="W22" s="403" t="s">
        <v>49</v>
      </c>
      <c r="AA22" s="403">
        <v>10.0</v>
      </c>
      <c r="AB22" s="408"/>
      <c r="AC22" s="405">
        <f t="shared" si="6"/>
        <v>10</v>
      </c>
      <c r="AD22" s="409">
        <f t="shared" si="7"/>
        <v>5</v>
      </c>
      <c r="AE22" s="410">
        <f t="shared" si="8"/>
        <v>2</v>
      </c>
      <c r="AF22" s="402" t="s">
        <v>33</v>
      </c>
      <c r="AG22" s="403" t="s">
        <v>50</v>
      </c>
      <c r="AK22" s="412">
        <v>20.0</v>
      </c>
      <c r="AL22" s="408"/>
      <c r="AM22" s="414">
        <f t="shared" si="9"/>
        <v>20</v>
      </c>
      <c r="AN22" s="406">
        <f t="shared" si="10"/>
        <v>10</v>
      </c>
      <c r="AO22" s="407">
        <f t="shared" si="11"/>
        <v>4</v>
      </c>
      <c r="AP22" s="28"/>
      <c r="AQ22" s="10"/>
      <c r="AR22" s="11"/>
      <c r="AS22" s="11"/>
      <c r="AT22" s="11"/>
      <c r="AU22" s="11"/>
      <c r="AV22" s="11"/>
      <c r="AW22" s="11"/>
      <c r="AX22" s="11"/>
      <c r="AY22" s="11"/>
      <c r="AZ22" s="11"/>
      <c r="BA22" s="11"/>
      <c r="BB22" s="12"/>
      <c r="BC22" s="3"/>
    </row>
    <row r="23" ht="16.5" customHeight="1">
      <c r="A23" s="22"/>
      <c r="B23" s="402" t="s">
        <v>33</v>
      </c>
      <c r="C23" s="403" t="s">
        <v>51</v>
      </c>
      <c r="G23" s="403">
        <v>1.0</v>
      </c>
      <c r="H23" s="408"/>
      <c r="I23" s="405">
        <f t="shared" si="1"/>
        <v>1</v>
      </c>
      <c r="J23" s="406">
        <f>int(DIVIDE(I23,2))</f>
        <v>0</v>
      </c>
      <c r="K23" s="407">
        <f t="shared" si="2"/>
        <v>0</v>
      </c>
      <c r="L23" s="402" t="s">
        <v>33</v>
      </c>
      <c r="M23" s="417"/>
      <c r="Q23" s="403"/>
      <c r="R23" s="413"/>
      <c r="S23" s="405">
        <f t="shared" si="3"/>
        <v>0</v>
      </c>
      <c r="T23" s="409">
        <f t="shared" si="4"/>
        <v>0</v>
      </c>
      <c r="U23" s="410">
        <f t="shared" si="5"/>
        <v>0</v>
      </c>
      <c r="V23" s="402" t="s">
        <v>33</v>
      </c>
      <c r="W23" s="403" t="s">
        <v>52</v>
      </c>
      <c r="AA23" s="403">
        <v>15.0</v>
      </c>
      <c r="AB23" s="413"/>
      <c r="AC23" s="405">
        <f t="shared" si="6"/>
        <v>15</v>
      </c>
      <c r="AD23" s="409">
        <f t="shared" si="7"/>
        <v>7</v>
      </c>
      <c r="AE23" s="410">
        <f t="shared" si="8"/>
        <v>3</v>
      </c>
      <c r="AF23" s="402" t="s">
        <v>33</v>
      </c>
      <c r="AG23" s="403" t="s">
        <v>53</v>
      </c>
      <c r="AK23" s="412">
        <v>20.0</v>
      </c>
      <c r="AL23" s="408"/>
      <c r="AM23" s="414">
        <f t="shared" si="9"/>
        <v>20</v>
      </c>
      <c r="AN23" s="406">
        <f t="shared" si="10"/>
        <v>10</v>
      </c>
      <c r="AO23" s="407">
        <f t="shared" si="11"/>
        <v>4</v>
      </c>
      <c r="AP23" s="28"/>
      <c r="AQ23" s="418" t="s">
        <v>54</v>
      </c>
      <c r="AR23" s="105"/>
      <c r="AS23" s="105"/>
      <c r="AT23" s="105"/>
      <c r="AU23" s="105"/>
      <c r="AV23" s="105"/>
      <c r="AW23" s="419">
        <f>if((V10+V14)&lt;=64,-2,if((V10+V14)&lt;=84,-1,if((V10+V14)&lt;=124,0,if((V10+V14)&lt;=164,"+1D4",if((V10+V14)&lt;=204,"+1D6",if((V10+V14)&lt;=284,"+2D6",if((V10+V14)&lt;=20364,"+3D6",if((V10+V14)&lt;=444,"+4D6",if((V10+V14)&lt;=524,"+5D6")))))))))
</f>
        <v>-2</v>
      </c>
      <c r="AX23" s="105"/>
      <c r="AY23" s="105"/>
      <c r="AZ23" s="105"/>
      <c r="BA23" s="105"/>
      <c r="BB23" s="107"/>
      <c r="BC23" s="3"/>
    </row>
    <row r="24" ht="16.5" customHeight="1">
      <c r="A24" s="22"/>
      <c r="B24" s="402" t="s">
        <v>33</v>
      </c>
      <c r="C24" s="403" t="s">
        <v>55</v>
      </c>
      <c r="G24" s="403">
        <v>10.0</v>
      </c>
      <c r="H24" s="408"/>
      <c r="I24" s="405">
        <f t="shared" si="1"/>
        <v>10</v>
      </c>
      <c r="J24" s="406">
        <f t="shared" ref="J24:J26" si="13">Int(DIVIDE(I24,2))</f>
        <v>5</v>
      </c>
      <c r="K24" s="407">
        <f t="shared" si="2"/>
        <v>2</v>
      </c>
      <c r="L24" s="402" t="s">
        <v>33</v>
      </c>
      <c r="M24" s="417"/>
      <c r="Q24" s="403"/>
      <c r="R24" s="413"/>
      <c r="S24" s="405">
        <f t="shared" si="3"/>
        <v>0</v>
      </c>
      <c r="T24" s="409">
        <f t="shared" si="4"/>
        <v>0</v>
      </c>
      <c r="U24" s="410">
        <f t="shared" si="5"/>
        <v>0</v>
      </c>
      <c r="V24" s="402" t="s">
        <v>33</v>
      </c>
      <c r="W24" s="403" t="s">
        <v>56</v>
      </c>
      <c r="AA24" s="403">
        <v>15.0</v>
      </c>
      <c r="AB24" s="408"/>
      <c r="AC24" s="405">
        <f t="shared" si="6"/>
        <v>15</v>
      </c>
      <c r="AD24" s="409">
        <f t="shared" si="7"/>
        <v>7</v>
      </c>
      <c r="AE24" s="410">
        <f t="shared" si="8"/>
        <v>3</v>
      </c>
      <c r="AF24" s="402" t="s">
        <v>33</v>
      </c>
      <c r="AG24" s="403" t="s">
        <v>57</v>
      </c>
      <c r="AK24" s="412">
        <v>20.0</v>
      </c>
      <c r="AL24" s="408"/>
      <c r="AM24" s="414">
        <f t="shared" si="9"/>
        <v>20</v>
      </c>
      <c r="AN24" s="406">
        <f t="shared" si="10"/>
        <v>10</v>
      </c>
      <c r="AO24" s="407">
        <f t="shared" si="11"/>
        <v>4</v>
      </c>
      <c r="AP24" s="28"/>
      <c r="AQ24" s="418" t="s">
        <v>58</v>
      </c>
      <c r="AR24" s="105"/>
      <c r="AS24" s="105"/>
      <c r="AT24" s="105"/>
      <c r="AU24" s="105"/>
      <c r="AV24" s="105"/>
      <c r="AW24" s="419">
        <f>if((V10+V14)&lt;=64,-2,if((V10+V14)&lt;=84,-1,if((V10+V14)&lt;=124,0,if((V10+V14)&lt;=164,"+1",if((V10+V14)&lt;=204,"+2",if((V10+V14)&lt;=284,"+3",if((V10+V14)&lt;=20364,"+4",if((V10+V14)&lt;=444,"+5",if((V10+V14)&lt;=524,"+6")))))))))</f>
        <v>-2</v>
      </c>
      <c r="AX24" s="105"/>
      <c r="AY24" s="105"/>
      <c r="AZ24" s="105"/>
      <c r="BA24" s="105"/>
      <c r="BB24" s="107"/>
      <c r="BC24" s="3"/>
    </row>
    <row r="25" ht="16.5" customHeight="1">
      <c r="A25" s="22"/>
      <c r="B25" s="402" t="s">
        <v>33</v>
      </c>
      <c r="C25" s="403" t="s">
        <v>59</v>
      </c>
      <c r="G25" s="403">
        <v>10.0</v>
      </c>
      <c r="H25" s="413"/>
      <c r="I25" s="405">
        <f t="shared" si="1"/>
        <v>10</v>
      </c>
      <c r="J25" s="406">
        <f t="shared" si="13"/>
        <v>5</v>
      </c>
      <c r="K25" s="407">
        <f t="shared" si="2"/>
        <v>2</v>
      </c>
      <c r="L25" s="402" t="s">
        <v>33</v>
      </c>
      <c r="M25" s="403" t="s">
        <v>60</v>
      </c>
      <c r="Q25" s="403">
        <v>5.0</v>
      </c>
      <c r="R25" s="408"/>
      <c r="S25" s="405">
        <f t="shared" si="3"/>
        <v>5</v>
      </c>
      <c r="T25" s="409">
        <f t="shared" si="4"/>
        <v>2</v>
      </c>
      <c r="U25" s="410">
        <f t="shared" si="5"/>
        <v>1</v>
      </c>
      <c r="V25" s="402" t="s">
        <v>33</v>
      </c>
      <c r="W25" s="403" t="s">
        <v>61</v>
      </c>
      <c r="AA25" s="403">
        <v>5.0</v>
      </c>
      <c r="AB25" s="408"/>
      <c r="AC25" s="405">
        <f t="shared" si="6"/>
        <v>5</v>
      </c>
      <c r="AD25" s="409">
        <f t="shared" si="7"/>
        <v>2</v>
      </c>
      <c r="AE25" s="410">
        <f t="shared" si="8"/>
        <v>1</v>
      </c>
      <c r="AF25" s="402" t="s">
        <v>33</v>
      </c>
      <c r="AG25" s="403" t="s">
        <v>62</v>
      </c>
      <c r="AK25" s="412">
        <f>Int(DIVIDE(AD10,2))</f>
        <v>0</v>
      </c>
      <c r="AL25" s="413"/>
      <c r="AM25" s="414">
        <f t="shared" si="9"/>
        <v>0</v>
      </c>
      <c r="AN25" s="406">
        <f t="shared" si="10"/>
        <v>0</v>
      </c>
      <c r="AO25" s="407">
        <f t="shared" si="11"/>
        <v>0</v>
      </c>
      <c r="AP25" s="60"/>
      <c r="AQ25" s="418" t="s">
        <v>62</v>
      </c>
      <c r="AR25" s="105"/>
      <c r="AS25" s="105"/>
      <c r="AT25" s="105"/>
      <c r="AU25" s="105"/>
      <c r="AV25" s="105"/>
      <c r="AW25" s="420">
        <f>Int(DIVIDE(AD10,2))</f>
        <v>0</v>
      </c>
      <c r="AX25" s="105"/>
      <c r="AY25" s="421">
        <f>int(AW25/2)</f>
        <v>0</v>
      </c>
      <c r="AZ25" s="105"/>
      <c r="BA25" s="422">
        <f>int(AW25/5)</f>
        <v>0</v>
      </c>
      <c r="BB25" s="107"/>
      <c r="BC25" s="3"/>
    </row>
    <row r="26" ht="16.5" customHeight="1">
      <c r="A26" s="22"/>
      <c r="B26" s="402" t="s">
        <v>33</v>
      </c>
      <c r="C26" s="403" t="s">
        <v>63</v>
      </c>
      <c r="G26" s="403">
        <v>20.0</v>
      </c>
      <c r="H26" s="408"/>
      <c r="I26" s="405">
        <f t="shared" si="1"/>
        <v>20</v>
      </c>
      <c r="J26" s="406">
        <f t="shared" si="13"/>
        <v>10</v>
      </c>
      <c r="K26" s="407">
        <f t="shared" si="2"/>
        <v>4</v>
      </c>
      <c r="L26" s="402" t="s">
        <v>33</v>
      </c>
      <c r="M26" s="403" t="s">
        <v>64</v>
      </c>
      <c r="Q26" s="403">
        <v>1.0</v>
      </c>
      <c r="R26" s="413"/>
      <c r="S26" s="405">
        <f t="shared" si="3"/>
        <v>1</v>
      </c>
      <c r="T26" s="409">
        <f t="shared" si="4"/>
        <v>0</v>
      </c>
      <c r="U26" s="410">
        <f t="shared" si="5"/>
        <v>0</v>
      </c>
      <c r="V26" s="402" t="s">
        <v>33</v>
      </c>
      <c r="W26" s="403" t="s">
        <v>65</v>
      </c>
      <c r="AA26" s="403">
        <v>10.0</v>
      </c>
      <c r="AB26" s="413"/>
      <c r="AC26" s="405">
        <f t="shared" si="6"/>
        <v>10</v>
      </c>
      <c r="AD26" s="409">
        <f t="shared" si="7"/>
        <v>5</v>
      </c>
      <c r="AE26" s="410">
        <f t="shared" si="8"/>
        <v>2</v>
      </c>
      <c r="AF26" s="402" t="s">
        <v>33</v>
      </c>
      <c r="AG26" s="403" t="s">
        <v>66</v>
      </c>
      <c r="AK26" s="412">
        <v>5.0</v>
      </c>
      <c r="AL26" s="408"/>
      <c r="AM26" s="414">
        <f t="shared" si="9"/>
        <v>5</v>
      </c>
      <c r="AN26" s="406">
        <f t="shared" si="10"/>
        <v>2</v>
      </c>
      <c r="AO26" s="407">
        <f t="shared" si="11"/>
        <v>1</v>
      </c>
      <c r="AP26" s="60"/>
      <c r="AQ26" s="423" t="s">
        <v>67</v>
      </c>
      <c r="AR26" s="105"/>
      <c r="AS26" s="105"/>
      <c r="AT26" s="105"/>
      <c r="AU26" s="105"/>
      <c r="AV26" s="107"/>
      <c r="AW26" s="424">
        <f>IF(AND(V10&gt;V14,AD10&gt;V14),if(int(divide(L13,10))&gt;=4,12-int(divide(L13,10)),9),if(and(V10&lt;V14,AD10&lt;V14),if(int(divide(L13,10))&gt;=4,10-int(divide(L13,10)),7),if(int(divide(L13,10))&gt;=4,11-int(divide(L13,10)),8)))</f>
        <v>8</v>
      </c>
      <c r="AX26" s="105"/>
      <c r="AY26" s="105"/>
      <c r="AZ26" s="105"/>
      <c r="BA26" s="105"/>
      <c r="BB26" s="107"/>
      <c r="BC26" s="3"/>
    </row>
    <row r="27" ht="16.5" customHeight="1">
      <c r="A27" s="22"/>
      <c r="B27" s="402" t="s">
        <v>33</v>
      </c>
      <c r="C27" s="403" t="s">
        <v>68</v>
      </c>
      <c r="G27" s="403">
        <v>1.0</v>
      </c>
      <c r="H27" s="413"/>
      <c r="I27" s="405">
        <f t="shared" si="1"/>
        <v>1</v>
      </c>
      <c r="J27" s="406">
        <f>int(DIVIDE(I27,2))</f>
        <v>0</v>
      </c>
      <c r="K27" s="407">
        <f t="shared" si="2"/>
        <v>0</v>
      </c>
      <c r="L27" s="402" t="s">
        <v>33</v>
      </c>
      <c r="M27" s="403" t="s">
        <v>69</v>
      </c>
      <c r="Q27" s="403">
        <v>5.0</v>
      </c>
      <c r="R27" s="413"/>
      <c r="S27" s="405">
        <f t="shared" si="3"/>
        <v>5</v>
      </c>
      <c r="T27" s="409">
        <f t="shared" si="4"/>
        <v>2</v>
      </c>
      <c r="U27" s="410">
        <f t="shared" si="5"/>
        <v>1</v>
      </c>
      <c r="V27" s="402" t="s">
        <v>33</v>
      </c>
      <c r="W27" s="417" t="str">
        <f>"모국어"&amp;IF(ISBLANK(L14),"",":"&amp;L14)</f>
        <v>모국어</v>
      </c>
      <c r="AA27" s="403">
        <f>(AL12*1)</f>
        <v>0</v>
      </c>
      <c r="AB27" s="413"/>
      <c r="AC27" s="405">
        <f t="shared" si="6"/>
        <v>0</v>
      </c>
      <c r="AD27" s="409">
        <f t="shared" si="7"/>
        <v>0</v>
      </c>
      <c r="AE27" s="410">
        <f t="shared" si="8"/>
        <v>0</v>
      </c>
      <c r="AF27" s="402" t="s">
        <v>33</v>
      </c>
      <c r="AG27" s="403" t="s">
        <v>70</v>
      </c>
      <c r="AK27" s="412">
        <v>20.0</v>
      </c>
      <c r="AL27" s="413"/>
      <c r="AM27" s="414">
        <f t="shared" si="9"/>
        <v>20</v>
      </c>
      <c r="AN27" s="406">
        <f t="shared" si="10"/>
        <v>10</v>
      </c>
      <c r="AO27" s="407">
        <f t="shared" si="11"/>
        <v>4</v>
      </c>
      <c r="AP27" s="60"/>
      <c r="AQ27" s="425" t="s">
        <v>71</v>
      </c>
      <c r="AR27" s="5"/>
      <c r="AS27" s="5"/>
      <c r="AT27" s="7"/>
      <c r="AU27" s="113"/>
      <c r="AV27" s="5"/>
      <c r="AW27" s="5"/>
      <c r="AX27" s="7"/>
      <c r="AY27" s="426" t="s">
        <v>72</v>
      </c>
      <c r="AZ27" s="105"/>
      <c r="BA27" s="105"/>
      <c r="BB27" s="107"/>
      <c r="BC27" s="3"/>
    </row>
    <row r="28" ht="16.5" customHeight="1">
      <c r="A28" s="22"/>
      <c r="B28" s="402" t="s">
        <v>33</v>
      </c>
      <c r="C28" s="417" t="s">
        <v>73</v>
      </c>
      <c r="G28" s="403">
        <v>1.0</v>
      </c>
      <c r="H28" s="413"/>
      <c r="I28" s="405">
        <f t="shared" si="1"/>
        <v>1</v>
      </c>
      <c r="J28" s="406">
        <f t="shared" ref="J28:J29" si="14">Int(DIVIDE(I28,2))</f>
        <v>0</v>
      </c>
      <c r="K28" s="407">
        <f t="shared" si="2"/>
        <v>0</v>
      </c>
      <c r="L28" s="402" t="s">
        <v>33</v>
      </c>
      <c r="M28" s="403" t="s">
        <v>74</v>
      </c>
      <c r="Q28" s="403">
        <v>1.0</v>
      </c>
      <c r="R28" s="413"/>
      <c r="S28" s="405">
        <f t="shared" si="3"/>
        <v>1</v>
      </c>
      <c r="T28" s="409">
        <f t="shared" si="4"/>
        <v>0</v>
      </c>
      <c r="U28" s="410">
        <f t="shared" si="5"/>
        <v>0</v>
      </c>
      <c r="V28" s="402" t="s">
        <v>33</v>
      </c>
      <c r="W28" s="417" t="s">
        <v>75</v>
      </c>
      <c r="AA28" s="403">
        <v>1.0</v>
      </c>
      <c r="AB28" s="413"/>
      <c r="AC28" s="405">
        <f t="shared" si="6"/>
        <v>1</v>
      </c>
      <c r="AD28" s="409">
        <f t="shared" si="7"/>
        <v>0</v>
      </c>
      <c r="AE28" s="410">
        <f t="shared" si="8"/>
        <v>0</v>
      </c>
      <c r="AF28" s="402" t="s">
        <v>33</v>
      </c>
      <c r="AG28" s="403" t="s">
        <v>76</v>
      </c>
      <c r="AK28" s="412">
        <v>10.0</v>
      </c>
      <c r="AL28" s="408"/>
      <c r="AM28" s="414">
        <f t="shared" si="9"/>
        <v>10</v>
      </c>
      <c r="AN28" s="406">
        <f t="shared" si="10"/>
        <v>5</v>
      </c>
      <c r="AO28" s="407">
        <f t="shared" si="11"/>
        <v>2</v>
      </c>
      <c r="AP28" s="60"/>
      <c r="AQ28" s="10"/>
      <c r="AR28" s="11"/>
      <c r="AS28" s="11"/>
      <c r="AT28" s="12"/>
      <c r="AU28" s="10"/>
      <c r="AV28" s="11"/>
      <c r="AW28" s="11"/>
      <c r="AX28" s="12"/>
      <c r="AY28" s="427">
        <f>Int((V14+V12)/10)</f>
        <v>0</v>
      </c>
      <c r="AZ28" s="105"/>
      <c r="BA28" s="105"/>
      <c r="BB28" s="107"/>
      <c r="BC28" s="3"/>
    </row>
    <row r="29" ht="16.5" customHeight="1">
      <c r="A29" s="22"/>
      <c r="B29" s="402" t="s">
        <v>33</v>
      </c>
      <c r="C29" s="416"/>
      <c r="G29" s="428"/>
      <c r="H29" s="408"/>
      <c r="I29" s="405">
        <f t="shared" si="1"/>
        <v>0</v>
      </c>
      <c r="J29" s="406">
        <f t="shared" si="14"/>
        <v>0</v>
      </c>
      <c r="K29" s="407">
        <f t="shared" si="2"/>
        <v>0</v>
      </c>
      <c r="L29" s="402" t="s">
        <v>33</v>
      </c>
      <c r="M29" s="403" t="s">
        <v>77</v>
      </c>
      <c r="Q29" s="403">
        <v>5.0</v>
      </c>
      <c r="R29" s="413"/>
      <c r="S29" s="405">
        <f t="shared" si="3"/>
        <v>5</v>
      </c>
      <c r="T29" s="409">
        <f t="shared" si="4"/>
        <v>2</v>
      </c>
      <c r="U29" s="410">
        <f t="shared" si="5"/>
        <v>1</v>
      </c>
      <c r="V29" s="402" t="s">
        <v>33</v>
      </c>
      <c r="W29" s="417"/>
      <c r="AA29" s="403"/>
      <c r="AB29" s="413"/>
      <c r="AC29" s="405">
        <f t="shared" si="6"/>
        <v>0</v>
      </c>
      <c r="AD29" s="409">
        <f t="shared" si="7"/>
        <v>0</v>
      </c>
      <c r="AE29" s="410">
        <f t="shared" si="8"/>
        <v>0</v>
      </c>
      <c r="AF29" s="402" t="s">
        <v>33</v>
      </c>
      <c r="AG29" s="403" t="s">
        <v>78</v>
      </c>
      <c r="AK29" s="412">
        <v>1.0</v>
      </c>
      <c r="AL29" s="413"/>
      <c r="AM29" s="414">
        <f t="shared" si="9"/>
        <v>1</v>
      </c>
      <c r="AN29" s="406">
        <f t="shared" si="10"/>
        <v>0</v>
      </c>
      <c r="AO29" s="407">
        <f t="shared" si="11"/>
        <v>0</v>
      </c>
      <c r="AP29" s="28"/>
      <c r="AQ29" s="425" t="s">
        <v>79</v>
      </c>
      <c r="AR29" s="5"/>
      <c r="AS29" s="5"/>
      <c r="AT29" s="7"/>
      <c r="AU29" s="113"/>
      <c r="AV29" s="5"/>
      <c r="AW29" s="5"/>
      <c r="AX29" s="7"/>
      <c r="AY29" s="426" t="s">
        <v>80</v>
      </c>
      <c r="AZ29" s="105"/>
      <c r="BA29" s="105"/>
      <c r="BB29" s="107"/>
      <c r="BC29" s="3"/>
    </row>
    <row r="30" ht="16.5" customHeight="1">
      <c r="A30" s="22"/>
      <c r="B30" s="402" t="s">
        <v>33</v>
      </c>
      <c r="C30" s="403" t="s">
        <v>81</v>
      </c>
      <c r="G30" s="412">
        <v>10.0</v>
      </c>
      <c r="H30" s="413"/>
      <c r="I30" s="405">
        <f t="shared" si="1"/>
        <v>10</v>
      </c>
      <c r="J30" s="406">
        <f>int(DIVIDE(I30,2))</f>
        <v>5</v>
      </c>
      <c r="K30" s="407">
        <f t="shared" si="2"/>
        <v>2</v>
      </c>
      <c r="L30" s="402" t="s">
        <v>33</v>
      </c>
      <c r="M30" s="403" t="s">
        <v>82</v>
      </c>
      <c r="Q30" s="403">
        <v>5.0</v>
      </c>
      <c r="R30" s="408"/>
      <c r="S30" s="405">
        <f t="shared" si="3"/>
        <v>5</v>
      </c>
      <c r="T30" s="409">
        <f t="shared" si="4"/>
        <v>2</v>
      </c>
      <c r="U30" s="410">
        <f t="shared" si="5"/>
        <v>1</v>
      </c>
      <c r="V30" s="402" t="s">
        <v>33</v>
      </c>
      <c r="W30" s="403" t="s">
        <v>83</v>
      </c>
      <c r="AA30" s="412">
        <v>20.0</v>
      </c>
      <c r="AB30" s="408"/>
      <c r="AC30" s="414">
        <f t="shared" si="6"/>
        <v>20</v>
      </c>
      <c r="AD30" s="406">
        <f t="shared" si="7"/>
        <v>10</v>
      </c>
      <c r="AE30" s="407">
        <f t="shared" si="8"/>
        <v>4</v>
      </c>
      <c r="AF30" s="402" t="s">
        <v>33</v>
      </c>
      <c r="AG30" s="417" t="s">
        <v>84</v>
      </c>
      <c r="AK30" s="412">
        <v>20.0</v>
      </c>
      <c r="AL30" s="413"/>
      <c r="AM30" s="405">
        <f t="shared" si="9"/>
        <v>20</v>
      </c>
      <c r="AN30" s="409">
        <f t="shared" si="10"/>
        <v>10</v>
      </c>
      <c r="AO30" s="410">
        <f t="shared" si="11"/>
        <v>4</v>
      </c>
      <c r="AP30" s="28"/>
      <c r="AQ30" s="10"/>
      <c r="AR30" s="11"/>
      <c r="AS30" s="11"/>
      <c r="AT30" s="12"/>
      <c r="AU30" s="10"/>
      <c r="AV30" s="11"/>
      <c r="AW30" s="11"/>
      <c r="AX30" s="12"/>
      <c r="AY30" s="427">
        <f>int(AL10/5)</f>
        <v>0</v>
      </c>
      <c r="AZ30" s="105"/>
      <c r="BA30" s="105"/>
      <c r="BB30" s="107"/>
      <c r="BC30" s="3"/>
    </row>
    <row r="31" ht="16.5" customHeight="1">
      <c r="A31" s="22"/>
      <c r="B31" s="402" t="s">
        <v>33</v>
      </c>
      <c r="C31" s="403" t="s">
        <v>85</v>
      </c>
      <c r="G31" s="412">
        <v>10.0</v>
      </c>
      <c r="H31" s="413"/>
      <c r="I31" s="405">
        <f t="shared" si="1"/>
        <v>10</v>
      </c>
      <c r="J31" s="406">
        <f t="shared" ref="J31:J36" si="15">Int(DIVIDE(I31,2))</f>
        <v>5</v>
      </c>
      <c r="K31" s="407">
        <f t="shared" si="2"/>
        <v>2</v>
      </c>
      <c r="L31" s="402" t="s">
        <v>33</v>
      </c>
      <c r="M31" s="403"/>
      <c r="Q31" s="403"/>
      <c r="R31" s="413"/>
      <c r="S31" s="405">
        <f t="shared" si="3"/>
        <v>0</v>
      </c>
      <c r="T31" s="409">
        <f t="shared" si="4"/>
        <v>0</v>
      </c>
      <c r="U31" s="410">
        <f t="shared" si="5"/>
        <v>0</v>
      </c>
      <c r="V31" s="402" t="s">
        <v>33</v>
      </c>
      <c r="W31" s="417" t="s">
        <v>86</v>
      </c>
      <c r="AA31" s="412">
        <v>25.0</v>
      </c>
      <c r="AB31" s="408"/>
      <c r="AC31" s="414">
        <f t="shared" si="6"/>
        <v>25</v>
      </c>
      <c r="AD31" s="406">
        <f t="shared" si="7"/>
        <v>12</v>
      </c>
      <c r="AE31" s="407">
        <f t="shared" si="8"/>
        <v>5</v>
      </c>
      <c r="AF31" s="402" t="s">
        <v>33</v>
      </c>
      <c r="AG31" s="417" t="s">
        <v>87</v>
      </c>
      <c r="AK31" s="412">
        <v>25.0</v>
      </c>
      <c r="AL31" s="413"/>
      <c r="AM31" s="405">
        <f t="shared" si="9"/>
        <v>25</v>
      </c>
      <c r="AN31" s="409">
        <f t="shared" si="10"/>
        <v>12</v>
      </c>
      <c r="AO31" s="410">
        <f t="shared" si="11"/>
        <v>5</v>
      </c>
      <c r="AP31" s="28"/>
      <c r="AQ31" s="425" t="s">
        <v>88</v>
      </c>
      <c r="AR31" s="5"/>
      <c r="AS31" s="5"/>
      <c r="AT31" s="7"/>
      <c r="AU31" s="113"/>
      <c r="AV31" s="5"/>
      <c r="AW31" s="5"/>
      <c r="AX31" s="7"/>
      <c r="AY31" s="426" t="s">
        <v>89</v>
      </c>
      <c r="AZ31" s="107"/>
      <c r="BA31" s="426" t="s">
        <v>90</v>
      </c>
      <c r="BB31" s="107"/>
      <c r="BC31" s="3"/>
    </row>
    <row r="32" ht="16.5" customHeight="1">
      <c r="A32" s="22"/>
      <c r="B32" s="402" t="s">
        <v>33</v>
      </c>
      <c r="C32" s="403" t="s">
        <v>91</v>
      </c>
      <c r="G32" s="412">
        <v>5.0</v>
      </c>
      <c r="H32" s="408"/>
      <c r="I32" s="405">
        <f t="shared" si="1"/>
        <v>5</v>
      </c>
      <c r="J32" s="406">
        <f t="shared" si="15"/>
        <v>2</v>
      </c>
      <c r="K32" s="407">
        <f t="shared" si="2"/>
        <v>1</v>
      </c>
      <c r="L32" s="402" t="s">
        <v>33</v>
      </c>
      <c r="M32" s="429" t="s">
        <v>92</v>
      </c>
      <c r="Q32" s="412">
        <v>1.0</v>
      </c>
      <c r="R32" s="413"/>
      <c r="S32" s="405">
        <f t="shared" si="3"/>
        <v>1</v>
      </c>
      <c r="T32" s="409">
        <f t="shared" si="4"/>
        <v>0</v>
      </c>
      <c r="U32" s="410">
        <f t="shared" si="5"/>
        <v>0</v>
      </c>
      <c r="V32" s="402" t="s">
        <v>33</v>
      </c>
      <c r="W32" s="417" t="s">
        <v>93</v>
      </c>
      <c r="AA32" s="412">
        <v>20.0</v>
      </c>
      <c r="AB32" s="413"/>
      <c r="AC32" s="414">
        <f t="shared" si="6"/>
        <v>20</v>
      </c>
      <c r="AD32" s="406">
        <f t="shared" si="7"/>
        <v>10</v>
      </c>
      <c r="AE32" s="407">
        <f t="shared" si="8"/>
        <v>4</v>
      </c>
      <c r="AF32" s="402" t="s">
        <v>33</v>
      </c>
      <c r="AG32" s="417" t="s">
        <v>94</v>
      </c>
      <c r="AK32" s="412">
        <v>15.0</v>
      </c>
      <c r="AL32" s="413"/>
      <c r="AM32" s="405">
        <f t="shared" si="9"/>
        <v>15</v>
      </c>
      <c r="AN32" s="409">
        <f t="shared" si="10"/>
        <v>7</v>
      </c>
      <c r="AO32" s="410">
        <f t="shared" si="11"/>
        <v>3</v>
      </c>
      <c r="AP32" s="28"/>
      <c r="AQ32" s="10"/>
      <c r="AR32" s="11"/>
      <c r="AS32" s="11"/>
      <c r="AT32" s="12"/>
      <c r="AU32" s="10"/>
      <c r="AV32" s="11"/>
      <c r="AW32" s="11"/>
      <c r="AX32" s="12"/>
      <c r="AY32" s="427" t="str">
        <f>IF(AL10=0,"자동",MIN(AL10,BA32))</f>
        <v>자동</v>
      </c>
      <c r="AZ32" s="107"/>
      <c r="BA32" s="427">
        <f>99-AB19</f>
        <v>99</v>
      </c>
      <c r="BB32" s="107"/>
      <c r="BC32" s="3"/>
    </row>
    <row r="33" ht="16.5" customHeight="1">
      <c r="A33" s="22"/>
      <c r="B33" s="402" t="s">
        <v>33</v>
      </c>
      <c r="C33" s="403" t="s">
        <v>165</v>
      </c>
      <c r="G33" s="403">
        <v>5.0</v>
      </c>
      <c r="H33" s="413"/>
      <c r="I33" s="405">
        <f t="shared" si="1"/>
        <v>5</v>
      </c>
      <c r="J33" s="406">
        <f t="shared" si="15"/>
        <v>2</v>
      </c>
      <c r="K33" s="407">
        <f t="shared" si="2"/>
        <v>1</v>
      </c>
      <c r="L33" s="402" t="s">
        <v>33</v>
      </c>
      <c r="M33" s="429" t="s">
        <v>95</v>
      </c>
      <c r="Q33" s="412">
        <v>5.0</v>
      </c>
      <c r="R33" s="413"/>
      <c r="S33" s="405">
        <f t="shared" si="3"/>
        <v>5</v>
      </c>
      <c r="T33" s="409">
        <f t="shared" si="4"/>
        <v>2</v>
      </c>
      <c r="U33" s="410">
        <f t="shared" si="5"/>
        <v>1</v>
      </c>
      <c r="V33" s="402" t="s">
        <v>33</v>
      </c>
      <c r="W33" s="417" t="s">
        <v>96</v>
      </c>
      <c r="AA33" s="412">
        <v>15.0</v>
      </c>
      <c r="AB33" s="413"/>
      <c r="AC33" s="414">
        <f t="shared" si="6"/>
        <v>15</v>
      </c>
      <c r="AD33" s="406">
        <f t="shared" si="7"/>
        <v>7</v>
      </c>
      <c r="AE33" s="407">
        <f t="shared" si="8"/>
        <v>3</v>
      </c>
      <c r="AF33" s="402" t="s">
        <v>33</v>
      </c>
      <c r="AG33" s="417" t="s">
        <v>97</v>
      </c>
      <c r="AK33" s="412">
        <v>10.0</v>
      </c>
      <c r="AL33" s="413"/>
      <c r="AM33" s="405">
        <f t="shared" si="9"/>
        <v>10</v>
      </c>
      <c r="AN33" s="409">
        <f t="shared" si="10"/>
        <v>5</v>
      </c>
      <c r="AO33" s="410">
        <f t="shared" si="11"/>
        <v>2</v>
      </c>
      <c r="AP33" s="28"/>
      <c r="AQ33" s="128" t="s">
        <v>98</v>
      </c>
      <c r="AR33" s="5"/>
      <c r="AS33" s="5"/>
      <c r="AT33" s="7"/>
      <c r="AU33" s="129" t="s">
        <v>33</v>
      </c>
      <c r="AV33" s="7"/>
      <c r="AW33" s="130" t="s">
        <v>99</v>
      </c>
      <c r="AX33" s="5"/>
      <c r="AY33" s="5"/>
      <c r="AZ33" s="7"/>
      <c r="BA33" s="131" t="s">
        <v>33</v>
      </c>
      <c r="BB33" s="7"/>
      <c r="BC33" s="3"/>
    </row>
    <row r="34" ht="16.5" customHeight="1">
      <c r="A34" s="22"/>
      <c r="B34" s="402" t="s">
        <v>33</v>
      </c>
      <c r="C34" s="403"/>
      <c r="G34" s="403"/>
      <c r="H34" s="413"/>
      <c r="I34" s="405">
        <f t="shared" si="1"/>
        <v>0</v>
      </c>
      <c r="J34" s="406">
        <f t="shared" si="15"/>
        <v>0</v>
      </c>
      <c r="K34" s="407">
        <f t="shared" si="2"/>
        <v>0</v>
      </c>
      <c r="L34" s="402" t="s">
        <v>33</v>
      </c>
      <c r="M34" s="429" t="s">
        <v>100</v>
      </c>
      <c r="Q34" s="412">
        <v>1.0</v>
      </c>
      <c r="R34" s="413"/>
      <c r="S34" s="405">
        <f t="shared" si="3"/>
        <v>1</v>
      </c>
      <c r="T34" s="409">
        <f t="shared" si="4"/>
        <v>0</v>
      </c>
      <c r="U34" s="410">
        <f t="shared" si="5"/>
        <v>0</v>
      </c>
      <c r="V34" s="402" t="s">
        <v>33</v>
      </c>
      <c r="W34" s="417" t="s">
        <v>101</v>
      </c>
      <c r="AA34" s="412">
        <v>20.0</v>
      </c>
      <c r="AB34" s="413"/>
      <c r="AC34" s="414">
        <f t="shared" si="6"/>
        <v>20</v>
      </c>
      <c r="AD34" s="406">
        <f t="shared" si="7"/>
        <v>10</v>
      </c>
      <c r="AE34" s="407">
        <f t="shared" si="8"/>
        <v>4</v>
      </c>
      <c r="AF34" s="402" t="s">
        <v>33</v>
      </c>
      <c r="AG34" s="417" t="s">
        <v>102</v>
      </c>
      <c r="AK34" s="412">
        <v>15.0</v>
      </c>
      <c r="AL34" s="413"/>
      <c r="AM34" s="405">
        <f t="shared" si="9"/>
        <v>15</v>
      </c>
      <c r="AN34" s="409">
        <f t="shared" si="10"/>
        <v>7</v>
      </c>
      <c r="AO34" s="410">
        <f t="shared" si="11"/>
        <v>3</v>
      </c>
      <c r="AP34" s="28"/>
      <c r="AQ34" s="10"/>
      <c r="AR34" s="11"/>
      <c r="AS34" s="11"/>
      <c r="AT34" s="12"/>
      <c r="AU34" s="10"/>
      <c r="AV34" s="12"/>
      <c r="AW34" s="10"/>
      <c r="AX34" s="11"/>
      <c r="AY34" s="11"/>
      <c r="AZ34" s="12"/>
      <c r="BA34" s="10"/>
      <c r="BB34" s="12"/>
      <c r="BC34" s="3"/>
    </row>
    <row r="35" ht="16.5" customHeight="1">
      <c r="A35" s="22"/>
      <c r="B35" s="402" t="s">
        <v>33</v>
      </c>
      <c r="C35" s="429" t="s">
        <v>103</v>
      </c>
      <c r="G35" s="403">
        <v>1.0</v>
      </c>
      <c r="H35" s="413"/>
      <c r="I35" s="405">
        <f t="shared" si="1"/>
        <v>1</v>
      </c>
      <c r="J35" s="406">
        <f t="shared" si="15"/>
        <v>0</v>
      </c>
      <c r="K35" s="407">
        <f t="shared" si="2"/>
        <v>0</v>
      </c>
      <c r="L35" s="402" t="s">
        <v>33</v>
      </c>
      <c r="M35" s="429" t="s">
        <v>104</v>
      </c>
      <c r="Q35" s="412">
        <v>1.0</v>
      </c>
      <c r="R35" s="413"/>
      <c r="S35" s="405">
        <f t="shared" si="3"/>
        <v>1</v>
      </c>
      <c r="T35" s="409">
        <f t="shared" si="4"/>
        <v>0</v>
      </c>
      <c r="U35" s="410">
        <f t="shared" si="5"/>
        <v>0</v>
      </c>
      <c r="V35" s="402" t="s">
        <v>33</v>
      </c>
      <c r="W35" s="417" t="s">
        <v>105</v>
      </c>
      <c r="AA35" s="412">
        <v>5.0</v>
      </c>
      <c r="AB35" s="413"/>
      <c r="AC35" s="414">
        <f t="shared" si="6"/>
        <v>5</v>
      </c>
      <c r="AD35" s="406">
        <f t="shared" si="7"/>
        <v>2</v>
      </c>
      <c r="AE35" s="407">
        <f t="shared" si="8"/>
        <v>1</v>
      </c>
      <c r="AF35" s="402" t="s">
        <v>33</v>
      </c>
      <c r="AG35" s="417" t="s">
        <v>106</v>
      </c>
      <c r="AK35" s="412">
        <v>10.0</v>
      </c>
      <c r="AL35" s="413"/>
      <c r="AM35" s="414">
        <f t="shared" si="9"/>
        <v>10</v>
      </c>
      <c r="AN35" s="406">
        <f t="shared" si="10"/>
        <v>5</v>
      </c>
      <c r="AO35" s="407">
        <f t="shared" si="11"/>
        <v>2</v>
      </c>
      <c r="AP35" s="28"/>
      <c r="AQ35" s="133" t="s">
        <v>107</v>
      </c>
      <c r="AR35" s="5"/>
      <c r="AS35" s="5"/>
      <c r="AT35" s="7"/>
      <c r="AU35" s="134" t="s">
        <v>33</v>
      </c>
      <c r="AV35" s="7"/>
      <c r="AW35" s="135" t="s">
        <v>108</v>
      </c>
      <c r="AX35" s="5"/>
      <c r="AY35" s="5"/>
      <c r="AZ35" s="7"/>
      <c r="BA35" s="136" t="s">
        <v>33</v>
      </c>
      <c r="BB35" s="7"/>
      <c r="BC35" s="3"/>
    </row>
    <row r="36" ht="16.5" customHeight="1">
      <c r="A36" s="22"/>
      <c r="B36" s="402" t="s">
        <v>33</v>
      </c>
      <c r="C36" s="429" t="s">
        <v>109</v>
      </c>
      <c r="G36" s="403">
        <v>1.0</v>
      </c>
      <c r="H36" s="413"/>
      <c r="I36" s="405">
        <f t="shared" si="1"/>
        <v>1</v>
      </c>
      <c r="J36" s="406">
        <f t="shared" si="15"/>
        <v>0</v>
      </c>
      <c r="K36" s="407">
        <f t="shared" si="2"/>
        <v>0</v>
      </c>
      <c r="L36" s="402" t="s">
        <v>33</v>
      </c>
      <c r="M36" s="429" t="s">
        <v>110</v>
      </c>
      <c r="Q36" s="412">
        <v>1.0</v>
      </c>
      <c r="R36" s="413"/>
      <c r="S36" s="405">
        <f t="shared" si="3"/>
        <v>1</v>
      </c>
      <c r="T36" s="409">
        <f t="shared" si="4"/>
        <v>0</v>
      </c>
      <c r="U36" s="410">
        <f t="shared" si="5"/>
        <v>0</v>
      </c>
      <c r="V36" s="402" t="s">
        <v>33</v>
      </c>
      <c r="W36" s="403" t="s">
        <v>111</v>
      </c>
      <c r="AA36" s="403">
        <v>10.0</v>
      </c>
      <c r="AB36" s="413"/>
      <c r="AC36" s="405">
        <f t="shared" si="6"/>
        <v>10</v>
      </c>
      <c r="AD36" s="409">
        <f t="shared" si="7"/>
        <v>5</v>
      </c>
      <c r="AE36" s="410">
        <f t="shared" si="8"/>
        <v>2</v>
      </c>
      <c r="AF36" s="402" t="s">
        <v>33</v>
      </c>
      <c r="AG36" s="403" t="s">
        <v>112</v>
      </c>
      <c r="AK36" s="412">
        <v>10.0</v>
      </c>
      <c r="AL36" s="413"/>
      <c r="AM36" s="414">
        <f t="shared" si="9"/>
        <v>10</v>
      </c>
      <c r="AN36" s="406">
        <f t="shared" si="10"/>
        <v>5</v>
      </c>
      <c r="AO36" s="407">
        <f t="shared" si="11"/>
        <v>2</v>
      </c>
      <c r="AP36" s="28"/>
      <c r="AQ36" s="10"/>
      <c r="AR36" s="11"/>
      <c r="AS36" s="11"/>
      <c r="AT36" s="12"/>
      <c r="AU36" s="10"/>
      <c r="AV36" s="12"/>
      <c r="AW36" s="10"/>
      <c r="AX36" s="11"/>
      <c r="AY36" s="11"/>
      <c r="AZ36" s="12"/>
      <c r="BA36" s="10"/>
      <c r="BB36" s="12"/>
      <c r="BC36" s="3"/>
    </row>
    <row r="37" ht="15.0" customHeight="1">
      <c r="A37" s="2"/>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3"/>
      <c r="AD37" s="53"/>
      <c r="AE37" s="53"/>
      <c r="AF37" s="53"/>
      <c r="AG37" s="53"/>
      <c r="AH37" s="53"/>
      <c r="AI37" s="53"/>
      <c r="AJ37" s="53"/>
      <c r="AK37" s="53"/>
      <c r="AL37" s="53"/>
      <c r="AM37" s="53"/>
      <c r="AN37" s="53"/>
      <c r="AO37" s="53"/>
      <c r="AP37" s="3"/>
      <c r="AQ37" s="8"/>
      <c r="AR37" s="8"/>
      <c r="AS37" s="8"/>
      <c r="AT37" s="8"/>
      <c r="AU37" s="8"/>
      <c r="AV37" s="8"/>
      <c r="AW37" s="8"/>
      <c r="AX37" s="8"/>
      <c r="AY37" s="8"/>
      <c r="AZ37" s="8"/>
      <c r="BA37" s="8"/>
      <c r="BB37" s="8"/>
      <c r="BC37" s="3"/>
    </row>
    <row r="38" ht="13.5" customHeight="1">
      <c r="A38" s="22"/>
      <c r="B38" s="430" t="s">
        <v>113</v>
      </c>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5"/>
      <c r="AP38" s="28"/>
      <c r="AQ38" s="431" t="s">
        <v>15</v>
      </c>
      <c r="AR38" s="5"/>
      <c r="AS38" s="5"/>
      <c r="AT38" s="5"/>
      <c r="AU38" s="5"/>
      <c r="AV38" s="5"/>
      <c r="AW38" s="5"/>
      <c r="AX38" s="5"/>
      <c r="AY38" s="5"/>
      <c r="AZ38" s="5"/>
      <c r="BA38" s="5"/>
      <c r="BB38" s="7"/>
      <c r="BC38" s="3"/>
    </row>
    <row r="39" ht="13.5" customHeight="1">
      <c r="A39" s="22"/>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2"/>
      <c r="AP39" s="28"/>
      <c r="AQ39" s="10"/>
      <c r="AR39" s="11"/>
      <c r="AS39" s="11"/>
      <c r="AT39" s="11"/>
      <c r="AU39" s="11"/>
      <c r="AV39" s="11"/>
      <c r="AW39" s="11"/>
      <c r="AX39" s="11"/>
      <c r="AY39" s="11"/>
      <c r="AZ39" s="11"/>
      <c r="BA39" s="11"/>
      <c r="BB39" s="12"/>
      <c r="BC39" s="3"/>
    </row>
    <row r="40" ht="13.5" customHeight="1">
      <c r="A40" s="22"/>
      <c r="B40" s="432" t="s">
        <v>113</v>
      </c>
      <c r="C40" s="34"/>
      <c r="D40" s="34"/>
      <c r="E40" s="34"/>
      <c r="F40" s="34"/>
      <c r="G40" s="34"/>
      <c r="H40" s="34"/>
      <c r="I40" s="35"/>
      <c r="J40" s="432" t="s">
        <v>114</v>
      </c>
      <c r="K40" s="34"/>
      <c r="L40" s="35"/>
      <c r="M40" s="432" t="s">
        <v>115</v>
      </c>
      <c r="N40" s="34"/>
      <c r="O40" s="35"/>
      <c r="P40" s="432" t="s">
        <v>116</v>
      </c>
      <c r="Q40" s="34"/>
      <c r="R40" s="35"/>
      <c r="S40" s="432" t="s">
        <v>117</v>
      </c>
      <c r="T40" s="34"/>
      <c r="U40" s="34"/>
      <c r="V40" s="34"/>
      <c r="W40" s="34"/>
      <c r="X40" s="35"/>
      <c r="Y40" s="432" t="s">
        <v>118</v>
      </c>
      <c r="Z40" s="34"/>
      <c r="AA40" s="34"/>
      <c r="AB40" s="35"/>
      <c r="AC40" s="432" t="s">
        <v>119</v>
      </c>
      <c r="AD40" s="34"/>
      <c r="AE40" s="34"/>
      <c r="AF40" s="34"/>
      <c r="AG40" s="35"/>
      <c r="AH40" s="432" t="s">
        <v>120</v>
      </c>
      <c r="AI40" s="34"/>
      <c r="AJ40" s="34"/>
      <c r="AK40" s="35"/>
      <c r="AL40" s="432" t="s">
        <v>121</v>
      </c>
      <c r="AM40" s="34"/>
      <c r="AN40" s="34"/>
      <c r="AO40" s="35"/>
      <c r="AP40" s="28"/>
      <c r="AQ40" s="156"/>
      <c r="AR40" s="157"/>
      <c r="AS40" s="157"/>
      <c r="AT40" s="157"/>
      <c r="AU40" s="157"/>
      <c r="AV40" s="157"/>
      <c r="AW40" s="157"/>
      <c r="AX40" s="157"/>
      <c r="AY40" s="157"/>
      <c r="AZ40" s="157"/>
      <c r="BA40" s="157"/>
      <c r="BB40" s="158"/>
      <c r="BC40" s="3"/>
    </row>
    <row r="41" ht="13.5" customHeight="1">
      <c r="A41" s="2"/>
      <c r="B41" s="159" t="s">
        <v>122</v>
      </c>
      <c r="I41" s="160"/>
      <c r="J41" s="161">
        <v>25.0</v>
      </c>
      <c r="M41" s="161">
        <f t="shared" ref="M41:M47" si="16">Int(DIVIDE(J41,2))</f>
        <v>12</v>
      </c>
      <c r="O41" s="160"/>
      <c r="P41" s="161">
        <f t="shared" ref="P41:P47" si="17">Int(DIVIDE(J41,5))</f>
        <v>5</v>
      </c>
      <c r="R41" s="160"/>
      <c r="S41" s="162" t="s">
        <v>123</v>
      </c>
      <c r="X41" s="160"/>
      <c r="Y41" s="161" t="s">
        <v>124</v>
      </c>
      <c r="AB41" s="160"/>
      <c r="AC41" s="161">
        <v>1.0</v>
      </c>
      <c r="AG41" s="160"/>
      <c r="AH41" s="161" t="s">
        <v>124</v>
      </c>
      <c r="AK41" s="160"/>
      <c r="AL41" s="161" t="s">
        <v>124</v>
      </c>
      <c r="AO41" s="15"/>
      <c r="AP41" s="3"/>
      <c r="AQ41" s="163" t="str">
        <f>IF(S19=0,"무일푼, 노숙.",(IF(AND(1&lt;=S19,10&gt;S19),"가난, 최소한의 재산만 소유.",IF(AND(10&lt;=S19,50&gt;S19),"보통, 적당히 안락한 생활.",(IF(AND(50&lt;=S19,90&gt;S19),"부유, 약간의 사치 가능.",(IF(AND(90&lt;=S19,99&gt;S19),"자산가, 막대한 부와 사치.",(IF(S19=99,"갑부, 돈은 문제가 되지 않는 수준."))))))))))</f>
        <v>무일푼, 노숙.</v>
      </c>
      <c r="AR41" s="164"/>
      <c r="AS41" s="164"/>
      <c r="AT41" s="164"/>
      <c r="AU41" s="164"/>
      <c r="AV41" s="164"/>
      <c r="AW41" s="164"/>
      <c r="AX41" s="164"/>
      <c r="AY41" s="164"/>
      <c r="AZ41" s="164"/>
      <c r="BA41" s="164"/>
      <c r="BB41" s="165"/>
      <c r="BC41" s="3"/>
    </row>
    <row r="42" ht="13.5" customHeight="1">
      <c r="A42" s="22"/>
      <c r="B42" s="166"/>
      <c r="C42" s="167"/>
      <c r="D42" s="167"/>
      <c r="E42" s="167"/>
      <c r="F42" s="167"/>
      <c r="G42" s="167"/>
      <c r="H42" s="167"/>
      <c r="I42" s="168"/>
      <c r="J42" s="169"/>
      <c r="K42" s="167"/>
      <c r="L42" s="168"/>
      <c r="M42" s="170">
        <f t="shared" si="16"/>
        <v>0</v>
      </c>
      <c r="N42" s="167"/>
      <c r="O42" s="168"/>
      <c r="P42" s="170">
        <f t="shared" si="17"/>
        <v>0</v>
      </c>
      <c r="Q42" s="167"/>
      <c r="R42" s="168"/>
      <c r="S42" s="171"/>
      <c r="T42" s="167"/>
      <c r="U42" s="167"/>
      <c r="V42" s="167"/>
      <c r="W42" s="167"/>
      <c r="X42" s="168"/>
      <c r="Y42" s="169"/>
      <c r="Z42" s="167"/>
      <c r="AA42" s="167"/>
      <c r="AB42" s="168"/>
      <c r="AC42" s="169"/>
      <c r="AD42" s="167"/>
      <c r="AE42" s="167"/>
      <c r="AF42" s="167"/>
      <c r="AG42" s="168"/>
      <c r="AH42" s="169"/>
      <c r="AI42" s="167"/>
      <c r="AJ42" s="167"/>
      <c r="AK42" s="168"/>
      <c r="AL42" s="169"/>
      <c r="AM42" s="167"/>
      <c r="AN42" s="167"/>
      <c r="AO42" s="172"/>
      <c r="AP42" s="28"/>
      <c r="AQ42" s="163" t="str">
        <f>IF(V10=0,"서있거나 컵을 들 힘조차 없음.",(IF(AND(1&lt;=V10,30&gt;V10),"힘없고 허약한 사람.",IF(AND(30&lt;=V10,70&gt;V10),"평균적 근력의 소유자.",(IF(AND(70&lt;=V10,85&gt;V10),"근력이 좋은 사람.",(IF(AND(85&lt;=V10,99&gt;V10),"보기 드물게 강한 사람.",(IF(V10=99,"인간의 한계에 다다른 강한 근력."))))))))))</f>
        <v>서있거나 컵을 들 힘조차 없음.</v>
      </c>
      <c r="AR42" s="164"/>
      <c r="AS42" s="164"/>
      <c r="AT42" s="164"/>
      <c r="AU42" s="164"/>
      <c r="AV42" s="164"/>
      <c r="AW42" s="164"/>
      <c r="AX42" s="164"/>
      <c r="AY42" s="164"/>
      <c r="AZ42" s="164"/>
      <c r="BA42" s="164"/>
      <c r="BB42" s="165"/>
      <c r="BC42" s="3"/>
    </row>
    <row r="43" ht="13.5" customHeight="1">
      <c r="A43" s="22"/>
      <c r="B43" s="173"/>
      <c r="C43" s="167"/>
      <c r="D43" s="167"/>
      <c r="E43" s="167"/>
      <c r="F43" s="167"/>
      <c r="G43" s="167"/>
      <c r="H43" s="167"/>
      <c r="I43" s="168"/>
      <c r="J43" s="169"/>
      <c r="K43" s="167"/>
      <c r="L43" s="168"/>
      <c r="M43" s="170">
        <f t="shared" si="16"/>
        <v>0</v>
      </c>
      <c r="N43" s="167"/>
      <c r="O43" s="168"/>
      <c r="P43" s="170">
        <f t="shared" si="17"/>
        <v>0</v>
      </c>
      <c r="Q43" s="167"/>
      <c r="R43" s="168"/>
      <c r="S43" s="169"/>
      <c r="T43" s="167"/>
      <c r="U43" s="167"/>
      <c r="V43" s="167"/>
      <c r="W43" s="167"/>
      <c r="X43" s="168"/>
      <c r="Y43" s="169"/>
      <c r="Z43" s="167"/>
      <c r="AA43" s="167"/>
      <c r="AB43" s="168"/>
      <c r="AC43" s="169"/>
      <c r="AD43" s="167"/>
      <c r="AE43" s="167"/>
      <c r="AF43" s="167"/>
      <c r="AG43" s="168"/>
      <c r="AH43" s="169"/>
      <c r="AI43" s="167"/>
      <c r="AJ43" s="167"/>
      <c r="AK43" s="168"/>
      <c r="AL43" s="169"/>
      <c r="AM43" s="167"/>
      <c r="AN43" s="167"/>
      <c r="AO43" s="172"/>
      <c r="AP43" s="28"/>
      <c r="AQ43" s="163" t="str">
        <f>IF(V12=0,"산 송장.",(IF(AND(1&lt;=V12,10&gt;V12),"병자. 혼자 움직일 수 없음.",(IF(AND(10&lt;=V12,30&gt;V12),"건강 나쁨. 면역력이 아주 약하다.",IF(AND(30&lt;=V12,70&gt;V12),"평균적으로 건강한 사람.",(IF(AND(70&lt;=V12,99&gt;V12),"잔병치레 없는 수준의 건강함.",(IF(V12=99,"철의 인간, 엄청나게 건강."))))))))))</f>
        <v>산 송장.</v>
      </c>
      <c r="AR43" s="164"/>
      <c r="AS43" s="164"/>
      <c r="AT43" s="164"/>
      <c r="AU43" s="164"/>
      <c r="AV43" s="164"/>
      <c r="AW43" s="164"/>
      <c r="AX43" s="164"/>
      <c r="AY43" s="164"/>
      <c r="AZ43" s="164"/>
      <c r="BA43" s="164"/>
      <c r="BB43" s="165"/>
      <c r="BC43" s="3"/>
    </row>
    <row r="44" ht="13.5" customHeight="1">
      <c r="A44" s="22"/>
      <c r="B44" s="173"/>
      <c r="C44" s="167"/>
      <c r="D44" s="167"/>
      <c r="E44" s="167"/>
      <c r="F44" s="167"/>
      <c r="G44" s="167"/>
      <c r="H44" s="167"/>
      <c r="I44" s="168"/>
      <c r="J44" s="169"/>
      <c r="K44" s="167"/>
      <c r="L44" s="168"/>
      <c r="M44" s="174">
        <f t="shared" si="16"/>
        <v>0</v>
      </c>
      <c r="N44" s="167"/>
      <c r="O44" s="168"/>
      <c r="P44" s="174">
        <f t="shared" si="17"/>
        <v>0</v>
      </c>
      <c r="Q44" s="167"/>
      <c r="R44" s="168"/>
      <c r="S44" s="169"/>
      <c r="T44" s="167"/>
      <c r="U44" s="167"/>
      <c r="V44" s="167"/>
      <c r="W44" s="167"/>
      <c r="X44" s="168"/>
      <c r="Y44" s="169"/>
      <c r="Z44" s="167"/>
      <c r="AA44" s="167"/>
      <c r="AB44" s="168"/>
      <c r="AC44" s="169"/>
      <c r="AD44" s="167"/>
      <c r="AE44" s="167"/>
      <c r="AF44" s="167"/>
      <c r="AG44" s="168"/>
      <c r="AH44" s="169"/>
      <c r="AI44" s="167"/>
      <c r="AJ44" s="167"/>
      <c r="AK44" s="168"/>
      <c r="AL44" s="169"/>
      <c r="AM44" s="167"/>
      <c r="AN44" s="167"/>
      <c r="AO44" s="172"/>
      <c r="AP44" s="28"/>
      <c r="AQ44" s="163" t="str">
        <f>IF(AL12=0,"갓난아기 수준의 교육.",(IF(AND(1&lt;=AL12,30&gt;AL12),"제대로 된 교육을 받지 못했다.",IF(AND(30&lt;=AL12,70&gt;AL12),"평균적인 수준의 교육을 받음.",(IF(AND(70&lt;=AL12,85&gt;AL12),"대졸 수준 이상의 교육을 받음.",(IF(AND(85&lt;=AL12,99&gt;AL12),"교육받은 분야의 전문가.",(IF(AL12=99,"세계적으로 저명한 엘리트."))))))))))</f>
        <v>갓난아기 수준의 교육.</v>
      </c>
      <c r="AR44" s="164"/>
      <c r="AS44" s="164"/>
      <c r="AT44" s="164"/>
      <c r="AU44" s="164"/>
      <c r="AV44" s="164"/>
      <c r="AW44" s="164"/>
      <c r="AX44" s="164"/>
      <c r="AY44" s="164"/>
      <c r="AZ44" s="164"/>
      <c r="BA44" s="164"/>
      <c r="BB44" s="165"/>
      <c r="BC44" s="3"/>
    </row>
    <row r="45" ht="13.5" customHeight="1">
      <c r="A45" s="22"/>
      <c r="B45" s="173"/>
      <c r="C45" s="167"/>
      <c r="D45" s="167"/>
      <c r="E45" s="167"/>
      <c r="F45" s="167"/>
      <c r="G45" s="167"/>
      <c r="H45" s="167"/>
      <c r="I45" s="168"/>
      <c r="J45" s="169"/>
      <c r="K45" s="167"/>
      <c r="L45" s="168"/>
      <c r="M45" s="174">
        <f t="shared" si="16"/>
        <v>0</v>
      </c>
      <c r="N45" s="167"/>
      <c r="O45" s="168"/>
      <c r="P45" s="174">
        <f t="shared" si="17"/>
        <v>0</v>
      </c>
      <c r="Q45" s="167"/>
      <c r="R45" s="168"/>
      <c r="S45" s="169"/>
      <c r="T45" s="167"/>
      <c r="U45" s="167"/>
      <c r="V45" s="167"/>
      <c r="W45" s="167"/>
      <c r="X45" s="168"/>
      <c r="Y45" s="169"/>
      <c r="Z45" s="167"/>
      <c r="AA45" s="167"/>
      <c r="AB45" s="168"/>
      <c r="AC45" s="169"/>
      <c r="AD45" s="167"/>
      <c r="AE45" s="167"/>
      <c r="AF45" s="167"/>
      <c r="AG45" s="168"/>
      <c r="AH45" s="169"/>
      <c r="AI45" s="167"/>
      <c r="AJ45" s="167"/>
      <c r="AK45" s="168"/>
      <c r="AL45" s="169"/>
      <c r="AM45" s="167"/>
      <c r="AN45" s="167"/>
      <c r="AO45" s="172"/>
      <c r="AP45" s="28"/>
      <c r="AQ45" s="163" t="str">
        <f>IF(AD10=0,"도움이 없이는 움직일 수 없다.",(IF(AND(1&lt;=AD10,30&gt;AD10),"느리고 덤벙대며 둔하다.",IF(AND(30&lt;=AD10,70&gt;AD10),"일반 사람의 민첩성.",(IF(AND(70&lt;=AD10,85&gt;AD10),"민첩하고 반응속도가 빠른 사람.",(IF(AND(85&lt;=AD10,99&gt;AD10),"국가대표 체조 선수 수준의 민첩성.",(IF(AD10=99,"세계 최고 민첩성의 소유자."))))))))))</f>
        <v>도움이 없이는 움직일 수 없다.</v>
      </c>
      <c r="AR45" s="164"/>
      <c r="AS45" s="164"/>
      <c r="AT45" s="164"/>
      <c r="AU45" s="164"/>
      <c r="AV45" s="164"/>
      <c r="AW45" s="164"/>
      <c r="AX45" s="164"/>
      <c r="AY45" s="164"/>
      <c r="AZ45" s="164"/>
      <c r="BA45" s="164"/>
      <c r="BB45" s="165"/>
      <c r="BC45" s="3"/>
    </row>
    <row r="46" ht="13.5" customHeight="1">
      <c r="A46" s="22"/>
      <c r="B46" s="173"/>
      <c r="C46" s="167"/>
      <c r="D46" s="167"/>
      <c r="E46" s="167"/>
      <c r="F46" s="167"/>
      <c r="G46" s="167"/>
      <c r="H46" s="167"/>
      <c r="I46" s="168"/>
      <c r="J46" s="169"/>
      <c r="K46" s="167"/>
      <c r="L46" s="168"/>
      <c r="M46" s="174">
        <f t="shared" si="16"/>
        <v>0</v>
      </c>
      <c r="N46" s="167"/>
      <c r="O46" s="168"/>
      <c r="P46" s="174">
        <f t="shared" si="17"/>
        <v>0</v>
      </c>
      <c r="Q46" s="167"/>
      <c r="R46" s="168"/>
      <c r="S46" s="169"/>
      <c r="T46" s="167"/>
      <c r="U46" s="167"/>
      <c r="V46" s="167"/>
      <c r="W46" s="167"/>
      <c r="X46" s="168"/>
      <c r="Y46" s="169"/>
      <c r="Z46" s="167"/>
      <c r="AA46" s="167"/>
      <c r="AB46" s="168"/>
      <c r="AC46" s="169"/>
      <c r="AD46" s="167"/>
      <c r="AE46" s="167"/>
      <c r="AF46" s="167"/>
      <c r="AG46" s="168"/>
      <c r="AH46" s="169"/>
      <c r="AI46" s="167"/>
      <c r="AJ46" s="167"/>
      <c r="AK46" s="168"/>
      <c r="AL46" s="169"/>
      <c r="AM46" s="167"/>
      <c r="AN46" s="167"/>
      <c r="AO46" s="172"/>
      <c r="AP46" s="28"/>
      <c r="AQ46" s="163" t="str">
        <f>IF(AD14=0,"주변의 아무 것도 이해하지 못함.",(IF(AND(1&lt;=AD14,30&gt;AD14),"배우는 것이 느림, 기초적 학습만 가능.",IF(AND(30&lt;=AD14,70&gt;AD14),"보통 사람의 아이큐.",(IF(AND(70&lt;=AD14,85&gt;AD14),"재치가 있고 머리회전이 빠르다.",(IF(AND(85&lt;=AD14,99&gt;AD14),"머리가 좋아 다양한 지식을 가지고 있다.",(IF(AD14=99,"아인슈타인 수준의 두뇌."))))))))))</f>
        <v>주변의 아무 것도 이해하지 못함.</v>
      </c>
      <c r="AR46" s="164"/>
      <c r="AS46" s="164"/>
      <c r="AT46" s="164"/>
      <c r="AU46" s="164"/>
      <c r="AV46" s="164"/>
      <c r="AW46" s="164"/>
      <c r="AX46" s="164"/>
      <c r="AY46" s="164"/>
      <c r="AZ46" s="164"/>
      <c r="BA46" s="164"/>
      <c r="BB46" s="165"/>
      <c r="BC46" s="3"/>
    </row>
    <row r="47" ht="13.5" customHeight="1">
      <c r="A47" s="22"/>
      <c r="B47" s="175"/>
      <c r="C47" s="176"/>
      <c r="D47" s="176"/>
      <c r="E47" s="176"/>
      <c r="F47" s="176"/>
      <c r="G47" s="176"/>
      <c r="H47" s="176"/>
      <c r="I47" s="177"/>
      <c r="J47" s="178"/>
      <c r="K47" s="176"/>
      <c r="L47" s="177"/>
      <c r="M47" s="179">
        <f t="shared" si="16"/>
        <v>0</v>
      </c>
      <c r="N47" s="176"/>
      <c r="O47" s="177"/>
      <c r="P47" s="179">
        <f t="shared" si="17"/>
        <v>0</v>
      </c>
      <c r="Q47" s="176"/>
      <c r="R47" s="177"/>
      <c r="S47" s="178"/>
      <c r="T47" s="176"/>
      <c r="U47" s="176"/>
      <c r="V47" s="176"/>
      <c r="W47" s="176"/>
      <c r="X47" s="177"/>
      <c r="Y47" s="178"/>
      <c r="Z47" s="176"/>
      <c r="AA47" s="176"/>
      <c r="AB47" s="177"/>
      <c r="AC47" s="178"/>
      <c r="AD47" s="176"/>
      <c r="AE47" s="176"/>
      <c r="AF47" s="176"/>
      <c r="AG47" s="177"/>
      <c r="AH47" s="178"/>
      <c r="AI47" s="176"/>
      <c r="AJ47" s="176"/>
      <c r="AK47" s="177"/>
      <c r="AL47" s="178"/>
      <c r="AM47" s="176"/>
      <c r="AN47" s="176"/>
      <c r="AO47" s="180"/>
      <c r="AP47" s="28"/>
      <c r="AQ47" s="163" t="str">
        <f>IF(AL10=0,"어떠한 의지도 의욕도 없는 사람.",(IF(AND(1&lt;=AL10,30&gt;AL10),"의지가 약하고 남들에게 곧잘 휘둘림.",IF(AND(30&lt;=AL10,70&gt;AL10),"보통 사람의 의지를 가졌다.",(IF(AND(70&lt;=AL10,85&gt;AL10),"의지가 강한 사람.",(IF(AND(85&lt;=AL10,99&gt;AL10),"아주 높은 정신력, 영적 감이 있을 수도.",(IF(AL10=99,"철의 의지. 이세계와 깊게 연관됨."))))))))))</f>
        <v>어떠한 의지도 의욕도 없는 사람.</v>
      </c>
      <c r="AR47" s="164"/>
      <c r="AS47" s="164"/>
      <c r="AT47" s="164"/>
      <c r="AU47" s="164"/>
      <c r="AV47" s="164"/>
      <c r="AW47" s="164"/>
      <c r="AX47" s="164"/>
      <c r="AY47" s="164"/>
      <c r="AZ47" s="164"/>
      <c r="BA47" s="164"/>
      <c r="BB47" s="165"/>
      <c r="BC47" s="3"/>
    </row>
    <row r="48" ht="13.5" customHeight="1">
      <c r="A48" s="22"/>
      <c r="B48" s="388" t="s">
        <v>125</v>
      </c>
      <c r="C48" s="24"/>
      <c r="D48" s="24"/>
      <c r="E48" s="24"/>
      <c r="F48" s="24"/>
      <c r="G48" s="24"/>
      <c r="H48" s="24"/>
      <c r="I48" s="24"/>
      <c r="J48" s="24"/>
      <c r="K48" s="24"/>
      <c r="L48" s="24"/>
      <c r="M48" s="24"/>
      <c r="N48" s="24"/>
      <c r="O48" s="24"/>
      <c r="P48" s="24"/>
      <c r="Q48" s="24"/>
      <c r="R48" s="24"/>
      <c r="S48" s="24"/>
      <c r="T48" s="24"/>
      <c r="U48" s="433"/>
      <c r="V48" s="434" t="s">
        <v>126</v>
      </c>
      <c r="W48" s="24"/>
      <c r="X48" s="24"/>
      <c r="Y48" s="24"/>
      <c r="Z48" s="24"/>
      <c r="AA48" s="24"/>
      <c r="AB48" s="24"/>
      <c r="AC48" s="24"/>
      <c r="AD48" s="24"/>
      <c r="AE48" s="24"/>
      <c r="AF48" s="24"/>
      <c r="AG48" s="24"/>
      <c r="AH48" s="24"/>
      <c r="AI48" s="24"/>
      <c r="AJ48" s="24"/>
      <c r="AK48" s="24"/>
      <c r="AL48" s="24"/>
      <c r="AM48" s="24"/>
      <c r="AN48" s="24"/>
      <c r="AO48" s="433"/>
      <c r="AP48" s="28"/>
      <c r="AQ48" s="184"/>
      <c r="AR48" s="185"/>
      <c r="AS48" s="185"/>
      <c r="AT48" s="185"/>
      <c r="AU48" s="185"/>
      <c r="AV48" s="185"/>
      <c r="AW48" s="185"/>
      <c r="AX48" s="185"/>
      <c r="AY48" s="185"/>
      <c r="AZ48" s="185"/>
      <c r="BA48" s="185"/>
      <c r="BB48" s="186"/>
      <c r="BC48" s="3"/>
    </row>
    <row r="49" ht="13.5" customHeight="1">
      <c r="A49" s="22"/>
      <c r="B49" s="30"/>
      <c r="C49" s="31"/>
      <c r="D49" s="31"/>
      <c r="E49" s="31"/>
      <c r="F49" s="31"/>
      <c r="G49" s="31"/>
      <c r="H49" s="31"/>
      <c r="I49" s="31"/>
      <c r="J49" s="31"/>
      <c r="K49" s="31"/>
      <c r="L49" s="31"/>
      <c r="M49" s="31"/>
      <c r="N49" s="31"/>
      <c r="O49" s="31"/>
      <c r="P49" s="31"/>
      <c r="Q49" s="31"/>
      <c r="R49" s="31"/>
      <c r="S49" s="31"/>
      <c r="T49" s="31"/>
      <c r="U49" s="189"/>
      <c r="V49" s="188"/>
      <c r="W49" s="31"/>
      <c r="X49" s="31"/>
      <c r="Y49" s="31"/>
      <c r="Z49" s="31"/>
      <c r="AA49" s="31"/>
      <c r="AB49" s="31"/>
      <c r="AC49" s="31"/>
      <c r="AD49" s="31"/>
      <c r="AE49" s="31"/>
      <c r="AF49" s="31"/>
      <c r="AG49" s="31"/>
      <c r="AH49" s="31"/>
      <c r="AI49" s="31"/>
      <c r="AJ49" s="31"/>
      <c r="AK49" s="31"/>
      <c r="AL49" s="31"/>
      <c r="AM49" s="31"/>
      <c r="AN49" s="31"/>
      <c r="AO49" s="189"/>
      <c r="AP49" s="28"/>
      <c r="AQ49" s="435" t="s">
        <v>127</v>
      </c>
      <c r="AR49" s="294"/>
      <c r="AS49" s="294"/>
      <c r="AT49" s="294"/>
      <c r="AU49" s="294"/>
      <c r="AV49" s="294"/>
      <c r="AW49" s="294"/>
      <c r="AX49" s="294"/>
      <c r="AY49" s="294"/>
      <c r="AZ49" s="294"/>
      <c r="BA49" s="294"/>
      <c r="BB49" s="295"/>
      <c r="BC49" s="3"/>
    </row>
    <row r="50" ht="64.5" customHeight="1">
      <c r="A50" s="22"/>
      <c r="B50" s="296" t="str">
        <f>if(or(U49&gt;10,U49&lt;0),"",
if(U49=1,"가장 높은 기능과 관련된 물건",
if(U49=2,"직업에 필수적인 물건",
if(U49=3,"어린 시절 추억의 물건",
if(U49=4,"중요한 사람의 유품",
if(U49=5,"중요한 사람에게서 받은 물건",
if(U49=6,"수집품",
if(U49=7,"출처가 불분명한 물건",
if(U49=8,"스포츠용품",
if(U49=9,"무기",
if(U49=10,"아끼는 동물",
"")))))))))))</f>
        <v/>
      </c>
      <c r="C50" s="5"/>
      <c r="D50" s="5"/>
      <c r="E50" s="5"/>
      <c r="F50" s="297"/>
      <c r="G50" s="298"/>
      <c r="H50" s="5"/>
      <c r="I50" s="5"/>
      <c r="J50" s="5"/>
      <c r="K50" s="297"/>
      <c r="L50" s="298"/>
      <c r="M50" s="5"/>
      <c r="N50" s="5"/>
      <c r="O50" s="5"/>
      <c r="P50" s="297"/>
      <c r="Q50" s="298"/>
      <c r="R50" s="5"/>
      <c r="S50" s="5"/>
      <c r="T50" s="5"/>
      <c r="U50" s="299"/>
      <c r="V50" s="300" t="str">
        <f>if(or(AO49&gt;10,AO49&lt;0),"잘못된 숫자를 넣으셨습니다.",
if(AO49=1,"부모",
if(AO49=2,"조부모",
if(AO49=3,"형제자매",
if(AO49=4,"자식",
if(AO49=5,"파트너",
if(AO49=6,"존경하는 스승",
if(AO49=7,"친구",
if(AO49=8,"유명인, 우상, 영웅",
if(AO49=9,"동료 탐사자",
if(AO49=10,"NPC",
"")))))))))))</f>
        <v/>
      </c>
      <c r="W50" s="5"/>
      <c r="X50" s="5"/>
      <c r="Y50" s="5"/>
      <c r="Z50" s="297"/>
      <c r="AA50" s="301"/>
      <c r="AB50" s="5"/>
      <c r="AC50" s="5"/>
      <c r="AD50" s="5"/>
      <c r="AE50" s="297"/>
      <c r="AF50" s="301"/>
      <c r="AG50" s="5"/>
      <c r="AH50" s="5"/>
      <c r="AI50" s="5"/>
      <c r="AJ50" s="297"/>
      <c r="AK50" s="301"/>
      <c r="AL50" s="5"/>
      <c r="AM50" s="5"/>
      <c r="AN50" s="5"/>
      <c r="AO50" s="7"/>
      <c r="AP50" s="28"/>
      <c r="AQ50" s="9"/>
      <c r="BB50" s="302"/>
      <c r="BC50" s="3"/>
    </row>
    <row r="51" ht="8.25" customHeight="1">
      <c r="A51" s="22"/>
      <c r="B51" s="303"/>
      <c r="C51" s="304"/>
      <c r="D51" s="304"/>
      <c r="E51" s="304"/>
      <c r="F51" s="305"/>
      <c r="G51" s="306"/>
      <c r="H51" s="304"/>
      <c r="I51" s="304"/>
      <c r="J51" s="304"/>
      <c r="K51" s="305"/>
      <c r="L51" s="306"/>
      <c r="M51" s="304"/>
      <c r="N51" s="304"/>
      <c r="O51" s="304"/>
      <c r="P51" s="305"/>
      <c r="Q51" s="306"/>
      <c r="R51" s="304"/>
      <c r="S51" s="304"/>
      <c r="T51" s="304"/>
      <c r="U51" s="307"/>
      <c r="V51" s="304"/>
      <c r="W51" s="304"/>
      <c r="X51" s="304"/>
      <c r="Y51" s="304"/>
      <c r="Z51" s="305"/>
      <c r="AA51" s="306"/>
      <c r="AB51" s="304"/>
      <c r="AC51" s="304"/>
      <c r="AD51" s="304"/>
      <c r="AE51" s="305"/>
      <c r="AF51" s="306"/>
      <c r="AG51" s="304"/>
      <c r="AH51" s="304"/>
      <c r="AI51" s="304"/>
      <c r="AJ51" s="305"/>
      <c r="AK51" s="306"/>
      <c r="AL51" s="304"/>
      <c r="AM51" s="304"/>
      <c r="AN51" s="304"/>
      <c r="AO51" s="308"/>
      <c r="AP51" s="28"/>
      <c r="AQ51" s="9"/>
      <c r="BB51" s="302"/>
      <c r="BC51" s="3"/>
    </row>
    <row r="52" ht="26.25" customHeight="1">
      <c r="A52" s="22"/>
      <c r="B52" s="309"/>
      <c r="C52" s="310"/>
      <c r="D52" s="310"/>
      <c r="E52" s="310"/>
      <c r="F52" s="311"/>
      <c r="G52" s="312"/>
      <c r="H52" s="310"/>
      <c r="I52" s="310"/>
      <c r="J52" s="310"/>
      <c r="K52" s="311"/>
      <c r="L52" s="312"/>
      <c r="M52" s="310"/>
      <c r="N52" s="310"/>
      <c r="O52" s="310"/>
      <c r="P52" s="311"/>
      <c r="Q52" s="312"/>
      <c r="R52" s="310"/>
      <c r="S52" s="310"/>
      <c r="T52" s="310"/>
      <c r="U52" s="313"/>
      <c r="V52" s="314"/>
      <c r="W52" s="310"/>
      <c r="X52" s="310"/>
      <c r="Y52" s="310"/>
      <c r="Z52" s="311"/>
      <c r="AA52" s="315"/>
      <c r="AB52" s="310"/>
      <c r="AC52" s="310"/>
      <c r="AD52" s="310"/>
      <c r="AE52" s="311"/>
      <c r="AF52" s="315"/>
      <c r="AG52" s="310"/>
      <c r="AH52" s="310"/>
      <c r="AI52" s="310"/>
      <c r="AJ52" s="311"/>
      <c r="AK52" s="315"/>
      <c r="AL52" s="310"/>
      <c r="AM52" s="310"/>
      <c r="AN52" s="310"/>
      <c r="AO52" s="316"/>
      <c r="AP52" s="28"/>
      <c r="AQ52" s="9"/>
      <c r="BB52" s="302"/>
      <c r="BC52" s="3"/>
    </row>
    <row r="53" ht="49.5" customHeight="1">
      <c r="A53" s="22"/>
      <c r="B53" s="303"/>
      <c r="C53" s="304"/>
      <c r="D53" s="304"/>
      <c r="E53" s="304"/>
      <c r="F53" s="305"/>
      <c r="G53" s="306"/>
      <c r="H53" s="304"/>
      <c r="I53" s="304"/>
      <c r="J53" s="304"/>
      <c r="K53" s="305"/>
      <c r="L53" s="306"/>
      <c r="M53" s="304"/>
      <c r="N53" s="304"/>
      <c r="O53" s="304"/>
      <c r="P53" s="305"/>
      <c r="Q53" s="306"/>
      <c r="R53" s="304"/>
      <c r="S53" s="304"/>
      <c r="T53" s="304"/>
      <c r="U53" s="307"/>
      <c r="V53" s="304"/>
      <c r="W53" s="304"/>
      <c r="X53" s="304"/>
      <c r="Y53" s="304"/>
      <c r="Z53" s="305"/>
      <c r="AA53" s="306"/>
      <c r="AB53" s="304"/>
      <c r="AC53" s="304"/>
      <c r="AD53" s="304"/>
      <c r="AE53" s="305"/>
      <c r="AF53" s="306"/>
      <c r="AG53" s="304"/>
      <c r="AH53" s="304"/>
      <c r="AI53" s="304"/>
      <c r="AJ53" s="305"/>
      <c r="AK53" s="306"/>
      <c r="AL53" s="304"/>
      <c r="AM53" s="304"/>
      <c r="AN53" s="304"/>
      <c r="AO53" s="308"/>
      <c r="AP53" s="28"/>
      <c r="AQ53" s="9"/>
      <c r="BB53" s="302"/>
      <c r="BC53" s="3"/>
    </row>
    <row r="54" ht="47.25" customHeight="1">
      <c r="A54" s="22"/>
      <c r="B54" s="309"/>
      <c r="C54" s="310"/>
      <c r="D54" s="310"/>
      <c r="E54" s="310"/>
      <c r="F54" s="311"/>
      <c r="G54" s="312"/>
      <c r="H54" s="310"/>
      <c r="I54" s="310"/>
      <c r="J54" s="310"/>
      <c r="K54" s="311"/>
      <c r="L54" s="312"/>
      <c r="M54" s="310"/>
      <c r="N54" s="310"/>
      <c r="O54" s="310"/>
      <c r="P54" s="311"/>
      <c r="Q54" s="312"/>
      <c r="R54" s="310"/>
      <c r="S54" s="310"/>
      <c r="T54" s="310"/>
      <c r="U54" s="313"/>
      <c r="V54" s="314"/>
      <c r="W54" s="310"/>
      <c r="X54" s="310"/>
      <c r="Y54" s="310"/>
      <c r="Z54" s="311"/>
      <c r="AA54" s="315"/>
      <c r="AB54" s="310"/>
      <c r="AC54" s="310"/>
      <c r="AD54" s="310"/>
      <c r="AE54" s="311"/>
      <c r="AF54" s="315"/>
      <c r="AG54" s="310"/>
      <c r="AH54" s="310"/>
      <c r="AI54" s="310"/>
      <c r="AJ54" s="311"/>
      <c r="AK54" s="315"/>
      <c r="AL54" s="310"/>
      <c r="AM54" s="310"/>
      <c r="AN54" s="310"/>
      <c r="AO54" s="316"/>
      <c r="AP54" s="28"/>
      <c r="AQ54" s="10"/>
      <c r="AR54" s="11"/>
      <c r="AS54" s="11"/>
      <c r="AT54" s="11"/>
      <c r="AU54" s="11"/>
      <c r="AV54" s="11"/>
      <c r="AW54" s="11"/>
      <c r="AX54" s="11"/>
      <c r="AY54" s="11"/>
      <c r="AZ54" s="11"/>
      <c r="BA54" s="11"/>
      <c r="BB54" s="317"/>
      <c r="BC54" s="3"/>
    </row>
    <row r="55" ht="30.75" customHeight="1">
      <c r="A55" s="22"/>
      <c r="B55" s="303"/>
      <c r="C55" s="304"/>
      <c r="D55" s="304"/>
      <c r="E55" s="304"/>
      <c r="F55" s="305"/>
      <c r="G55" s="306"/>
      <c r="H55" s="304"/>
      <c r="I55" s="304"/>
      <c r="J55" s="304"/>
      <c r="K55" s="305"/>
      <c r="L55" s="306"/>
      <c r="M55" s="304"/>
      <c r="N55" s="304"/>
      <c r="O55" s="304"/>
      <c r="P55" s="305"/>
      <c r="Q55" s="306"/>
      <c r="R55" s="304"/>
      <c r="S55" s="304"/>
      <c r="T55" s="304"/>
      <c r="U55" s="307"/>
      <c r="V55" s="304"/>
      <c r="W55" s="304"/>
      <c r="X55" s="304"/>
      <c r="Y55" s="304"/>
      <c r="Z55" s="305"/>
      <c r="AA55" s="306"/>
      <c r="AB55" s="304"/>
      <c r="AC55" s="304"/>
      <c r="AD55" s="304"/>
      <c r="AE55" s="305"/>
      <c r="AF55" s="306"/>
      <c r="AG55" s="304"/>
      <c r="AH55" s="304"/>
      <c r="AI55" s="304"/>
      <c r="AJ55" s="305"/>
      <c r="AK55" s="306"/>
      <c r="AL55" s="304"/>
      <c r="AM55" s="304"/>
      <c r="AN55" s="304"/>
      <c r="AO55" s="308"/>
      <c r="AP55" s="28"/>
      <c r="AQ55" s="318" t="str">
        <f>if(or(BB49&gt;10,BB49&lt;0),"잘못된 숫자를 넣으셨습니다.",
if(BB49=1,"인심이 좋습니다.",
if(BB49=2,"동물의 친구입니다.",
if(BB49=3,"몽상가입니다.",
if(BB49=4,"쾌락주의자입니다.",
if(BB49=5,"과감한 승부사입니다.",
if(BB49=6,"유능한 요리사입니다.",
if(BB49=7,"바람둥이입니다.",
if(BB49=8,"충직합니다.",
if(BB49=9,"평판이 좋습니다.",
if(BB49=10,"야심가입니다.", "당신의 성격은 무엇인가요?")))))))))))</f>
        <v>당신의 성격은 무엇인가요?</v>
      </c>
      <c r="AR55" s="294"/>
      <c r="AS55" s="294"/>
      <c r="AT55" s="294"/>
      <c r="AU55" s="294"/>
      <c r="AV55" s="294"/>
      <c r="AW55" s="294"/>
      <c r="AX55" s="294"/>
      <c r="AY55" s="294"/>
      <c r="AZ55" s="294"/>
      <c r="BA55" s="294"/>
      <c r="BB55" s="294"/>
      <c r="BC55" s="3"/>
    </row>
    <row r="56" ht="22.5" customHeight="1">
      <c r="A56" s="22"/>
      <c r="B56" s="309"/>
      <c r="C56" s="310"/>
      <c r="D56" s="310"/>
      <c r="E56" s="310"/>
      <c r="F56" s="311"/>
      <c r="G56" s="312"/>
      <c r="H56" s="310"/>
      <c r="I56" s="310"/>
      <c r="J56" s="310"/>
      <c r="K56" s="311"/>
      <c r="L56" s="312"/>
      <c r="M56" s="310"/>
      <c r="N56" s="310"/>
      <c r="O56" s="310"/>
      <c r="P56" s="311"/>
      <c r="Q56" s="312"/>
      <c r="R56" s="310"/>
      <c r="S56" s="310"/>
      <c r="T56" s="310"/>
      <c r="U56" s="313"/>
      <c r="V56" s="314"/>
      <c r="W56" s="310"/>
      <c r="X56" s="310"/>
      <c r="Y56" s="310"/>
      <c r="Z56" s="311"/>
      <c r="AA56" s="315"/>
      <c r="AB56" s="310"/>
      <c r="AC56" s="310"/>
      <c r="AD56" s="310"/>
      <c r="AE56" s="311"/>
      <c r="AF56" s="315"/>
      <c r="AG56" s="310"/>
      <c r="AH56" s="310"/>
      <c r="AI56" s="310"/>
      <c r="AJ56" s="311"/>
      <c r="AK56" s="315"/>
      <c r="AL56" s="310"/>
      <c r="AM56" s="310"/>
      <c r="AN56" s="310"/>
      <c r="AO56" s="316"/>
      <c r="AP56" s="28"/>
      <c r="AQ56" s="9"/>
      <c r="BC56" s="3"/>
    </row>
    <row r="57" ht="62.25" customHeight="1">
      <c r="A57" s="22"/>
      <c r="B57" s="303"/>
      <c r="C57" s="304"/>
      <c r="D57" s="304"/>
      <c r="E57" s="304"/>
      <c r="F57" s="305"/>
      <c r="G57" s="306"/>
      <c r="H57" s="304"/>
      <c r="I57" s="304"/>
      <c r="J57" s="304"/>
      <c r="K57" s="305"/>
      <c r="L57" s="306"/>
      <c r="M57" s="304"/>
      <c r="N57" s="304"/>
      <c r="O57" s="304"/>
      <c r="P57" s="305"/>
      <c r="Q57" s="306"/>
      <c r="R57" s="304"/>
      <c r="S57" s="304"/>
      <c r="T57" s="304"/>
      <c r="U57" s="307"/>
      <c r="V57" s="304"/>
      <c r="W57" s="304"/>
      <c r="X57" s="304"/>
      <c r="Y57" s="304"/>
      <c r="Z57" s="305"/>
      <c r="AA57" s="306"/>
      <c r="AB57" s="304"/>
      <c r="AC57" s="304"/>
      <c r="AD57" s="304"/>
      <c r="AE57" s="305"/>
      <c r="AF57" s="306"/>
      <c r="AG57" s="304"/>
      <c r="AH57" s="304"/>
      <c r="AI57" s="304"/>
      <c r="AJ57" s="305"/>
      <c r="AK57" s="306"/>
      <c r="AL57" s="304"/>
      <c r="AM57" s="304"/>
      <c r="AN57" s="304"/>
      <c r="AO57" s="308"/>
      <c r="AP57" s="28"/>
      <c r="AQ57" s="9"/>
      <c r="BC57" s="3"/>
    </row>
    <row r="58" ht="61.5" customHeight="1">
      <c r="A58" s="22"/>
      <c r="B58" s="309"/>
      <c r="C58" s="310"/>
      <c r="D58" s="310"/>
      <c r="E58" s="310"/>
      <c r="F58" s="311"/>
      <c r="G58" s="312"/>
      <c r="H58" s="310"/>
      <c r="I58" s="310"/>
      <c r="J58" s="310"/>
      <c r="K58" s="311"/>
      <c r="L58" s="312"/>
      <c r="M58" s="310"/>
      <c r="N58" s="310"/>
      <c r="O58" s="310"/>
      <c r="P58" s="311"/>
      <c r="Q58" s="312"/>
      <c r="R58" s="310"/>
      <c r="S58" s="310"/>
      <c r="T58" s="310"/>
      <c r="U58" s="313"/>
      <c r="V58" s="314"/>
      <c r="W58" s="310"/>
      <c r="X58" s="310"/>
      <c r="Y58" s="310"/>
      <c r="Z58" s="311"/>
      <c r="AA58" s="315"/>
      <c r="AB58" s="310"/>
      <c r="AC58" s="310"/>
      <c r="AD58" s="310"/>
      <c r="AE58" s="311"/>
      <c r="AF58" s="315"/>
      <c r="AG58" s="310"/>
      <c r="AH58" s="310"/>
      <c r="AI58" s="310"/>
      <c r="AJ58" s="311"/>
      <c r="AK58" s="315"/>
      <c r="AL58" s="310"/>
      <c r="AM58" s="310"/>
      <c r="AN58" s="310"/>
      <c r="AO58" s="316"/>
      <c r="AP58" s="28"/>
      <c r="AQ58" s="10"/>
      <c r="AR58" s="11"/>
      <c r="AS58" s="11"/>
      <c r="AT58" s="11"/>
      <c r="AU58" s="11"/>
      <c r="AV58" s="11"/>
      <c r="AW58" s="11"/>
      <c r="AX58" s="11"/>
      <c r="AY58" s="11"/>
      <c r="AZ58" s="11"/>
      <c r="BA58" s="11"/>
      <c r="BB58" s="11"/>
      <c r="BC58" s="3"/>
    </row>
    <row r="59" ht="13.5" customHeight="1">
      <c r="A59" s="22"/>
      <c r="B59" s="303"/>
      <c r="C59" s="304"/>
      <c r="D59" s="304"/>
      <c r="E59" s="304"/>
      <c r="F59" s="305"/>
      <c r="G59" s="306"/>
      <c r="H59" s="304"/>
      <c r="I59" s="304"/>
      <c r="J59" s="304"/>
      <c r="K59" s="305"/>
      <c r="L59" s="306"/>
      <c r="M59" s="304"/>
      <c r="N59" s="304"/>
      <c r="O59" s="304"/>
      <c r="P59" s="305"/>
      <c r="Q59" s="306"/>
      <c r="R59" s="304"/>
      <c r="S59" s="304"/>
      <c r="T59" s="304"/>
      <c r="U59" s="307"/>
      <c r="V59" s="11"/>
      <c r="W59" s="11"/>
      <c r="X59" s="11"/>
      <c r="Y59" s="11"/>
      <c r="Z59" s="319"/>
      <c r="AA59" s="320"/>
      <c r="AB59" s="11"/>
      <c r="AC59" s="11"/>
      <c r="AD59" s="11"/>
      <c r="AE59" s="319"/>
      <c r="AF59" s="320"/>
      <c r="AG59" s="11"/>
      <c r="AH59" s="11"/>
      <c r="AI59" s="11"/>
      <c r="AJ59" s="319"/>
      <c r="AK59" s="320"/>
      <c r="AL59" s="11"/>
      <c r="AM59" s="11"/>
      <c r="AN59" s="11"/>
      <c r="AO59" s="12"/>
      <c r="AP59" s="28"/>
      <c r="AQ59" s="436" t="s">
        <v>128</v>
      </c>
      <c r="AR59" s="105"/>
      <c r="AS59" s="105"/>
      <c r="AT59" s="105"/>
      <c r="AU59" s="105"/>
      <c r="AV59" s="105"/>
      <c r="AW59" s="105"/>
      <c r="AX59" s="105"/>
      <c r="AY59" s="105"/>
      <c r="AZ59" s="105"/>
      <c r="BA59" s="105"/>
      <c r="BB59" s="191"/>
      <c r="BC59" s="3"/>
    </row>
    <row r="60" ht="13.5" customHeight="1">
      <c r="A60" s="22"/>
      <c r="B60" s="309"/>
      <c r="C60" s="310"/>
      <c r="D60" s="310"/>
      <c r="E60" s="310"/>
      <c r="F60" s="311"/>
      <c r="G60" s="315"/>
      <c r="H60" s="310"/>
      <c r="I60" s="310"/>
      <c r="J60" s="310"/>
      <c r="K60" s="311"/>
      <c r="L60" s="315"/>
      <c r="M60" s="310"/>
      <c r="N60" s="310"/>
      <c r="O60" s="310"/>
      <c r="P60" s="311"/>
      <c r="Q60" s="315"/>
      <c r="R60" s="310"/>
      <c r="S60" s="310"/>
      <c r="T60" s="310"/>
      <c r="U60" s="313"/>
      <c r="V60" s="437" t="s">
        <v>129</v>
      </c>
      <c r="W60" s="105"/>
      <c r="X60" s="105"/>
      <c r="Y60" s="105"/>
      <c r="Z60" s="105"/>
      <c r="AA60" s="105"/>
      <c r="AB60" s="105"/>
      <c r="AC60" s="105"/>
      <c r="AD60" s="105"/>
      <c r="AE60" s="105"/>
      <c r="AF60" s="105"/>
      <c r="AG60" s="105"/>
      <c r="AH60" s="105"/>
      <c r="AI60" s="105"/>
      <c r="AJ60" s="105"/>
      <c r="AK60" s="105"/>
      <c r="AL60" s="105"/>
      <c r="AM60" s="105"/>
      <c r="AN60" s="107"/>
      <c r="AO60" s="211"/>
      <c r="AP60" s="28"/>
      <c r="AQ60" s="212" t="str">
        <f>if(or(BB59&gt;10,BB59&lt;0),"잘못된 숫자를 넣으셨습니다.",
if(BB59=1,"숭배하고 기도하는 초월적인 존재가 있습니다.",
if(BB59=2,"인류는 종교 없이도 잘 살 수 있습니다.",
if(BB59=3,"과학이 모든 것의 해답입니다.",
if(BB59=4,"운명을 극적으로 믿습니다.",
if(BB59=5,"사회단체 또는 비밀 단체에 소속되어 있습니다.",
if(BB59=6,"사회에 뿌리 뽑아야 할 악이 있습니다.",
if(BB59=7,"오컬트를 믿습니다.",
if(BB59=8,"세상만사에 관심이 많습니다.",
if(BB59=9,"돈이 권력이고 세속적인 욕심이 강합니다.",
if(BB59=10,"운동가 또는 활동가로 활약하고 있습니다.",
"당신의 사상이나 신념은 무엇인가요?")))))))))))</f>
        <v>당신의 사상이나 신념은 무엇인가요?</v>
      </c>
      <c r="AR60" s="185"/>
      <c r="AS60" s="185"/>
      <c r="AT60" s="185"/>
      <c r="AU60" s="185"/>
      <c r="AV60" s="185"/>
      <c r="AW60" s="185"/>
      <c r="AX60" s="185"/>
      <c r="AY60" s="185"/>
      <c r="AZ60" s="185"/>
      <c r="BA60" s="185"/>
      <c r="BB60" s="185"/>
      <c r="BC60" s="3"/>
    </row>
    <row r="61" ht="56.25" customHeight="1">
      <c r="A61" s="22"/>
      <c r="B61" s="10"/>
      <c r="C61" s="11"/>
      <c r="D61" s="11"/>
      <c r="E61" s="11"/>
      <c r="F61" s="319"/>
      <c r="G61" s="320"/>
      <c r="H61" s="11"/>
      <c r="I61" s="11"/>
      <c r="J61" s="11"/>
      <c r="K61" s="319"/>
      <c r="L61" s="320"/>
      <c r="M61" s="11"/>
      <c r="N61" s="11"/>
      <c r="O61" s="11"/>
      <c r="P61" s="319"/>
      <c r="Q61" s="320"/>
      <c r="R61" s="11"/>
      <c r="S61" s="11"/>
      <c r="T61" s="11"/>
      <c r="U61" s="322"/>
      <c r="V61" s="323" t="str">
        <f>if(or(AO60&gt;10,AO60&lt;0),"잘못된 숫자를 넣으셨습니다.",
if(AO60=1,"갚을 은혜가 있습니다.",
if(AO60=2,"배운 것이 있습니다.",
if(AO60=3,"삶에 의미를 주었습니다.",
if(AO60=4,"잘못한 것이 있어서 속죄하려고 합니다.",
if(AO60=5,"공유한 경험이 있습니다.",
if(AO60=6,"인정을 받고 싶습니다.",
if(AO60=7,"동경하고 숭배합니다.",
if(AO60=8,"회한(두고두고 후회함)이 있습니다.",
if(AO60=9,"자신이 그 사람보다 나은 인간임을 증명하고 싶습니다.",
if(AO60=10,"해를 끼친 사람에게 복수하고 싶습니다.",
"왜 그 사람을 중요하게 여기시나요?")))))))))))</f>
        <v>왜 그 사람을 중요하게 여기시나요?</v>
      </c>
      <c r="W61" s="105"/>
      <c r="X61" s="105"/>
      <c r="Y61" s="105"/>
      <c r="Z61" s="105"/>
      <c r="AA61" s="105"/>
      <c r="AB61" s="105"/>
      <c r="AC61" s="105"/>
      <c r="AD61" s="105"/>
      <c r="AE61" s="105"/>
      <c r="AF61" s="105"/>
      <c r="AG61" s="105"/>
      <c r="AH61" s="105"/>
      <c r="AI61" s="105"/>
      <c r="AJ61" s="105"/>
      <c r="AK61" s="105"/>
      <c r="AL61" s="105"/>
      <c r="AM61" s="105"/>
      <c r="AN61" s="105"/>
      <c r="AO61" s="107"/>
      <c r="AP61" s="28"/>
      <c r="AQ61" s="438" t="s">
        <v>130</v>
      </c>
      <c r="AR61" s="105"/>
      <c r="AS61" s="105"/>
      <c r="AT61" s="105"/>
      <c r="AU61" s="105"/>
      <c r="AV61" s="105"/>
      <c r="AW61" s="105"/>
      <c r="AX61" s="107"/>
      <c r="AY61" s="324"/>
      <c r="AZ61" s="105"/>
      <c r="BA61" s="105"/>
      <c r="BB61" s="107"/>
      <c r="BC61" s="3"/>
    </row>
    <row r="62" ht="13.5" customHeight="1">
      <c r="A62" s="2"/>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3"/>
      <c r="AD62" s="53"/>
      <c r="AE62" s="53"/>
      <c r="AF62" s="53"/>
      <c r="AG62" s="53"/>
      <c r="AH62" s="53"/>
      <c r="AI62" s="53"/>
      <c r="AJ62" s="53"/>
      <c r="AK62" s="53"/>
      <c r="AL62" s="53"/>
      <c r="AM62" s="53"/>
      <c r="AN62" s="53"/>
      <c r="AO62" s="53"/>
      <c r="AP62" s="218"/>
      <c r="AQ62" s="218"/>
      <c r="AR62" s="218"/>
      <c r="AS62" s="218"/>
      <c r="AT62" s="218"/>
      <c r="AU62" s="218"/>
      <c r="AV62" s="218"/>
      <c r="AW62" s="218"/>
      <c r="AX62" s="218"/>
      <c r="AY62" s="218"/>
      <c r="AZ62" s="218"/>
      <c r="BA62" s="218"/>
      <c r="BB62" s="218"/>
      <c r="BC62" s="3"/>
    </row>
    <row r="63" ht="15.75" customHeight="1">
      <c r="A63" s="219"/>
      <c r="B63" s="439" t="s">
        <v>131</v>
      </c>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5"/>
      <c r="BC63" s="221"/>
    </row>
    <row r="64" ht="15.75" customHeight="1">
      <c r="A64" s="219"/>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2"/>
      <c r="BC64" s="221"/>
    </row>
    <row r="65" ht="15.75" customHeight="1">
      <c r="A65" s="219"/>
      <c r="B65" s="440" t="s">
        <v>132</v>
      </c>
      <c r="C65" s="24"/>
      <c r="D65" s="24"/>
      <c r="E65" s="24"/>
      <c r="F65" s="24"/>
      <c r="G65" s="24"/>
      <c r="H65" s="24"/>
      <c r="I65" s="24"/>
      <c r="J65" s="24"/>
      <c r="K65" s="24"/>
      <c r="L65" s="24"/>
      <c r="M65" s="24"/>
      <c r="N65" s="24"/>
      <c r="O65" s="24"/>
      <c r="P65" s="24"/>
      <c r="Q65" s="24"/>
      <c r="R65" s="25"/>
      <c r="S65" s="441" t="s">
        <v>127</v>
      </c>
      <c r="T65" s="24"/>
      <c r="U65" s="24"/>
      <c r="V65" s="24"/>
      <c r="W65" s="24"/>
      <c r="X65" s="24"/>
      <c r="Y65" s="24"/>
      <c r="Z65" s="24"/>
      <c r="AA65" s="24"/>
      <c r="AB65" s="24"/>
      <c r="AC65" s="24"/>
      <c r="AD65" s="24"/>
      <c r="AE65" s="24"/>
      <c r="AF65" s="24"/>
      <c r="AG65" s="24"/>
      <c r="AH65" s="24"/>
      <c r="AI65" s="25"/>
      <c r="AJ65" s="440" t="s">
        <v>133</v>
      </c>
      <c r="AK65" s="24"/>
      <c r="AL65" s="24"/>
      <c r="AM65" s="24"/>
      <c r="AN65" s="24"/>
      <c r="AO65" s="24"/>
      <c r="AP65" s="24"/>
      <c r="AQ65" s="24"/>
      <c r="AR65" s="24"/>
      <c r="AS65" s="24"/>
      <c r="AT65" s="24"/>
      <c r="AU65" s="24"/>
      <c r="AV65" s="24"/>
      <c r="AW65" s="24"/>
      <c r="AX65" s="24"/>
      <c r="AY65" s="24"/>
      <c r="AZ65" s="24"/>
      <c r="BA65" s="24"/>
      <c r="BB65" s="25"/>
      <c r="BC65" s="221"/>
    </row>
    <row r="66" ht="15.75" customHeight="1">
      <c r="A66" s="219"/>
      <c r="B66" s="224"/>
      <c r="C66" s="5"/>
      <c r="D66" s="5"/>
      <c r="E66" s="5"/>
      <c r="F66" s="5"/>
      <c r="G66" s="5"/>
      <c r="H66" s="5"/>
      <c r="I66" s="5"/>
      <c r="J66" s="5"/>
      <c r="K66" s="5"/>
      <c r="L66" s="5"/>
      <c r="M66" s="5"/>
      <c r="N66" s="5"/>
      <c r="O66" s="5"/>
      <c r="P66" s="5"/>
      <c r="Q66" s="5"/>
      <c r="R66" s="7"/>
      <c r="S66" s="224"/>
      <c r="T66" s="5"/>
      <c r="U66" s="5"/>
      <c r="V66" s="5"/>
      <c r="W66" s="5"/>
      <c r="X66" s="5"/>
      <c r="Y66" s="5"/>
      <c r="Z66" s="5"/>
      <c r="AA66" s="5"/>
      <c r="AB66" s="5"/>
      <c r="AC66" s="5"/>
      <c r="AD66" s="5"/>
      <c r="AE66" s="5"/>
      <c r="AF66" s="5"/>
      <c r="AG66" s="5"/>
      <c r="AH66" s="5"/>
      <c r="AI66" s="7"/>
      <c r="AJ66" s="224"/>
      <c r="AK66" s="5"/>
      <c r="AL66" s="5"/>
      <c r="AM66" s="5"/>
      <c r="AN66" s="5"/>
      <c r="AO66" s="5"/>
      <c r="AP66" s="5"/>
      <c r="AQ66" s="5"/>
      <c r="AR66" s="5"/>
      <c r="AS66" s="5"/>
      <c r="AT66" s="5"/>
      <c r="AU66" s="5"/>
      <c r="AV66" s="5"/>
      <c r="AW66" s="5"/>
      <c r="AX66" s="5"/>
      <c r="AY66" s="5"/>
      <c r="AZ66" s="5"/>
      <c r="BA66" s="5"/>
      <c r="BB66" s="225"/>
      <c r="BC66" s="226"/>
    </row>
    <row r="67" ht="135.0" customHeight="1">
      <c r="A67" s="219"/>
      <c r="B67" s="9"/>
      <c r="R67" s="15"/>
      <c r="S67" s="9"/>
      <c r="AI67" s="15"/>
      <c r="AJ67" s="9"/>
      <c r="BB67" s="209"/>
      <c r="BC67" s="226"/>
    </row>
    <row r="68" ht="15.75" customHeight="1">
      <c r="A68" s="219"/>
      <c r="B68" s="9"/>
      <c r="R68" s="15"/>
      <c r="S68" s="9"/>
      <c r="AI68" s="15"/>
      <c r="AJ68" s="9"/>
      <c r="BB68" s="209"/>
      <c r="BC68" s="226"/>
    </row>
    <row r="69" ht="15.75" customHeight="1">
      <c r="A69" s="219"/>
      <c r="B69" s="9"/>
      <c r="R69" s="15"/>
      <c r="S69" s="9"/>
      <c r="AI69" s="15"/>
      <c r="AJ69" s="9"/>
      <c r="BB69" s="209"/>
      <c r="BC69" s="226"/>
    </row>
    <row r="70" ht="15.75" customHeight="1">
      <c r="A70" s="219"/>
      <c r="B70" s="10"/>
      <c r="C70" s="11"/>
      <c r="D70" s="11"/>
      <c r="E70" s="11"/>
      <c r="F70" s="11"/>
      <c r="G70" s="11"/>
      <c r="H70" s="11"/>
      <c r="I70" s="11"/>
      <c r="J70" s="11"/>
      <c r="K70" s="11"/>
      <c r="L70" s="11"/>
      <c r="M70" s="11"/>
      <c r="N70" s="11"/>
      <c r="O70" s="11"/>
      <c r="P70" s="11"/>
      <c r="Q70" s="11"/>
      <c r="R70" s="12"/>
      <c r="S70" s="10"/>
      <c r="T70" s="11"/>
      <c r="U70" s="11"/>
      <c r="V70" s="11"/>
      <c r="W70" s="11"/>
      <c r="X70" s="11"/>
      <c r="Y70" s="11"/>
      <c r="Z70" s="11"/>
      <c r="AA70" s="11"/>
      <c r="AB70" s="11"/>
      <c r="AC70" s="11"/>
      <c r="AD70" s="11"/>
      <c r="AE70" s="11"/>
      <c r="AF70" s="11"/>
      <c r="AG70" s="11"/>
      <c r="AH70" s="11"/>
      <c r="AI70" s="12"/>
      <c r="AJ70" s="9"/>
      <c r="BB70" s="209"/>
      <c r="BC70" s="226"/>
    </row>
    <row r="71" ht="15.75" customHeight="1">
      <c r="A71" s="219"/>
      <c r="B71" s="442" t="s">
        <v>134</v>
      </c>
      <c r="C71" s="5"/>
      <c r="D71" s="5"/>
      <c r="E71" s="5"/>
      <c r="F71" s="5"/>
      <c r="G71" s="5"/>
      <c r="H71" s="5"/>
      <c r="I71" s="5"/>
      <c r="J71" s="5"/>
      <c r="K71" s="5"/>
      <c r="L71" s="5"/>
      <c r="M71" s="5"/>
      <c r="N71" s="5"/>
      <c r="O71" s="5"/>
      <c r="P71" s="5"/>
      <c r="Q71" s="7"/>
      <c r="R71" s="443"/>
      <c r="S71" s="444" t="s">
        <v>135</v>
      </c>
      <c r="T71" s="5"/>
      <c r="U71" s="5"/>
      <c r="V71" s="7"/>
      <c r="W71" s="444" t="s">
        <v>136</v>
      </c>
      <c r="X71" s="5"/>
      <c r="Y71" s="5"/>
      <c r="Z71" s="7"/>
      <c r="AA71" s="444" t="s">
        <v>137</v>
      </c>
      <c r="AB71" s="5"/>
      <c r="AC71" s="5"/>
      <c r="AD71" s="7"/>
      <c r="AE71" s="444" t="s">
        <v>138</v>
      </c>
      <c r="AF71" s="5"/>
      <c r="AG71" s="5"/>
      <c r="AH71" s="5"/>
      <c r="AI71" s="7"/>
      <c r="AJ71" s="9"/>
      <c r="BB71" s="209"/>
      <c r="BC71" s="226"/>
    </row>
    <row r="72" ht="15.75" customHeight="1">
      <c r="A72" s="219"/>
      <c r="B72" s="10"/>
      <c r="C72" s="11"/>
      <c r="D72" s="11"/>
      <c r="E72" s="11"/>
      <c r="F72" s="11"/>
      <c r="G72" s="11"/>
      <c r="H72" s="11"/>
      <c r="I72" s="11"/>
      <c r="J72" s="11"/>
      <c r="K72" s="11"/>
      <c r="L72" s="11"/>
      <c r="M72" s="11"/>
      <c r="N72" s="11"/>
      <c r="O72" s="11"/>
      <c r="P72" s="11"/>
      <c r="Q72" s="12"/>
      <c r="R72" s="230"/>
      <c r="S72" s="10"/>
      <c r="T72" s="11"/>
      <c r="U72" s="11"/>
      <c r="V72" s="12"/>
      <c r="W72" s="10"/>
      <c r="X72" s="11"/>
      <c r="Y72" s="11"/>
      <c r="Z72" s="12"/>
      <c r="AA72" s="10"/>
      <c r="AB72" s="11"/>
      <c r="AC72" s="11"/>
      <c r="AD72" s="12"/>
      <c r="AE72" s="10"/>
      <c r="AF72" s="11"/>
      <c r="AG72" s="11"/>
      <c r="AH72" s="11"/>
      <c r="AI72" s="12"/>
      <c r="AJ72" s="9"/>
      <c r="BB72" s="209"/>
      <c r="BC72" s="226"/>
    </row>
    <row r="73" ht="15.75" customHeight="1">
      <c r="A73" s="219"/>
      <c r="B73" s="231" t="str">
        <f>if(or(R72&gt;10,R72&lt;0),"잘못된 숫자를 넣으셨습니다.",
if(R72=1,"배움의 장소",
if(R72=2,"고향",
if(R72=3,"첫사랑을 만난 곳",
if(R72=4,"조용한 명상의 장소",
if(R72=5,"사교의 장소",
if(R72=6,"사상 또는 신앙과 관련된 장소",
if(R72=7,"중요한 사람의 무덤",
if(R72=8,"가족의 집",
if(R72=9,"가장 행복했던 시간을 보낸 곳",
if(R72=10,"직장",
"당신에게 의미있었던 장소는 어딘가요?")))))))))))</f>
        <v>당신에게 의미있었던 장소는 어딘가요?</v>
      </c>
      <c r="C73" s="105"/>
      <c r="D73" s="105"/>
      <c r="E73" s="105"/>
      <c r="F73" s="105"/>
      <c r="G73" s="105"/>
      <c r="H73" s="105"/>
      <c r="I73" s="105"/>
      <c r="J73" s="105"/>
      <c r="K73" s="105"/>
      <c r="L73" s="105"/>
      <c r="M73" s="105"/>
      <c r="N73" s="105"/>
      <c r="O73" s="105"/>
      <c r="P73" s="105"/>
      <c r="Q73" s="105"/>
      <c r="R73" s="107"/>
      <c r="S73" s="231" t="str">
        <f>R19</f>
        <v/>
      </c>
      <c r="T73" s="105"/>
      <c r="U73" s="105"/>
      <c r="V73" s="107"/>
      <c r="W73" s="232">
        <f>if((R19)&lt;=0,(10*1.3),if((R19)&lt;=9,(40*1.3),if((R19)&lt;=49,(200*1.3),if((R19)&lt;=89,(1000*1.3),if((R19)&lt;=98,(5000*1.3),100000)))))</f>
        <v>13</v>
      </c>
      <c r="X73" s="105"/>
      <c r="Y73" s="105"/>
      <c r="Z73" s="107"/>
      <c r="AA73" s="232">
        <f>if((R19)&lt;=0,(10*1.3),if((R19)&lt;=9,(R19*20*1.3),if((R19)&lt;=49,(R19*40*1.3),if((R19)&lt;=89,(R19*100*1.3),if((R19)&lt;=98,(R19*400*1.3),(1000000*1.3))))))</f>
        <v>13</v>
      </c>
      <c r="AB73" s="105"/>
      <c r="AC73" s="105"/>
      <c r="AD73" s="107"/>
      <c r="AE73" s="232" t="str">
        <f>if((R19)&lt;=0,"None",if((R19)&lt;=9,(R19*200*1.3),if((R19)&lt;=49,(R19*1000*1.3),if((R19)&lt;=89,(R19*10000*1.3),if((R19)&lt;=98,(R19*40000*1.3),"$100000000+")))))</f>
        <v>None</v>
      </c>
      <c r="AF73" s="105"/>
      <c r="AG73" s="105"/>
      <c r="AH73" s="105"/>
      <c r="AI73" s="107"/>
      <c r="AJ73" s="188"/>
      <c r="AK73" s="31"/>
      <c r="AL73" s="31"/>
      <c r="AM73" s="31"/>
      <c r="AN73" s="31"/>
      <c r="AO73" s="31"/>
      <c r="AP73" s="31"/>
      <c r="AQ73" s="31"/>
      <c r="AR73" s="31"/>
      <c r="AS73" s="31"/>
      <c r="AT73" s="31"/>
      <c r="AU73" s="31"/>
      <c r="AV73" s="31"/>
      <c r="AW73" s="31"/>
      <c r="AX73" s="31"/>
      <c r="AY73" s="31"/>
      <c r="AZ73" s="31"/>
      <c r="BA73" s="31"/>
      <c r="BB73" s="32"/>
      <c r="BC73" s="226"/>
    </row>
    <row r="74" ht="15.75" customHeight="1">
      <c r="A74" s="234"/>
      <c r="B74" s="235"/>
      <c r="C74" s="235"/>
      <c r="D74" s="235"/>
      <c r="E74" s="235"/>
      <c r="F74" s="235"/>
      <c r="G74" s="235"/>
      <c r="H74" s="235"/>
      <c r="I74" s="235"/>
      <c r="J74" s="235"/>
      <c r="K74" s="235"/>
      <c r="L74" s="235"/>
      <c r="M74" s="235"/>
      <c r="N74" s="235"/>
      <c r="O74" s="235"/>
      <c r="P74" s="235"/>
      <c r="Q74" s="235"/>
      <c r="R74" s="235"/>
      <c r="S74" s="235"/>
      <c r="T74" s="235"/>
      <c r="U74" s="235"/>
      <c r="V74" s="235"/>
      <c r="W74" s="235"/>
      <c r="X74" s="235"/>
      <c r="Y74" s="235"/>
      <c r="Z74" s="235"/>
      <c r="AA74" s="235"/>
      <c r="AB74" s="235"/>
      <c r="AC74" s="235"/>
      <c r="AD74" s="235"/>
      <c r="AE74" s="235"/>
      <c r="AF74" s="235"/>
      <c r="AG74" s="235"/>
      <c r="AH74" s="235"/>
      <c r="AI74" s="235"/>
      <c r="AJ74" s="236"/>
      <c r="AK74" s="237"/>
      <c r="AL74" s="238"/>
      <c r="AM74" s="237"/>
      <c r="AN74" s="237"/>
      <c r="AO74" s="237"/>
      <c r="AP74" s="237"/>
      <c r="AQ74" s="237"/>
      <c r="AR74" s="237"/>
      <c r="AS74" s="237"/>
      <c r="AT74" s="237"/>
      <c r="AU74" s="237"/>
      <c r="AV74" s="237"/>
      <c r="AW74" s="237"/>
      <c r="AX74" s="237"/>
      <c r="AY74" s="237"/>
      <c r="AZ74" s="237"/>
      <c r="BA74" s="237"/>
      <c r="BB74" s="237"/>
      <c r="BC74" s="239"/>
    </row>
    <row r="75" ht="15.75" customHeight="1">
      <c r="A75" s="240"/>
      <c r="B75" s="241" t="s">
        <v>139</v>
      </c>
      <c r="C75" s="24"/>
      <c r="D75" s="24"/>
      <c r="E75" s="24"/>
      <c r="F75" s="24"/>
      <c r="G75" s="24"/>
      <c r="H75" s="24"/>
      <c r="I75" s="24"/>
      <c r="J75" s="24"/>
      <c r="K75" s="24"/>
      <c r="L75" s="24"/>
      <c r="M75" s="25"/>
      <c r="N75" s="242" t="s">
        <v>140</v>
      </c>
      <c r="O75" s="24"/>
      <c r="P75" s="24"/>
      <c r="Q75" s="24"/>
      <c r="R75" s="24"/>
      <c r="S75" s="24"/>
      <c r="T75" s="24"/>
      <c r="U75" s="24"/>
      <c r="V75" s="24"/>
      <c r="W75" s="24"/>
      <c r="X75" s="24"/>
      <c r="Y75" s="25"/>
      <c r="Z75" s="242" t="s">
        <v>141</v>
      </c>
      <c r="AA75" s="24"/>
      <c r="AB75" s="24"/>
      <c r="AC75" s="24"/>
      <c r="AD75" s="24"/>
      <c r="AE75" s="24"/>
      <c r="AF75" s="24"/>
      <c r="AG75" s="24"/>
      <c r="AH75" s="24"/>
      <c r="AI75" s="24"/>
      <c r="AJ75" s="24"/>
      <c r="AK75" s="25"/>
      <c r="AL75" s="242" t="s">
        <v>142</v>
      </c>
      <c r="AM75" s="24"/>
      <c r="AN75" s="24"/>
      <c r="AO75" s="24"/>
      <c r="AP75" s="24"/>
      <c r="AQ75" s="24"/>
      <c r="AR75" s="24"/>
      <c r="AS75" s="24"/>
      <c r="AT75" s="24"/>
      <c r="AU75" s="24"/>
      <c r="AV75" s="24"/>
      <c r="AW75" s="25"/>
      <c r="AX75" s="243"/>
      <c r="AY75" s="244" t="s">
        <v>143</v>
      </c>
      <c r="AZ75" s="24"/>
      <c r="BA75" s="24"/>
      <c r="BB75" s="25"/>
      <c r="BC75" s="245"/>
    </row>
    <row r="76" ht="15.75" customHeight="1">
      <c r="A76" s="246"/>
      <c r="B76" s="247"/>
      <c r="C76" s="11"/>
      <c r="D76" s="11"/>
      <c r="E76" s="11"/>
      <c r="F76" s="11"/>
      <c r="G76" s="11"/>
      <c r="H76" s="11"/>
      <c r="I76" s="11"/>
      <c r="J76" s="11"/>
      <c r="K76" s="11"/>
      <c r="L76" s="11"/>
      <c r="M76" s="248"/>
      <c r="N76" s="10"/>
      <c r="O76" s="11"/>
      <c r="P76" s="11"/>
      <c r="Q76" s="11"/>
      <c r="R76" s="11"/>
      <c r="S76" s="11"/>
      <c r="T76" s="11"/>
      <c r="U76" s="11"/>
      <c r="V76" s="11"/>
      <c r="W76" s="11"/>
      <c r="X76" s="11"/>
      <c r="Y76" s="248"/>
      <c r="Z76" s="10"/>
      <c r="AA76" s="11"/>
      <c r="AB76" s="11"/>
      <c r="AC76" s="11"/>
      <c r="AD76" s="11"/>
      <c r="AE76" s="11"/>
      <c r="AF76" s="11"/>
      <c r="AG76" s="11"/>
      <c r="AH76" s="11"/>
      <c r="AI76" s="11"/>
      <c r="AJ76" s="11"/>
      <c r="AK76" s="248"/>
      <c r="AL76" s="10"/>
      <c r="AM76" s="11"/>
      <c r="AN76" s="11"/>
      <c r="AO76" s="11"/>
      <c r="AP76" s="11"/>
      <c r="AQ76" s="11"/>
      <c r="AR76" s="11"/>
      <c r="AS76" s="11"/>
      <c r="AT76" s="11"/>
      <c r="AU76" s="11"/>
      <c r="AV76" s="11"/>
      <c r="AW76" s="248"/>
      <c r="AX76" s="249"/>
      <c r="AY76" s="250"/>
      <c r="BB76" s="209"/>
      <c r="BC76" s="251"/>
    </row>
    <row r="77" ht="15.75" customHeight="1">
      <c r="A77" s="252"/>
      <c r="B77" s="257"/>
      <c r="C77" s="5"/>
      <c r="D77" s="5"/>
      <c r="E77" s="5"/>
      <c r="F77" s="5"/>
      <c r="G77" s="5"/>
      <c r="H77" s="5"/>
      <c r="I77" s="5"/>
      <c r="J77" s="5"/>
      <c r="K77" s="5"/>
      <c r="L77" s="5"/>
      <c r="M77" s="225"/>
      <c r="N77" s="254"/>
      <c r="O77" s="5"/>
      <c r="P77" s="5"/>
      <c r="Q77" s="5"/>
      <c r="R77" s="5"/>
      <c r="S77" s="5"/>
      <c r="T77" s="5"/>
      <c r="U77" s="5"/>
      <c r="V77" s="5"/>
      <c r="W77" s="5"/>
      <c r="X77" s="5"/>
      <c r="Y77" s="225"/>
      <c r="Z77" s="254"/>
      <c r="AA77" s="5"/>
      <c r="AB77" s="5"/>
      <c r="AC77" s="5"/>
      <c r="AD77" s="5"/>
      <c r="AE77" s="5"/>
      <c r="AF77" s="5"/>
      <c r="AG77" s="5"/>
      <c r="AH77" s="5"/>
      <c r="AI77" s="5"/>
      <c r="AJ77" s="5"/>
      <c r="AK77" s="225"/>
      <c r="AL77" s="254"/>
      <c r="AM77" s="5"/>
      <c r="AN77" s="5"/>
      <c r="AO77" s="5"/>
      <c r="AP77" s="5"/>
      <c r="AQ77" s="5"/>
      <c r="AR77" s="5"/>
      <c r="AS77" s="5"/>
      <c r="AT77" s="5"/>
      <c r="AU77" s="5"/>
      <c r="AV77" s="5"/>
      <c r="AW77" s="225"/>
      <c r="AX77" s="256"/>
      <c r="AY77" s="257"/>
      <c r="AZ77" s="5"/>
      <c r="BA77" s="5"/>
      <c r="BB77" s="225"/>
      <c r="BC77" s="258"/>
    </row>
    <row r="78" ht="15.75" customHeight="1">
      <c r="A78" s="259"/>
      <c r="B78" s="250"/>
      <c r="M78" s="209"/>
      <c r="N78" s="260"/>
      <c r="Y78" s="209"/>
      <c r="Z78" s="260"/>
      <c r="AK78" s="209"/>
      <c r="AL78" s="260"/>
      <c r="AW78" s="209"/>
      <c r="AX78" s="256"/>
      <c r="AY78" s="250"/>
      <c r="BB78" s="209"/>
      <c r="BC78" s="258"/>
    </row>
    <row r="79" ht="15.75" customHeight="1">
      <c r="A79" s="259"/>
      <c r="B79" s="250"/>
      <c r="M79" s="209"/>
      <c r="N79" s="260"/>
      <c r="Y79" s="209"/>
      <c r="Z79" s="260"/>
      <c r="AK79" s="209"/>
      <c r="AL79" s="260"/>
      <c r="AW79" s="209"/>
      <c r="AX79" s="256"/>
      <c r="AY79" s="250"/>
      <c r="BB79" s="209"/>
      <c r="BC79" s="258"/>
    </row>
    <row r="80" ht="15.75" customHeight="1">
      <c r="A80" s="259"/>
      <c r="B80" s="30"/>
      <c r="C80" s="31"/>
      <c r="D80" s="31"/>
      <c r="E80" s="31"/>
      <c r="F80" s="31"/>
      <c r="G80" s="31"/>
      <c r="H80" s="31"/>
      <c r="I80" s="31"/>
      <c r="J80" s="31"/>
      <c r="K80" s="31"/>
      <c r="L80" s="31"/>
      <c r="M80" s="32"/>
      <c r="N80" s="261"/>
      <c r="O80" s="31"/>
      <c r="P80" s="31"/>
      <c r="Q80" s="31"/>
      <c r="R80" s="31"/>
      <c r="S80" s="31"/>
      <c r="T80" s="31"/>
      <c r="U80" s="31"/>
      <c r="V80" s="31"/>
      <c r="W80" s="31"/>
      <c r="X80" s="31"/>
      <c r="Y80" s="32"/>
      <c r="Z80" s="261"/>
      <c r="AA80" s="31"/>
      <c r="AB80" s="31"/>
      <c r="AC80" s="31"/>
      <c r="AD80" s="31"/>
      <c r="AE80" s="31"/>
      <c r="AF80" s="31"/>
      <c r="AG80" s="31"/>
      <c r="AH80" s="31"/>
      <c r="AI80" s="31"/>
      <c r="AJ80" s="31"/>
      <c r="AK80" s="32"/>
      <c r="AL80" s="261"/>
      <c r="AM80" s="31"/>
      <c r="AN80" s="31"/>
      <c r="AO80" s="31"/>
      <c r="AP80" s="31"/>
      <c r="AQ80" s="31"/>
      <c r="AR80" s="31"/>
      <c r="AS80" s="31"/>
      <c r="AT80" s="31"/>
      <c r="AU80" s="31"/>
      <c r="AV80" s="31"/>
      <c r="AW80" s="32"/>
      <c r="AX80" s="262"/>
      <c r="AY80" s="30"/>
      <c r="AZ80" s="31"/>
      <c r="BA80" s="31"/>
      <c r="BB80" s="32"/>
      <c r="BC80" s="258"/>
    </row>
    <row r="81" ht="15.75" customHeight="1">
      <c r="A81" s="263"/>
      <c r="B81" s="264"/>
      <c r="C81" s="265"/>
      <c r="D81" s="265"/>
      <c r="E81" s="265"/>
      <c r="F81" s="265"/>
      <c r="G81" s="265"/>
      <c r="H81" s="265"/>
      <c r="I81" s="265"/>
      <c r="J81" s="265"/>
      <c r="K81" s="265"/>
      <c r="L81" s="265"/>
      <c r="M81" s="265"/>
      <c r="N81" s="265"/>
      <c r="O81" s="265"/>
      <c r="P81" s="265"/>
      <c r="Q81" s="265"/>
      <c r="R81" s="265"/>
      <c r="S81" s="265"/>
      <c r="T81" s="265"/>
      <c r="U81" s="265"/>
      <c r="V81" s="265"/>
      <c r="W81" s="265"/>
      <c r="X81" s="265"/>
      <c r="Y81" s="265"/>
      <c r="Z81" s="265"/>
      <c r="AA81" s="265"/>
      <c r="AB81" s="265"/>
      <c r="AC81" s="265"/>
      <c r="AD81" s="265"/>
      <c r="AE81" s="265"/>
      <c r="AF81" s="265"/>
      <c r="AG81" s="265"/>
      <c r="AH81" s="265"/>
      <c r="AI81" s="265"/>
      <c r="AJ81" s="265"/>
      <c r="AK81" s="265"/>
      <c r="AL81" s="266"/>
      <c r="AM81" s="265"/>
      <c r="AN81" s="265"/>
      <c r="AO81" s="265"/>
      <c r="AP81" s="265"/>
      <c r="AQ81" s="265"/>
      <c r="AR81" s="265"/>
      <c r="AS81" s="265"/>
      <c r="AT81" s="265"/>
      <c r="AU81" s="265"/>
      <c r="AV81" s="265"/>
      <c r="AW81" s="265"/>
      <c r="AX81" s="265"/>
      <c r="AY81" s="265"/>
      <c r="AZ81" s="265"/>
      <c r="BA81" s="265"/>
      <c r="BB81" s="265"/>
      <c r="BC81" s="267"/>
    </row>
    <row r="82" ht="15.75" customHeight="1">
      <c r="A82" s="268"/>
      <c r="B82" s="269" t="s">
        <v>144</v>
      </c>
      <c r="C82" s="24"/>
      <c r="D82" s="24"/>
      <c r="E82" s="270"/>
      <c r="F82" s="271" t="s">
        <v>145</v>
      </c>
      <c r="G82" s="24"/>
      <c r="H82" s="24"/>
      <c r="I82" s="270"/>
      <c r="J82" s="272" t="s">
        <v>146</v>
      </c>
      <c r="K82" s="24"/>
      <c r="L82" s="24"/>
      <c r="M82" s="270"/>
      <c r="N82" s="272" t="s">
        <v>147</v>
      </c>
      <c r="O82" s="24"/>
      <c r="P82" s="24"/>
      <c r="Q82" s="270"/>
      <c r="R82" s="271" t="s">
        <v>148</v>
      </c>
      <c r="S82" s="24"/>
      <c r="T82" s="24"/>
      <c r="U82" s="24"/>
      <c r="V82" s="271" t="s">
        <v>149</v>
      </c>
      <c r="W82" s="24"/>
      <c r="X82" s="24"/>
      <c r="Y82" s="24"/>
      <c r="Z82" s="273" t="s">
        <v>150</v>
      </c>
      <c r="AA82" s="24"/>
      <c r="AB82" s="24"/>
      <c r="AC82" s="24"/>
      <c r="AD82" s="274" t="s">
        <v>151</v>
      </c>
      <c r="AE82" s="24"/>
      <c r="AF82" s="24"/>
      <c r="AG82" s="270"/>
      <c r="AH82" s="271"/>
      <c r="AI82" s="24"/>
      <c r="AJ82" s="24"/>
      <c r="AK82" s="270"/>
      <c r="AL82" s="271"/>
      <c r="AM82" s="24"/>
      <c r="AN82" s="24"/>
      <c r="AO82" s="270"/>
      <c r="AP82" s="273"/>
      <c r="AQ82" s="24"/>
      <c r="AR82" s="24"/>
      <c r="AS82" s="270"/>
      <c r="AT82" s="271"/>
      <c r="AU82" s="24"/>
      <c r="AV82" s="24"/>
      <c r="AW82" s="270"/>
      <c r="AX82" s="271"/>
      <c r="AY82" s="24"/>
      <c r="AZ82" s="24"/>
      <c r="BA82" s="24"/>
      <c r="BB82" s="25"/>
      <c r="BC82" s="268"/>
    </row>
    <row r="83" ht="15.75" customHeight="1">
      <c r="A83" s="268"/>
      <c r="B83" s="30"/>
      <c r="C83" s="31"/>
      <c r="D83" s="31"/>
      <c r="E83" s="275"/>
      <c r="F83" s="188"/>
      <c r="G83" s="31"/>
      <c r="H83" s="31"/>
      <c r="I83" s="275"/>
      <c r="J83" s="188"/>
      <c r="K83" s="31"/>
      <c r="L83" s="31"/>
      <c r="M83" s="275"/>
      <c r="N83" s="188"/>
      <c r="O83" s="31"/>
      <c r="P83" s="31"/>
      <c r="Q83" s="275"/>
      <c r="R83" s="188"/>
      <c r="S83" s="31"/>
      <c r="T83" s="31"/>
      <c r="U83" s="31"/>
      <c r="V83" s="188"/>
      <c r="W83" s="31"/>
      <c r="X83" s="31"/>
      <c r="Y83" s="31"/>
      <c r="Z83" s="188"/>
      <c r="AA83" s="31"/>
      <c r="AB83" s="31"/>
      <c r="AC83" s="31"/>
      <c r="AD83" s="188"/>
      <c r="AE83" s="31"/>
      <c r="AF83" s="31"/>
      <c r="AG83" s="275"/>
      <c r="AH83" s="188"/>
      <c r="AI83" s="31"/>
      <c r="AJ83" s="31"/>
      <c r="AK83" s="275"/>
      <c r="AL83" s="188"/>
      <c r="AM83" s="31"/>
      <c r="AN83" s="31"/>
      <c r="AO83" s="275"/>
      <c r="AP83" s="188"/>
      <c r="AQ83" s="31"/>
      <c r="AR83" s="31"/>
      <c r="AS83" s="275"/>
      <c r="AT83" s="188"/>
      <c r="AU83" s="31"/>
      <c r="AV83" s="31"/>
      <c r="AW83" s="275"/>
      <c r="AX83" s="188"/>
      <c r="AY83" s="31"/>
      <c r="AZ83" s="31"/>
      <c r="BA83" s="31"/>
      <c r="BB83" s="32"/>
      <c r="BC83" s="268"/>
    </row>
    <row r="84" ht="15.75" customHeight="1">
      <c r="A84" s="268"/>
      <c r="B84" s="276" t="s">
        <v>152</v>
      </c>
      <c r="E84" s="15"/>
      <c r="F84" s="277" t="s">
        <v>153</v>
      </c>
      <c r="I84" s="15"/>
      <c r="J84" s="278" t="s">
        <v>154</v>
      </c>
      <c r="M84" s="15"/>
      <c r="N84" s="278" t="s">
        <v>155</v>
      </c>
      <c r="Q84" s="15"/>
      <c r="R84" s="279" t="s">
        <v>156</v>
      </c>
      <c r="V84" s="279" t="s">
        <v>157</v>
      </c>
      <c r="Z84" s="278" t="s">
        <v>158</v>
      </c>
      <c r="AD84" s="280" t="s">
        <v>159</v>
      </c>
      <c r="AG84" s="15"/>
      <c r="AH84" s="279"/>
      <c r="AK84" s="15"/>
      <c r="AL84" s="279"/>
      <c r="AO84" s="15"/>
      <c r="AP84" s="278"/>
      <c r="AS84" s="15"/>
      <c r="AT84" s="279"/>
      <c r="AW84" s="15"/>
      <c r="AX84" s="279"/>
      <c r="BB84" s="209"/>
      <c r="BC84" s="268"/>
    </row>
    <row r="85" ht="15.75" customHeight="1">
      <c r="A85" s="268"/>
      <c r="B85" s="250"/>
      <c r="E85" s="15"/>
      <c r="F85" s="9"/>
      <c r="I85" s="15"/>
      <c r="J85" s="9"/>
      <c r="M85" s="15"/>
      <c r="N85" s="9"/>
      <c r="Q85" s="15"/>
      <c r="R85" s="9"/>
      <c r="V85" s="9"/>
      <c r="Z85" s="9"/>
      <c r="AD85" s="9"/>
      <c r="AG85" s="15"/>
      <c r="AH85" s="9"/>
      <c r="AK85" s="15"/>
      <c r="AL85" s="9"/>
      <c r="AO85" s="15"/>
      <c r="AP85" s="9"/>
      <c r="AS85" s="15"/>
      <c r="AT85" s="9"/>
      <c r="AW85" s="15"/>
      <c r="AX85" s="9"/>
      <c r="BB85" s="209"/>
      <c r="BC85" s="268"/>
    </row>
    <row r="86" ht="15.75" customHeight="1">
      <c r="A86" s="268"/>
      <c r="B86" s="250"/>
      <c r="E86" s="15"/>
      <c r="F86" s="9"/>
      <c r="I86" s="15"/>
      <c r="J86" s="9"/>
      <c r="M86" s="15"/>
      <c r="N86" s="9"/>
      <c r="Q86" s="15"/>
      <c r="R86" s="9"/>
      <c r="V86" s="9"/>
      <c r="Z86" s="9"/>
      <c r="AD86" s="9"/>
      <c r="AG86" s="15"/>
      <c r="AH86" s="9"/>
      <c r="AK86" s="15"/>
      <c r="AL86" s="9"/>
      <c r="AO86" s="15"/>
      <c r="AP86" s="9"/>
      <c r="AS86" s="15"/>
      <c r="AT86" s="9"/>
      <c r="AW86" s="15"/>
      <c r="AX86" s="9"/>
      <c r="BB86" s="209"/>
      <c r="BC86" s="268"/>
    </row>
    <row r="87" ht="15.75" customHeight="1">
      <c r="A87" s="281"/>
      <c r="B87" s="30"/>
      <c r="C87" s="31"/>
      <c r="D87" s="31"/>
      <c r="E87" s="275"/>
      <c r="F87" s="188"/>
      <c r="G87" s="31"/>
      <c r="H87" s="31"/>
      <c r="I87" s="275"/>
      <c r="J87" s="188"/>
      <c r="K87" s="31"/>
      <c r="L87" s="31"/>
      <c r="M87" s="275"/>
      <c r="N87" s="188"/>
      <c r="O87" s="31"/>
      <c r="P87" s="31"/>
      <c r="Q87" s="275"/>
      <c r="R87" s="9"/>
      <c r="V87" s="9"/>
      <c r="Z87" s="9"/>
      <c r="AD87" s="188"/>
      <c r="AE87" s="31"/>
      <c r="AF87" s="31"/>
      <c r="AG87" s="275"/>
      <c r="AH87" s="188"/>
      <c r="AI87" s="31"/>
      <c r="AJ87" s="31"/>
      <c r="AK87" s="275"/>
      <c r="AL87" s="188"/>
      <c r="AM87" s="31"/>
      <c r="AN87" s="31"/>
      <c r="AO87" s="275"/>
      <c r="AP87" s="188"/>
      <c r="AQ87" s="31"/>
      <c r="AR87" s="31"/>
      <c r="AS87" s="275"/>
      <c r="AT87" s="188"/>
      <c r="AU87" s="31"/>
      <c r="AV87" s="31"/>
      <c r="AW87" s="275"/>
      <c r="AX87" s="188"/>
      <c r="AY87" s="31"/>
      <c r="AZ87" s="31"/>
      <c r="BA87" s="31"/>
      <c r="BB87" s="32"/>
      <c r="BC87" s="268"/>
    </row>
    <row r="88" ht="15.75" customHeight="1" collapsed="1">
      <c r="A88" s="282"/>
      <c r="B88" s="265"/>
      <c r="C88" s="265"/>
      <c r="D88" s="265"/>
      <c r="E88" s="265"/>
      <c r="F88" s="265"/>
      <c r="G88" s="265"/>
      <c r="H88" s="265"/>
      <c r="I88" s="265"/>
      <c r="J88" s="265"/>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65"/>
      <c r="AK88" s="265"/>
      <c r="AL88" s="265"/>
      <c r="AM88" s="265"/>
      <c r="AN88" s="265"/>
      <c r="AO88" s="265"/>
      <c r="AP88" s="265"/>
      <c r="AQ88" s="265"/>
      <c r="AR88" s="265"/>
      <c r="AS88" s="265"/>
      <c r="AT88" s="265"/>
      <c r="AU88" s="265"/>
      <c r="AV88" s="265"/>
      <c r="AW88" s="265"/>
      <c r="AX88" s="284" t="s">
        <v>160</v>
      </c>
      <c r="BB88" s="209"/>
      <c r="BC88" s="285"/>
    </row>
    <row r="89" ht="15.75" hidden="1" customHeight="1" outlineLevel="1">
      <c r="A89" s="287" t="str">
        <f t="shared" ref="A89:A106" si="18">concatenate("cc&lt;=",I19," ",C19)</f>
        <v>cc&lt;=25 관찰력</v>
      </c>
    </row>
    <row r="90" ht="15.75" hidden="1" customHeight="1" outlineLevel="1">
      <c r="A90" s="287" t="str">
        <f t="shared" si="18"/>
        <v>cc&lt;=20 듣기</v>
      </c>
    </row>
    <row r="91" ht="15.75" hidden="1" customHeight="1" outlineLevel="1">
      <c r="A91" s="287" t="str">
        <f t="shared" si="18"/>
        <v>cc&lt;=20 자료조사</v>
      </c>
    </row>
    <row r="92" ht="15.75" hidden="1" customHeight="1" outlineLevel="1">
      <c r="A92" s="287" t="str">
        <f t="shared" si="18"/>
        <v>cc&lt;=5 컴퓨터 사용</v>
      </c>
    </row>
    <row r="93" ht="15.75" hidden="1" customHeight="1" outlineLevel="1">
      <c r="A93" s="287" t="str">
        <f t="shared" si="18"/>
        <v>cc&lt;=1 전자기기</v>
      </c>
    </row>
    <row r="94" ht="15.75" hidden="1" customHeight="1" outlineLevel="1">
      <c r="A94" s="287" t="str">
        <f t="shared" si="18"/>
        <v>cc&lt;=10 전기수리</v>
      </c>
    </row>
    <row r="95" ht="15.75" hidden="1" customHeight="1" outlineLevel="1">
      <c r="A95" s="287" t="str">
        <f t="shared" si="18"/>
        <v>cc&lt;=10 기계수리</v>
      </c>
    </row>
    <row r="96" ht="15.75" hidden="1" customHeight="1" outlineLevel="1">
      <c r="A96" s="287" t="str">
        <f t="shared" si="18"/>
        <v>cc&lt;=20 자동차 운전</v>
      </c>
    </row>
    <row r="97" ht="15.75" hidden="1" customHeight="1" outlineLevel="1">
      <c r="A97" s="287" t="str">
        <f t="shared" si="18"/>
        <v>cc&lt;=1 중장비 조작</v>
      </c>
    </row>
    <row r="98" ht="15.75" hidden="1" customHeight="1" outlineLevel="1">
      <c r="A98" s="287" t="str">
        <f t="shared" si="18"/>
        <v>cc&lt;=1 파일럿()</v>
      </c>
    </row>
    <row r="99" ht="15.75" hidden="1" customHeight="1" outlineLevel="1">
      <c r="A99" s="287" t="str">
        <f t="shared" si="18"/>
        <v>cc&lt;=0 </v>
      </c>
    </row>
    <row r="100" ht="15.75" hidden="1" customHeight="1" outlineLevel="1">
      <c r="A100" s="287" t="str">
        <f t="shared" si="18"/>
        <v>cc&lt;=10 항법</v>
      </c>
    </row>
    <row r="101" ht="15.75" hidden="1" customHeight="1" outlineLevel="1">
      <c r="A101" s="287" t="str">
        <f t="shared" si="18"/>
        <v>cc&lt;=10 추적</v>
      </c>
    </row>
    <row r="102" ht="15.75" hidden="1" customHeight="1" outlineLevel="1">
      <c r="A102" s="287" t="str">
        <f t="shared" si="18"/>
        <v>cc&lt;=5 승마</v>
      </c>
    </row>
    <row r="103" ht="15.75" hidden="1" customHeight="1" outlineLevel="1">
      <c r="A103" s="287" t="str">
        <f t="shared" si="18"/>
        <v>cc&lt;=5 조련</v>
      </c>
    </row>
    <row r="104" ht="15.75" hidden="1" customHeight="1" outlineLevel="1">
      <c r="A104" s="287" t="str">
        <f t="shared" si="18"/>
        <v>cc&lt;=0 </v>
      </c>
    </row>
    <row r="105" ht="15.75" hidden="1" customHeight="1" outlineLevel="1">
      <c r="A105" s="287" t="str">
        <f t="shared" si="18"/>
        <v>cc&lt;=1 폭파</v>
      </c>
    </row>
    <row r="106" ht="15.75" hidden="1" customHeight="1" outlineLevel="1">
      <c r="A106" s="287" t="str">
        <f t="shared" si="18"/>
        <v>cc&lt;=1 포격</v>
      </c>
    </row>
    <row r="107" ht="15.75" hidden="1" customHeight="1" outlineLevel="1">
      <c r="A107" s="287" t="str">
        <f t="shared" ref="A107:A124" si="19">concatenate("cc&lt;=",S19," ",M19)</f>
        <v>cc&lt;=0 재력</v>
      </c>
    </row>
    <row r="108" ht="15.75" hidden="1" customHeight="1" outlineLevel="1">
      <c r="A108" s="287" t="str">
        <f t="shared" si="19"/>
        <v>cc&lt;=5 회계</v>
      </c>
    </row>
    <row r="109" ht="15.75" hidden="1" customHeight="1" outlineLevel="1">
      <c r="A109" s="287" t="str">
        <f t="shared" si="19"/>
        <v>cc&lt;=10 자연</v>
      </c>
    </row>
    <row r="110" ht="15.75" hidden="1" customHeight="1" outlineLevel="1">
      <c r="A110" s="287" t="str">
        <f t="shared" si="19"/>
        <v>cc&lt;=1 과학()</v>
      </c>
    </row>
    <row r="111" ht="15.75" hidden="1" customHeight="1" outlineLevel="1">
      <c r="A111" s="287" t="str">
        <f t="shared" si="19"/>
        <v>cc&lt;=0 </v>
      </c>
    </row>
    <row r="112" ht="15.75" hidden="1" customHeight="1" outlineLevel="1">
      <c r="A112" s="287" t="str">
        <f t="shared" si="19"/>
        <v>cc&lt;=0 </v>
      </c>
    </row>
    <row r="113" ht="15.75" hidden="1" customHeight="1" outlineLevel="1">
      <c r="A113" s="287" t="str">
        <f t="shared" si="19"/>
        <v>cc&lt;=5 법률</v>
      </c>
    </row>
    <row r="114" ht="15.75" hidden="1" customHeight="1" outlineLevel="1">
      <c r="A114" s="287" t="str">
        <f t="shared" si="19"/>
        <v>cc&lt;=1 인류학</v>
      </c>
    </row>
    <row r="115" ht="15.75" hidden="1" customHeight="1" outlineLevel="1">
      <c r="A115" s="287" t="str">
        <f t="shared" si="19"/>
        <v>cc&lt;=5 역사</v>
      </c>
    </row>
    <row r="116" ht="15.75" hidden="1" customHeight="1" outlineLevel="1">
      <c r="A116" s="287" t="str">
        <f t="shared" si="19"/>
        <v>cc&lt;=1 고고학</v>
      </c>
    </row>
    <row r="117" ht="15.75" hidden="1" customHeight="1" outlineLevel="1">
      <c r="A117" s="287" t="str">
        <f t="shared" si="19"/>
        <v>cc&lt;=5 감정</v>
      </c>
    </row>
    <row r="118" ht="15.75" hidden="1" customHeight="1" outlineLevel="1">
      <c r="A118" s="287" t="str">
        <f t="shared" si="19"/>
        <v>cc&lt;=5 예술/공예</v>
      </c>
    </row>
    <row r="119" ht="15.75" hidden="1" customHeight="1" outlineLevel="1">
      <c r="A119" s="287" t="str">
        <f t="shared" si="19"/>
        <v>cc&lt;=0 </v>
      </c>
    </row>
    <row r="120" ht="15.75" hidden="1" customHeight="1" outlineLevel="1">
      <c r="A120" s="287" t="str">
        <f t="shared" si="19"/>
        <v>cc&lt;=1 독순술</v>
      </c>
    </row>
    <row r="121" ht="15.75" hidden="1" customHeight="1" outlineLevel="1">
      <c r="A121" s="287" t="str">
        <f t="shared" si="19"/>
        <v>cc&lt;=5 동물 다루기</v>
      </c>
    </row>
    <row r="122" ht="15.75" hidden="1" customHeight="1" outlineLevel="1">
      <c r="A122" s="287" t="str">
        <f t="shared" si="19"/>
        <v>cc&lt;=1 잠수</v>
      </c>
    </row>
    <row r="123" ht="15.75" hidden="1" customHeight="1" outlineLevel="1">
      <c r="A123" s="287" t="str">
        <f t="shared" si="19"/>
        <v>cc&lt;=1 최면술</v>
      </c>
    </row>
    <row r="124" ht="15.75" hidden="1" customHeight="1" outlineLevel="1">
      <c r="A124" s="287" t="str">
        <f t="shared" si="19"/>
        <v>cc&lt;=1 비밀 지식</v>
      </c>
    </row>
    <row r="125" ht="15.75" hidden="1" customHeight="1" outlineLevel="1">
      <c r="A125" s="287" t="str">
        <f t="shared" ref="A125:A142" si="20">concatenate("cc&lt;=",AC19," ",W19)</f>
        <v>cc&lt;=0 크툴루 신화</v>
      </c>
    </row>
    <row r="126" ht="15.75" hidden="1" customHeight="1" outlineLevel="1">
      <c r="A126" s="287" t="str">
        <f t="shared" si="20"/>
        <v>cc&lt;=5 오컬트</v>
      </c>
    </row>
    <row r="127" ht="15.75" hidden="1" customHeight="1" outlineLevel="1">
      <c r="A127" s="287" t="str">
        <f t="shared" si="20"/>
        <v>cc&lt;=1 정신분석</v>
      </c>
    </row>
    <row r="128" ht="15.75" hidden="1" customHeight="1" outlineLevel="1">
      <c r="A128" s="287" t="str">
        <f t="shared" si="20"/>
        <v>cc&lt;=10 심리학</v>
      </c>
    </row>
    <row r="129" ht="15.75" hidden="1" customHeight="1" outlineLevel="1">
      <c r="A129" s="287" t="str">
        <f t="shared" si="20"/>
        <v>cc&lt;=15 위협</v>
      </c>
    </row>
    <row r="130" ht="15.75" hidden="1" customHeight="1" outlineLevel="1">
      <c r="A130" s="287" t="str">
        <f t="shared" si="20"/>
        <v>cc&lt;=15 매혹</v>
      </c>
    </row>
    <row r="131" ht="15.75" hidden="1" customHeight="1" outlineLevel="1">
      <c r="A131" s="287" t="str">
        <f t="shared" si="20"/>
        <v>cc&lt;=5 말재주</v>
      </c>
    </row>
    <row r="132" ht="15.75" hidden="1" customHeight="1" outlineLevel="1">
      <c r="A132" s="287" t="str">
        <f t="shared" si="20"/>
        <v>cc&lt;=10 설득</v>
      </c>
    </row>
    <row r="133" ht="15.75" hidden="1" customHeight="1" outlineLevel="1">
      <c r="A133" s="287" t="str">
        <f t="shared" si="20"/>
        <v>cc&lt;=0 모국어</v>
      </c>
    </row>
    <row r="134" ht="15.75" hidden="1" customHeight="1" outlineLevel="1">
      <c r="A134" s="287" t="str">
        <f t="shared" si="20"/>
        <v>cc&lt;=1 외국어()</v>
      </c>
    </row>
    <row r="135" ht="15.75" hidden="1" customHeight="1" outlineLevel="1">
      <c r="A135" s="287" t="str">
        <f t="shared" si="20"/>
        <v>cc&lt;=0 </v>
      </c>
    </row>
    <row r="136" ht="15.75" hidden="1" customHeight="1" outlineLevel="1">
      <c r="A136" s="287" t="str">
        <f t="shared" si="20"/>
        <v>cc&lt;=20 투척</v>
      </c>
    </row>
    <row r="137" ht="15.75" hidden="1" customHeight="1" outlineLevel="1">
      <c r="A137" s="287" t="str">
        <f t="shared" si="20"/>
        <v>cc&lt;=25 근접전(격투)</v>
      </c>
    </row>
    <row r="138" ht="15.75" hidden="1" customHeight="1" outlineLevel="1">
      <c r="A138" s="287" t="str">
        <f t="shared" si="20"/>
        <v>cc&lt;=20 근접전(도검)</v>
      </c>
    </row>
    <row r="139" ht="15.75" hidden="1" customHeight="1" outlineLevel="1">
      <c r="A139" s="287" t="str">
        <f t="shared" si="20"/>
        <v>cc&lt;=15 근접전(도끼)</v>
      </c>
    </row>
    <row r="140" ht="15.75" hidden="1" customHeight="1" outlineLevel="1">
      <c r="A140" s="287" t="str">
        <f t="shared" si="20"/>
        <v>cc&lt;=20 근접전(창)</v>
      </c>
    </row>
    <row r="141" ht="15.75" hidden="1" customHeight="1" outlineLevel="1">
      <c r="A141" s="287" t="str">
        <f t="shared" si="20"/>
        <v>cc&lt;=5 근접전(채찍)</v>
      </c>
    </row>
    <row r="142" ht="15.75" hidden="1" customHeight="1" outlineLevel="1">
      <c r="A142" s="287" t="str">
        <f t="shared" si="20"/>
        <v>cc&lt;=10 근접전(기타)</v>
      </c>
    </row>
    <row r="143" ht="15.75" hidden="1" customHeight="1" outlineLevel="1">
      <c r="A143" s="287" t="str">
        <f t="shared" ref="A143:A160" si="21">concatenate("cc&lt;=",AM19," ",AG19)</f>
        <v>cc&lt;=1 의료</v>
      </c>
    </row>
    <row r="144" ht="15.75" hidden="1" customHeight="1" outlineLevel="1">
      <c r="A144" s="287" t="str">
        <f t="shared" si="21"/>
        <v>cc&lt;=30 응급처치</v>
      </c>
    </row>
    <row r="145" ht="15.75" hidden="1" customHeight="1" outlineLevel="1">
      <c r="A145" s="287" t="str">
        <f t="shared" si="21"/>
        <v>cc&lt;=10 생존술()</v>
      </c>
    </row>
    <row r="146" ht="15.75" hidden="1" customHeight="1" outlineLevel="1">
      <c r="A146" s="287" t="str">
        <f t="shared" si="21"/>
        <v>cc&lt;=20 수영</v>
      </c>
    </row>
    <row r="147" ht="15.75" hidden="1" customHeight="1" outlineLevel="1">
      <c r="A147" s="287" t="str">
        <f t="shared" si="21"/>
        <v>cc&lt;=20 오르기</v>
      </c>
    </row>
    <row r="148" ht="15.75" hidden="1" customHeight="1" outlineLevel="1">
      <c r="A148" s="287" t="str">
        <f t="shared" si="21"/>
        <v>cc&lt;=20 도약</v>
      </c>
    </row>
    <row r="149" ht="15.75" hidden="1" customHeight="1" outlineLevel="1">
      <c r="A149" s="287" t="str">
        <f t="shared" si="21"/>
        <v>cc&lt;=0 회피</v>
      </c>
    </row>
    <row r="150" ht="15.75" hidden="1" customHeight="1" outlineLevel="1">
      <c r="A150" s="287" t="str">
        <f t="shared" si="21"/>
        <v>cc&lt;=5 변장</v>
      </c>
    </row>
    <row r="151" ht="15.75" hidden="1" customHeight="1" outlineLevel="1">
      <c r="A151" s="287" t="str">
        <f t="shared" si="21"/>
        <v>cc&lt;=20 은밀행동</v>
      </c>
    </row>
    <row r="152" ht="15.75" hidden="1" customHeight="1" outlineLevel="1">
      <c r="A152" s="287" t="str">
        <f t="shared" si="21"/>
        <v>cc&lt;=10 손놀림</v>
      </c>
    </row>
    <row r="153" ht="15.75" hidden="1" customHeight="1" outlineLevel="1">
      <c r="A153" s="287" t="str">
        <f t="shared" si="21"/>
        <v>cc&lt;=1 열쇠공</v>
      </c>
    </row>
    <row r="154" ht="15.75" hidden="1" customHeight="1" outlineLevel="1">
      <c r="A154" s="287" t="str">
        <f t="shared" si="21"/>
        <v>cc&lt;=20 사격(권총)</v>
      </c>
    </row>
    <row r="155" ht="15.75" hidden="1" customHeight="1" outlineLevel="1">
      <c r="A155" s="287" t="str">
        <f t="shared" si="21"/>
        <v>cc&lt;=25 사격(소총)</v>
      </c>
    </row>
    <row r="156" ht="15.75" hidden="1" customHeight="1" outlineLevel="1">
      <c r="A156" s="287" t="str">
        <f t="shared" si="21"/>
        <v>cc&lt;=15 사격(기관단총)</v>
      </c>
    </row>
    <row r="157" ht="15.75" hidden="1" customHeight="1" outlineLevel="1">
      <c r="A157" s="287" t="str">
        <f t="shared" si="21"/>
        <v>cc&lt;=10 사격(기관총)</v>
      </c>
    </row>
    <row r="158" ht="15.75" hidden="1" customHeight="1" outlineLevel="1">
      <c r="A158" s="287" t="str">
        <f t="shared" si="21"/>
        <v>cc&lt;=15 사격(활)</v>
      </c>
    </row>
    <row r="159" ht="15.75" hidden="1" customHeight="1" outlineLevel="1">
      <c r="A159" s="287" t="str">
        <f t="shared" si="21"/>
        <v>cc&lt;=10 사격(중화기)</v>
      </c>
    </row>
    <row r="160" ht="15.75" hidden="1" customHeight="1" outlineLevel="1">
      <c r="A160" s="287" t="str">
        <f t="shared" si="21"/>
        <v>cc&lt;=10 화염방사기</v>
      </c>
    </row>
    <row r="161" ht="15.75" hidden="1" customHeight="1" outlineLevel="1">
      <c r="A161" s="287" t="str">
        <f>concatenate("cc&lt;=",V10," ","근력")</f>
        <v>cc&lt;= 근력</v>
      </c>
    </row>
    <row r="162" ht="15.75" hidden="1" customHeight="1" outlineLevel="1">
      <c r="A162" s="287" t="str">
        <f>concatenate("cc&lt;=",V12," ","건강")</f>
        <v>cc&lt;= 건강</v>
      </c>
    </row>
    <row r="163" ht="15.75" hidden="1" customHeight="1" outlineLevel="1">
      <c r="A163" s="287" t="str">
        <f>concatenate("cc&lt;=",V14," ","크기")</f>
        <v>cc&lt;= 크기</v>
      </c>
    </row>
    <row r="164" ht="15.75" hidden="1" customHeight="1" outlineLevel="1">
      <c r="A164" s="287" t="str">
        <f>concatenate("cc&lt;=",AD10," ","민첩")</f>
        <v>cc&lt;= 민첩</v>
      </c>
    </row>
    <row r="165" ht="15.75" hidden="1" customHeight="1" outlineLevel="1">
      <c r="A165" s="287" t="str">
        <f>concatenate("cc&lt;=",AD12," ","외모")</f>
        <v>cc&lt;= 외모</v>
      </c>
    </row>
    <row r="166" ht="15.75" hidden="1" customHeight="1" outlineLevel="1">
      <c r="A166" s="287" t="str">
        <f>concatenate("cc&lt;=",AD14," ","지능(아이디어)")</f>
        <v>cc&lt;= 지능(아이디어)</v>
      </c>
    </row>
    <row r="167" ht="15.75" hidden="1" customHeight="1" outlineLevel="1">
      <c r="A167" s="287" t="str">
        <f>concatenate("cc&lt;=",AL10," ","정신력")</f>
        <v>cc&lt;= 정신력</v>
      </c>
    </row>
    <row r="168" ht="15.75" hidden="1" customHeight="1" outlineLevel="1">
      <c r="A168" s="287" t="str">
        <f>concatenate("cc&lt;=",AL12," ","교육(지식)")</f>
        <v>cc&lt;= 교육(지식)</v>
      </c>
    </row>
    <row r="169" ht="15.75" hidden="1" customHeight="1" outlineLevel="1">
      <c r="A169" s="288" t="s">
        <v>162</v>
      </c>
    </row>
    <row r="170" ht="15.75" hidden="1" customHeight="1" outlineLevel="1">
      <c r="A170" s="288" t="s">
        <v>163</v>
      </c>
    </row>
    <row r="171" ht="15.75" hidden="1" customHeight="1" outlineLevel="1">
      <c r="A171" s="288" t="str">
        <f t="shared" ref="A171:A177" si="22">if(OR(B41="",S41=""),"",concatenate(S41," ","피해","(",B41,")"))</f>
        <v>1d3+{DB} 피해(맨손)</v>
      </c>
    </row>
    <row r="172" ht="15.75" hidden="1" customHeight="1" outlineLevel="1">
      <c r="A172" s="288" t="str">
        <f t="shared" si="22"/>
        <v/>
      </c>
    </row>
    <row r="173" ht="15.75" hidden="1" customHeight="1" outlineLevel="1">
      <c r="A173" s="288" t="str">
        <f t="shared" si="22"/>
        <v/>
      </c>
    </row>
    <row r="174" ht="15.75" hidden="1" customHeight="1" outlineLevel="1">
      <c r="A174" s="288" t="str">
        <f t="shared" si="22"/>
        <v/>
      </c>
    </row>
    <row r="175" ht="15.75" hidden="1" customHeight="1" outlineLevel="1">
      <c r="A175" s="288" t="str">
        <f t="shared" si="22"/>
        <v/>
      </c>
    </row>
    <row r="176" ht="15.75" hidden="1" customHeight="1" outlineLevel="1">
      <c r="A176" s="288" t="str">
        <f t="shared" si="22"/>
        <v/>
      </c>
    </row>
    <row r="177" ht="15.75" hidden="1" customHeight="1" outlineLevel="1">
      <c r="A177" s="288" t="str">
        <f t="shared" si="22"/>
        <v/>
      </c>
    </row>
    <row r="178" ht="15.75" customHeight="1">
      <c r="A178" s="288"/>
      <c r="B178" s="288"/>
      <c r="C178" s="288"/>
      <c r="D178" s="288"/>
      <c r="E178" s="288"/>
      <c r="F178" s="288"/>
      <c r="G178" s="288"/>
      <c r="H178" s="288"/>
      <c r="I178" s="288"/>
      <c r="J178" s="288"/>
      <c r="K178" s="288"/>
      <c r="L178" s="288"/>
      <c r="M178" s="288"/>
      <c r="N178" s="288"/>
      <c r="O178" s="287"/>
      <c r="P178" s="287"/>
      <c r="Q178" s="287"/>
      <c r="R178" s="287"/>
      <c r="S178" s="287"/>
      <c r="T178" s="287"/>
      <c r="U178" s="287"/>
      <c r="V178" s="287"/>
      <c r="W178" s="287"/>
      <c r="X178" s="287"/>
      <c r="Y178" s="287"/>
      <c r="Z178" s="287"/>
      <c r="AA178" s="287"/>
      <c r="AB178" s="287"/>
      <c r="AC178" s="287"/>
      <c r="AD178" s="287"/>
      <c r="AE178" s="287"/>
      <c r="AF178" s="287"/>
      <c r="AG178" s="287"/>
      <c r="AH178" s="287"/>
      <c r="AI178" s="287"/>
      <c r="AJ178" s="287"/>
      <c r="AK178" s="287"/>
      <c r="AL178" s="287"/>
      <c r="AM178" s="287"/>
      <c r="AN178" s="287"/>
      <c r="AO178" s="287"/>
      <c r="AP178" s="287"/>
      <c r="AQ178" s="287"/>
      <c r="AR178" s="287"/>
      <c r="AS178" s="287"/>
      <c r="AT178" s="287"/>
      <c r="AU178" s="287"/>
      <c r="AV178" s="287"/>
      <c r="AW178" s="287"/>
      <c r="AX178" s="287"/>
      <c r="AY178" s="287"/>
      <c r="AZ178" s="287"/>
      <c r="BA178" s="287"/>
      <c r="BB178" s="287"/>
      <c r="BC178" s="287"/>
    </row>
    <row r="179" ht="15.75" customHeight="1">
      <c r="A179" s="287"/>
      <c r="B179" s="287"/>
      <c r="C179" s="287"/>
      <c r="D179" s="287"/>
      <c r="E179" s="287"/>
      <c r="F179" s="287"/>
      <c r="G179" s="287"/>
      <c r="H179" s="287"/>
      <c r="I179" s="287"/>
      <c r="J179" s="287"/>
      <c r="K179" s="287"/>
      <c r="L179" s="287"/>
      <c r="M179" s="287"/>
      <c r="N179" s="287"/>
      <c r="O179" s="287"/>
      <c r="P179" s="287"/>
      <c r="Q179" s="287"/>
      <c r="R179" s="287"/>
      <c r="S179" s="287"/>
      <c r="T179" s="287"/>
      <c r="U179" s="287"/>
      <c r="V179" s="287"/>
      <c r="W179" s="287"/>
      <c r="X179" s="287"/>
      <c r="Y179" s="287"/>
      <c r="Z179" s="287"/>
      <c r="AA179" s="287"/>
      <c r="AB179" s="287"/>
      <c r="AC179" s="287"/>
      <c r="AD179" s="287"/>
      <c r="AE179" s="287"/>
      <c r="AF179" s="287"/>
      <c r="AG179" s="287"/>
      <c r="AH179" s="287"/>
      <c r="AI179" s="287"/>
      <c r="AJ179" s="287"/>
      <c r="AK179" s="287"/>
      <c r="AL179" s="287"/>
      <c r="AM179" s="287"/>
      <c r="AN179" s="287"/>
      <c r="AO179" s="287"/>
      <c r="AP179" s="287"/>
      <c r="AQ179" s="287"/>
      <c r="AR179" s="287"/>
      <c r="AS179" s="287"/>
      <c r="AT179" s="287"/>
      <c r="AU179" s="287"/>
      <c r="AV179" s="287"/>
      <c r="AW179" s="287"/>
      <c r="AX179" s="287"/>
      <c r="AY179" s="287"/>
      <c r="AZ179" s="287"/>
      <c r="BA179" s="287"/>
      <c r="BB179" s="287"/>
      <c r="BC179" s="287"/>
    </row>
    <row r="180" ht="15.75" customHeight="1">
      <c r="A180" s="287"/>
      <c r="B180" s="287"/>
      <c r="C180" s="287"/>
      <c r="D180" s="287"/>
      <c r="E180" s="287"/>
      <c r="F180" s="287"/>
      <c r="G180" s="287"/>
      <c r="H180" s="287"/>
      <c r="I180" s="287"/>
      <c r="J180" s="287"/>
      <c r="K180" s="287"/>
      <c r="L180" s="287"/>
      <c r="M180" s="287"/>
      <c r="N180" s="287"/>
      <c r="O180" s="287"/>
      <c r="P180" s="287"/>
      <c r="Q180" s="287"/>
      <c r="R180" s="287"/>
      <c r="S180" s="287"/>
      <c r="T180" s="287"/>
      <c r="U180" s="287"/>
      <c r="V180" s="287"/>
      <c r="W180" s="287"/>
      <c r="X180" s="287"/>
      <c r="Y180" s="287"/>
      <c r="Z180" s="287"/>
      <c r="AA180" s="287"/>
      <c r="AB180" s="287"/>
      <c r="AC180" s="287"/>
      <c r="AD180" s="287"/>
      <c r="AE180" s="287"/>
      <c r="AF180" s="287"/>
      <c r="AG180" s="287"/>
      <c r="AH180" s="287"/>
      <c r="AI180" s="287"/>
      <c r="AJ180" s="287"/>
      <c r="AK180" s="287"/>
      <c r="AL180" s="287"/>
      <c r="AM180" s="287"/>
      <c r="AN180" s="287"/>
      <c r="AO180" s="287"/>
      <c r="AP180" s="287"/>
      <c r="AQ180" s="287"/>
      <c r="AR180" s="287"/>
      <c r="AS180" s="287"/>
      <c r="AT180" s="287"/>
      <c r="AU180" s="287"/>
      <c r="AV180" s="287"/>
      <c r="AW180" s="287"/>
      <c r="AX180" s="287"/>
      <c r="AY180" s="287"/>
      <c r="AZ180" s="287"/>
      <c r="BA180" s="287"/>
      <c r="BB180" s="287"/>
      <c r="BC180" s="287"/>
    </row>
    <row r="181" ht="15.75" customHeight="1">
      <c r="A181" s="287"/>
      <c r="B181" s="287"/>
      <c r="C181" s="287"/>
      <c r="D181" s="287"/>
      <c r="E181" s="287"/>
      <c r="F181" s="287"/>
      <c r="G181" s="287"/>
      <c r="H181" s="287"/>
      <c r="I181" s="287"/>
      <c r="J181" s="287"/>
      <c r="K181" s="287"/>
      <c r="L181" s="287"/>
      <c r="M181" s="287"/>
      <c r="N181" s="287"/>
      <c r="O181" s="287"/>
      <c r="P181" s="287"/>
      <c r="Q181" s="287"/>
      <c r="R181" s="287"/>
      <c r="S181" s="287"/>
      <c r="T181" s="287"/>
      <c r="U181" s="287"/>
      <c r="V181" s="287"/>
      <c r="W181" s="287"/>
      <c r="X181" s="287"/>
      <c r="Y181" s="287"/>
      <c r="Z181" s="287"/>
      <c r="AA181" s="287"/>
      <c r="AB181" s="287"/>
      <c r="AC181" s="287"/>
      <c r="AD181" s="287"/>
      <c r="AE181" s="287"/>
      <c r="AF181" s="287"/>
      <c r="AG181" s="287"/>
      <c r="AH181" s="287"/>
      <c r="AI181" s="287"/>
      <c r="AJ181" s="287"/>
      <c r="AK181" s="287"/>
      <c r="AL181" s="287"/>
      <c r="AM181" s="287"/>
      <c r="AN181" s="287"/>
      <c r="AO181" s="287"/>
      <c r="AP181" s="287"/>
      <c r="AQ181" s="287"/>
      <c r="AR181" s="287"/>
      <c r="AS181" s="287"/>
      <c r="AT181" s="287"/>
      <c r="AU181" s="287"/>
      <c r="AV181" s="287"/>
      <c r="AW181" s="287"/>
      <c r="AX181" s="287"/>
      <c r="AY181" s="287"/>
      <c r="AZ181" s="287"/>
      <c r="BA181" s="287"/>
      <c r="BB181" s="287"/>
      <c r="BC181" s="287"/>
    </row>
    <row r="182" ht="15.75" customHeight="1">
      <c r="A182" s="287"/>
      <c r="B182" s="287"/>
      <c r="C182" s="287"/>
      <c r="D182" s="287"/>
      <c r="E182" s="287"/>
      <c r="F182" s="287"/>
      <c r="G182" s="287"/>
      <c r="H182" s="287"/>
      <c r="I182" s="287"/>
      <c r="J182" s="287"/>
      <c r="K182" s="287"/>
      <c r="L182" s="287"/>
      <c r="M182" s="287"/>
      <c r="N182" s="287"/>
      <c r="O182" s="287"/>
      <c r="P182" s="287"/>
      <c r="Q182" s="287"/>
      <c r="R182" s="287"/>
      <c r="S182" s="287"/>
      <c r="T182" s="287"/>
      <c r="U182" s="287"/>
      <c r="V182" s="287"/>
      <c r="W182" s="287"/>
      <c r="X182" s="287"/>
      <c r="Y182" s="287"/>
      <c r="Z182" s="287"/>
      <c r="AA182" s="287"/>
      <c r="AB182" s="287"/>
      <c r="AC182" s="287"/>
      <c r="AD182" s="287"/>
      <c r="AE182" s="287"/>
      <c r="AF182" s="287"/>
      <c r="AG182" s="287"/>
      <c r="AH182" s="287"/>
      <c r="AI182" s="287"/>
      <c r="AJ182" s="287"/>
      <c r="AK182" s="287"/>
      <c r="AL182" s="287"/>
      <c r="AM182" s="287"/>
      <c r="AN182" s="287"/>
      <c r="AO182" s="287"/>
      <c r="AP182" s="287"/>
      <c r="AQ182" s="287"/>
      <c r="AR182" s="287"/>
      <c r="AS182" s="287"/>
      <c r="AT182" s="287"/>
      <c r="AU182" s="287"/>
      <c r="AV182" s="287"/>
      <c r="AW182" s="287"/>
      <c r="AX182" s="287"/>
      <c r="AY182" s="287"/>
      <c r="AZ182" s="287"/>
      <c r="BA182" s="287"/>
      <c r="BB182" s="287"/>
      <c r="BC182" s="287"/>
    </row>
    <row r="183" ht="15.75" customHeight="1">
      <c r="A183" s="287"/>
      <c r="B183" s="287"/>
      <c r="C183" s="287"/>
      <c r="D183" s="287"/>
      <c r="E183" s="287"/>
      <c r="F183" s="287"/>
      <c r="G183" s="287"/>
      <c r="H183" s="287"/>
      <c r="I183" s="287"/>
      <c r="J183" s="287"/>
      <c r="K183" s="287"/>
      <c r="L183" s="287"/>
      <c r="M183" s="287"/>
      <c r="N183" s="287"/>
      <c r="O183" s="287"/>
      <c r="P183" s="287"/>
      <c r="Q183" s="287"/>
      <c r="R183" s="287"/>
      <c r="S183" s="287"/>
      <c r="T183" s="287"/>
      <c r="U183" s="287"/>
      <c r="V183" s="287"/>
      <c r="W183" s="287"/>
      <c r="X183" s="287"/>
      <c r="Y183" s="287"/>
      <c r="Z183" s="287"/>
      <c r="AA183" s="287"/>
      <c r="AB183" s="287"/>
      <c r="AC183" s="287"/>
      <c r="AD183" s="287"/>
      <c r="AE183" s="287"/>
      <c r="AF183" s="287"/>
      <c r="AG183" s="287"/>
      <c r="AH183" s="287"/>
      <c r="AI183" s="287"/>
      <c r="AJ183" s="287"/>
      <c r="AK183" s="287"/>
      <c r="AL183" s="287"/>
      <c r="AM183" s="287"/>
      <c r="AN183" s="287"/>
      <c r="AO183" s="287"/>
      <c r="AP183" s="287"/>
      <c r="AQ183" s="287"/>
      <c r="AR183" s="287"/>
      <c r="AS183" s="287"/>
      <c r="AT183" s="287"/>
      <c r="AU183" s="287"/>
      <c r="AV183" s="287"/>
      <c r="AW183" s="287"/>
      <c r="AX183" s="287"/>
      <c r="AY183" s="287"/>
      <c r="AZ183" s="287"/>
      <c r="BA183" s="287"/>
      <c r="BB183" s="287"/>
      <c r="BC183" s="287"/>
    </row>
    <row r="184" ht="15.75" customHeight="1">
      <c r="A184" s="287"/>
      <c r="B184" s="287"/>
      <c r="C184" s="287"/>
      <c r="D184" s="287"/>
      <c r="E184" s="287"/>
      <c r="F184" s="287"/>
      <c r="G184" s="287"/>
      <c r="H184" s="287"/>
      <c r="I184" s="287"/>
      <c r="J184" s="287"/>
      <c r="K184" s="287"/>
      <c r="L184" s="287"/>
      <c r="M184" s="287"/>
      <c r="N184" s="287"/>
      <c r="O184" s="287"/>
      <c r="P184" s="287"/>
      <c r="Q184" s="287"/>
      <c r="R184" s="287"/>
      <c r="S184" s="287"/>
      <c r="T184" s="287"/>
      <c r="U184" s="287"/>
      <c r="V184" s="287"/>
      <c r="W184" s="287"/>
      <c r="X184" s="287"/>
      <c r="Y184" s="287"/>
      <c r="Z184" s="287"/>
      <c r="AA184" s="287"/>
      <c r="AB184" s="287"/>
      <c r="AC184" s="287"/>
      <c r="AD184" s="287"/>
      <c r="AE184" s="287"/>
      <c r="AF184" s="287"/>
      <c r="AG184" s="287"/>
      <c r="AH184" s="287"/>
      <c r="AI184" s="287"/>
      <c r="AJ184" s="287"/>
      <c r="AK184" s="287"/>
      <c r="AL184" s="287"/>
      <c r="AM184" s="287"/>
      <c r="AN184" s="287"/>
      <c r="AO184" s="287"/>
      <c r="AP184" s="287"/>
      <c r="AQ184" s="287"/>
      <c r="AR184" s="287"/>
      <c r="AS184" s="287"/>
      <c r="AT184" s="287"/>
      <c r="AU184" s="287"/>
      <c r="AV184" s="287"/>
      <c r="AW184" s="287"/>
      <c r="AX184" s="287"/>
      <c r="AY184" s="287"/>
      <c r="AZ184" s="287"/>
      <c r="BA184" s="287"/>
      <c r="BB184" s="287"/>
      <c r="BC184" s="287"/>
    </row>
    <row r="185" ht="15.75" customHeight="1">
      <c r="A185" s="287"/>
      <c r="B185" s="287"/>
      <c r="C185" s="287"/>
      <c r="D185" s="287"/>
      <c r="E185" s="287"/>
      <c r="F185" s="287"/>
      <c r="G185" s="287"/>
      <c r="H185" s="287"/>
      <c r="I185" s="287"/>
      <c r="J185" s="287"/>
      <c r="K185" s="287"/>
      <c r="L185" s="287"/>
      <c r="M185" s="287"/>
      <c r="N185" s="287"/>
      <c r="O185" s="287"/>
      <c r="P185" s="287"/>
      <c r="Q185" s="287"/>
      <c r="R185" s="287"/>
      <c r="S185" s="287"/>
      <c r="T185" s="287"/>
      <c r="U185" s="287"/>
      <c r="V185" s="287"/>
      <c r="W185" s="287"/>
      <c r="X185" s="287"/>
      <c r="Y185" s="287"/>
      <c r="Z185" s="287"/>
      <c r="AA185" s="287"/>
      <c r="AB185" s="287"/>
      <c r="AC185" s="287"/>
      <c r="AD185" s="287"/>
      <c r="AE185" s="287"/>
      <c r="AF185" s="287"/>
      <c r="AG185" s="287"/>
      <c r="AH185" s="287"/>
      <c r="AI185" s="287"/>
      <c r="AJ185" s="287"/>
      <c r="AK185" s="287"/>
      <c r="AL185" s="287"/>
      <c r="AM185" s="287"/>
      <c r="AN185" s="287"/>
      <c r="AO185" s="287"/>
      <c r="AP185" s="287"/>
      <c r="AQ185" s="287"/>
      <c r="AR185" s="287"/>
      <c r="AS185" s="287"/>
      <c r="AT185" s="287"/>
      <c r="AU185" s="287"/>
      <c r="AV185" s="287"/>
      <c r="AW185" s="287"/>
      <c r="AX185" s="287"/>
      <c r="AY185" s="287"/>
      <c r="AZ185" s="287"/>
      <c r="BA185" s="287"/>
      <c r="BB185" s="287"/>
      <c r="BC185" s="287"/>
    </row>
    <row r="186" ht="15.75" customHeight="1">
      <c r="A186" s="287"/>
      <c r="B186" s="287"/>
      <c r="C186" s="287"/>
      <c r="D186" s="287"/>
      <c r="E186" s="287"/>
      <c r="F186" s="287"/>
      <c r="G186" s="287"/>
      <c r="H186" s="287"/>
      <c r="I186" s="287"/>
      <c r="J186" s="287"/>
      <c r="K186" s="287"/>
      <c r="L186" s="287"/>
      <c r="M186" s="287"/>
      <c r="N186" s="287"/>
      <c r="O186" s="287"/>
      <c r="P186" s="287"/>
      <c r="Q186" s="287"/>
      <c r="R186" s="287"/>
      <c r="S186" s="287"/>
      <c r="T186" s="287"/>
      <c r="U186" s="287"/>
      <c r="V186" s="287"/>
      <c r="W186" s="287"/>
      <c r="X186" s="287"/>
      <c r="Y186" s="287"/>
      <c r="Z186" s="287"/>
      <c r="AA186" s="287"/>
      <c r="AB186" s="287"/>
      <c r="AC186" s="287"/>
      <c r="AD186" s="287"/>
      <c r="AE186" s="287"/>
      <c r="AF186" s="287"/>
      <c r="AG186" s="287"/>
      <c r="AH186" s="287"/>
      <c r="AI186" s="287"/>
      <c r="AJ186" s="287"/>
      <c r="AK186" s="287"/>
      <c r="AL186" s="287"/>
      <c r="AM186" s="287"/>
      <c r="AN186" s="287"/>
      <c r="AO186" s="287"/>
      <c r="AP186" s="287"/>
      <c r="AQ186" s="287"/>
      <c r="AR186" s="287"/>
      <c r="AS186" s="287"/>
      <c r="AT186" s="287"/>
      <c r="AU186" s="287"/>
      <c r="AV186" s="287"/>
      <c r="AW186" s="287"/>
      <c r="AX186" s="287"/>
      <c r="AY186" s="287"/>
      <c r="AZ186" s="287"/>
      <c r="BA186" s="287"/>
      <c r="BB186" s="287"/>
      <c r="BC186" s="287"/>
    </row>
    <row r="187" ht="15.75" customHeight="1">
      <c r="A187" s="287"/>
      <c r="B187" s="287"/>
      <c r="C187" s="287"/>
      <c r="D187" s="287"/>
      <c r="E187" s="287"/>
      <c r="F187" s="287"/>
      <c r="G187" s="287"/>
      <c r="H187" s="287"/>
      <c r="I187" s="287"/>
      <c r="J187" s="287"/>
      <c r="K187" s="287"/>
      <c r="L187" s="287"/>
      <c r="M187" s="287"/>
      <c r="N187" s="287"/>
      <c r="O187" s="287"/>
      <c r="P187" s="287"/>
      <c r="Q187" s="287"/>
      <c r="R187" s="287"/>
      <c r="S187" s="287"/>
      <c r="T187" s="287"/>
      <c r="U187" s="287"/>
      <c r="V187" s="287"/>
      <c r="W187" s="287"/>
      <c r="X187" s="287"/>
      <c r="Y187" s="287"/>
      <c r="Z187" s="287"/>
      <c r="AA187" s="287"/>
      <c r="AB187" s="287"/>
      <c r="AC187" s="287"/>
      <c r="AD187" s="287"/>
      <c r="AE187" s="287"/>
      <c r="AF187" s="287"/>
      <c r="AG187" s="287"/>
      <c r="AH187" s="287"/>
      <c r="AI187" s="287"/>
      <c r="AJ187" s="287"/>
      <c r="AK187" s="287"/>
      <c r="AL187" s="287"/>
      <c r="AM187" s="287"/>
      <c r="AN187" s="287"/>
      <c r="AO187" s="287"/>
      <c r="AP187" s="287"/>
      <c r="AQ187" s="287"/>
      <c r="AR187" s="287"/>
      <c r="AS187" s="287"/>
      <c r="AT187" s="287"/>
      <c r="AU187" s="287"/>
      <c r="AV187" s="287"/>
      <c r="AW187" s="287"/>
      <c r="AX187" s="287"/>
      <c r="AY187" s="287"/>
      <c r="AZ187" s="287"/>
      <c r="BA187" s="287"/>
      <c r="BB187" s="287"/>
      <c r="BC187" s="287"/>
    </row>
    <row r="188" ht="15.75" customHeight="1">
      <c r="A188" s="287"/>
      <c r="B188" s="287"/>
      <c r="C188" s="287"/>
      <c r="D188" s="287"/>
      <c r="E188" s="287"/>
      <c r="F188" s="287"/>
      <c r="G188" s="287"/>
      <c r="H188" s="287"/>
      <c r="I188" s="287"/>
      <c r="J188" s="287"/>
      <c r="K188" s="287"/>
      <c r="L188" s="287"/>
      <c r="M188" s="287"/>
      <c r="N188" s="287"/>
      <c r="O188" s="287"/>
      <c r="P188" s="287"/>
      <c r="Q188" s="287"/>
      <c r="R188" s="287"/>
      <c r="S188" s="287"/>
      <c r="T188" s="287"/>
      <c r="U188" s="287"/>
      <c r="V188" s="287"/>
      <c r="W188" s="287"/>
      <c r="X188" s="287"/>
      <c r="Y188" s="287"/>
      <c r="Z188" s="287"/>
      <c r="AA188" s="287"/>
      <c r="AB188" s="287"/>
      <c r="AC188" s="287"/>
      <c r="AD188" s="287"/>
      <c r="AE188" s="287"/>
      <c r="AF188" s="287"/>
      <c r="AG188" s="287"/>
      <c r="AH188" s="287"/>
      <c r="AI188" s="287"/>
      <c r="AJ188" s="287"/>
      <c r="AK188" s="287"/>
      <c r="AL188" s="287"/>
      <c r="AM188" s="287"/>
      <c r="AN188" s="287"/>
      <c r="AO188" s="287"/>
      <c r="AP188" s="287"/>
      <c r="AQ188" s="287"/>
      <c r="AR188" s="287"/>
      <c r="AS188" s="287"/>
      <c r="AT188" s="287"/>
      <c r="AU188" s="287"/>
      <c r="AV188" s="287"/>
      <c r="AW188" s="287"/>
      <c r="AX188" s="287"/>
      <c r="AY188" s="287"/>
      <c r="AZ188" s="287"/>
      <c r="BA188" s="287"/>
      <c r="BB188" s="287"/>
      <c r="BC188" s="287"/>
    </row>
    <row r="189" ht="15.75" customHeight="1">
      <c r="A189" s="287"/>
      <c r="B189" s="287"/>
      <c r="C189" s="287"/>
      <c r="D189" s="287"/>
      <c r="E189" s="287"/>
      <c r="F189" s="287"/>
      <c r="G189" s="287"/>
      <c r="H189" s="287"/>
      <c r="I189" s="287"/>
      <c r="J189" s="287"/>
      <c r="K189" s="287"/>
      <c r="L189" s="287"/>
      <c r="M189" s="287"/>
      <c r="N189" s="287"/>
      <c r="O189" s="287"/>
      <c r="P189" s="287"/>
      <c r="Q189" s="287"/>
      <c r="R189" s="287"/>
      <c r="S189" s="287"/>
      <c r="T189" s="287"/>
      <c r="U189" s="287"/>
      <c r="V189" s="287"/>
      <c r="W189" s="287"/>
      <c r="X189" s="287"/>
      <c r="Y189" s="287"/>
      <c r="Z189" s="287"/>
      <c r="AA189" s="287"/>
      <c r="AB189" s="287"/>
      <c r="AC189" s="287"/>
      <c r="AD189" s="287"/>
      <c r="AE189" s="287"/>
      <c r="AF189" s="287"/>
      <c r="AG189" s="287"/>
      <c r="AH189" s="287"/>
      <c r="AI189" s="287"/>
      <c r="AJ189" s="287"/>
      <c r="AK189" s="287"/>
      <c r="AL189" s="287"/>
      <c r="AM189" s="287"/>
      <c r="AN189" s="287"/>
      <c r="AO189" s="287"/>
      <c r="AP189" s="287"/>
      <c r="AQ189" s="287"/>
      <c r="AR189" s="287"/>
      <c r="AS189" s="287"/>
      <c r="AT189" s="287"/>
      <c r="AU189" s="287"/>
      <c r="AV189" s="287"/>
      <c r="AW189" s="287"/>
      <c r="AX189" s="287"/>
      <c r="AY189" s="287"/>
      <c r="AZ189" s="287"/>
      <c r="BA189" s="287"/>
      <c r="BB189" s="287"/>
      <c r="BC189" s="287"/>
    </row>
    <row r="190" ht="15.75" customHeight="1">
      <c r="A190" s="287"/>
      <c r="B190" s="287"/>
      <c r="C190" s="287"/>
      <c r="D190" s="287"/>
      <c r="E190" s="287"/>
      <c r="F190" s="287"/>
      <c r="G190" s="287"/>
      <c r="H190" s="287"/>
      <c r="I190" s="287"/>
      <c r="J190" s="287"/>
      <c r="K190" s="287"/>
      <c r="L190" s="287"/>
      <c r="M190" s="287"/>
      <c r="N190" s="287"/>
      <c r="O190" s="287"/>
      <c r="P190" s="287"/>
      <c r="Q190" s="287"/>
      <c r="R190" s="287"/>
      <c r="S190" s="287"/>
      <c r="T190" s="287"/>
      <c r="U190" s="287"/>
      <c r="V190" s="287"/>
      <c r="W190" s="287"/>
      <c r="X190" s="287"/>
      <c r="Y190" s="287"/>
      <c r="Z190" s="287"/>
      <c r="AA190" s="287"/>
      <c r="AB190" s="287"/>
      <c r="AC190" s="287"/>
      <c r="AD190" s="287"/>
      <c r="AE190" s="287"/>
      <c r="AF190" s="287"/>
      <c r="AG190" s="287"/>
      <c r="AH190" s="287"/>
      <c r="AI190" s="287"/>
      <c r="AJ190" s="287"/>
      <c r="AK190" s="287"/>
      <c r="AL190" s="287"/>
      <c r="AM190" s="287"/>
      <c r="AN190" s="287"/>
      <c r="AO190" s="287"/>
      <c r="AP190" s="287"/>
      <c r="AQ190" s="287"/>
      <c r="AR190" s="287"/>
      <c r="AS190" s="287"/>
      <c r="AT190" s="287"/>
      <c r="AU190" s="287"/>
      <c r="AV190" s="287"/>
      <c r="AW190" s="287"/>
      <c r="AX190" s="287"/>
      <c r="AY190" s="287"/>
      <c r="AZ190" s="287"/>
      <c r="BA190" s="287"/>
      <c r="BB190" s="287"/>
      <c r="BC190" s="287"/>
    </row>
    <row r="191" ht="15.75" customHeight="1">
      <c r="A191" s="287"/>
      <c r="B191" s="287"/>
      <c r="C191" s="287"/>
      <c r="D191" s="287"/>
      <c r="E191" s="287"/>
      <c r="F191" s="287"/>
      <c r="G191" s="287"/>
      <c r="H191" s="287"/>
      <c r="I191" s="287"/>
      <c r="J191" s="287"/>
      <c r="K191" s="287"/>
      <c r="L191" s="287"/>
      <c r="M191" s="287"/>
      <c r="N191" s="287"/>
      <c r="O191" s="287"/>
      <c r="P191" s="287"/>
      <c r="Q191" s="287"/>
      <c r="R191" s="287"/>
      <c r="S191" s="287"/>
      <c r="T191" s="287"/>
      <c r="U191" s="287"/>
      <c r="V191" s="287"/>
      <c r="W191" s="287"/>
      <c r="X191" s="287"/>
      <c r="Y191" s="287"/>
      <c r="Z191" s="287"/>
      <c r="AA191" s="287"/>
      <c r="AB191" s="287"/>
      <c r="AC191" s="287"/>
      <c r="AD191" s="287"/>
      <c r="AE191" s="287"/>
      <c r="AF191" s="287"/>
      <c r="AG191" s="287"/>
      <c r="AH191" s="287"/>
      <c r="AI191" s="287"/>
      <c r="AJ191" s="287"/>
      <c r="AK191" s="287"/>
      <c r="AL191" s="287"/>
      <c r="AM191" s="287"/>
      <c r="AN191" s="287"/>
      <c r="AO191" s="287"/>
      <c r="AP191" s="287"/>
      <c r="AQ191" s="287"/>
      <c r="AR191" s="287"/>
      <c r="AS191" s="287"/>
      <c r="AT191" s="287"/>
      <c r="AU191" s="287"/>
      <c r="AV191" s="287"/>
      <c r="AW191" s="287"/>
      <c r="AX191" s="287"/>
      <c r="AY191" s="287"/>
      <c r="AZ191" s="287"/>
      <c r="BA191" s="287"/>
      <c r="BB191" s="287"/>
      <c r="BC191" s="287"/>
    </row>
    <row r="192" ht="15.75" customHeight="1">
      <c r="A192" s="287"/>
      <c r="B192" s="287"/>
      <c r="C192" s="287"/>
      <c r="D192" s="287"/>
      <c r="E192" s="287"/>
      <c r="F192" s="287"/>
      <c r="G192" s="287"/>
      <c r="H192" s="287"/>
      <c r="I192" s="287"/>
      <c r="J192" s="287"/>
      <c r="K192" s="287"/>
      <c r="L192" s="287"/>
      <c r="M192" s="287"/>
      <c r="N192" s="287"/>
      <c r="O192" s="287"/>
      <c r="P192" s="287"/>
      <c r="Q192" s="287"/>
      <c r="R192" s="287"/>
      <c r="S192" s="287"/>
      <c r="T192" s="287"/>
      <c r="U192" s="287"/>
      <c r="V192" s="287"/>
      <c r="W192" s="287"/>
      <c r="X192" s="287"/>
      <c r="Y192" s="287"/>
      <c r="Z192" s="287"/>
      <c r="AA192" s="287"/>
      <c r="AB192" s="287"/>
      <c r="AC192" s="287"/>
      <c r="AD192" s="287"/>
      <c r="AE192" s="287"/>
      <c r="AF192" s="287"/>
      <c r="AG192" s="287"/>
      <c r="AH192" s="287"/>
      <c r="AI192" s="287"/>
      <c r="AJ192" s="287"/>
      <c r="AK192" s="287"/>
      <c r="AL192" s="287"/>
      <c r="AM192" s="287"/>
      <c r="AN192" s="287"/>
      <c r="AO192" s="287"/>
      <c r="AP192" s="287"/>
      <c r="AQ192" s="287"/>
      <c r="AR192" s="287"/>
      <c r="AS192" s="287"/>
      <c r="AT192" s="287"/>
      <c r="AU192" s="287"/>
      <c r="AV192" s="287"/>
      <c r="AW192" s="287"/>
      <c r="AX192" s="287"/>
      <c r="AY192" s="287"/>
      <c r="AZ192" s="287"/>
      <c r="BA192" s="287"/>
      <c r="BB192" s="287"/>
      <c r="BC192" s="287"/>
    </row>
    <row r="193" ht="15.75" customHeight="1">
      <c r="A193" s="287"/>
      <c r="B193" s="287"/>
      <c r="C193" s="287"/>
      <c r="D193" s="287"/>
      <c r="E193" s="287"/>
      <c r="F193" s="287"/>
      <c r="G193" s="287"/>
      <c r="H193" s="287"/>
      <c r="I193" s="287"/>
      <c r="J193" s="287"/>
      <c r="K193" s="287"/>
      <c r="L193" s="287"/>
      <c r="M193" s="287"/>
      <c r="N193" s="287"/>
      <c r="O193" s="287"/>
      <c r="P193" s="287"/>
      <c r="Q193" s="287"/>
      <c r="R193" s="287"/>
      <c r="S193" s="287"/>
      <c r="T193" s="287"/>
      <c r="U193" s="287"/>
      <c r="V193" s="287"/>
      <c r="W193" s="287"/>
      <c r="X193" s="287"/>
      <c r="Y193" s="287"/>
      <c r="Z193" s="287"/>
      <c r="AA193" s="287"/>
      <c r="AB193" s="287"/>
      <c r="AC193" s="287"/>
      <c r="AD193" s="287"/>
      <c r="AE193" s="287"/>
      <c r="AF193" s="287"/>
      <c r="AG193" s="287"/>
      <c r="AH193" s="287"/>
      <c r="AI193" s="287"/>
      <c r="AJ193" s="287"/>
      <c r="AK193" s="287"/>
      <c r="AL193" s="287"/>
      <c r="AM193" s="287"/>
      <c r="AN193" s="287"/>
      <c r="AO193" s="287"/>
      <c r="AP193" s="287"/>
      <c r="AQ193" s="287"/>
      <c r="AR193" s="287"/>
      <c r="AS193" s="287"/>
      <c r="AT193" s="287"/>
      <c r="AU193" s="287"/>
      <c r="AV193" s="287"/>
      <c r="AW193" s="287"/>
      <c r="AX193" s="287"/>
      <c r="AY193" s="287"/>
      <c r="AZ193" s="287"/>
      <c r="BA193" s="287"/>
      <c r="BB193" s="287"/>
      <c r="BC193" s="287"/>
    </row>
    <row r="194" ht="15.75" customHeight="1">
      <c r="A194" s="287"/>
      <c r="B194" s="287"/>
      <c r="C194" s="287"/>
      <c r="D194" s="287"/>
      <c r="E194" s="287"/>
      <c r="F194" s="287"/>
      <c r="G194" s="287"/>
      <c r="H194" s="287"/>
      <c r="I194" s="287"/>
      <c r="J194" s="287"/>
      <c r="K194" s="287"/>
      <c r="L194" s="287"/>
      <c r="M194" s="287"/>
      <c r="N194" s="287"/>
      <c r="O194" s="287"/>
      <c r="P194" s="287"/>
      <c r="Q194" s="287"/>
      <c r="R194" s="287"/>
      <c r="S194" s="287"/>
      <c r="T194" s="287"/>
      <c r="U194" s="287"/>
      <c r="V194" s="287"/>
      <c r="W194" s="287"/>
      <c r="X194" s="287"/>
      <c r="Y194" s="287"/>
      <c r="Z194" s="287"/>
      <c r="AA194" s="287"/>
      <c r="AB194" s="287"/>
      <c r="AC194" s="287"/>
      <c r="AD194" s="287"/>
      <c r="AE194" s="287"/>
      <c r="AF194" s="287"/>
      <c r="AG194" s="287"/>
      <c r="AH194" s="287"/>
      <c r="AI194" s="287"/>
      <c r="AJ194" s="287"/>
      <c r="AK194" s="287"/>
      <c r="AL194" s="287"/>
      <c r="AM194" s="287"/>
      <c r="AN194" s="287"/>
      <c r="AO194" s="287"/>
      <c r="AP194" s="287"/>
      <c r="AQ194" s="287"/>
      <c r="AR194" s="287"/>
      <c r="AS194" s="287"/>
      <c r="AT194" s="287"/>
      <c r="AU194" s="287"/>
      <c r="AV194" s="287"/>
      <c r="AW194" s="287"/>
      <c r="AX194" s="287"/>
      <c r="AY194" s="287"/>
      <c r="AZ194" s="287"/>
      <c r="BA194" s="287"/>
      <c r="BB194" s="287"/>
      <c r="BC194" s="287"/>
    </row>
    <row r="195" ht="15.75" customHeight="1">
      <c r="A195" s="287"/>
      <c r="B195" s="287"/>
      <c r="C195" s="287"/>
      <c r="D195" s="287"/>
      <c r="E195" s="287"/>
      <c r="F195" s="287"/>
      <c r="G195" s="287"/>
      <c r="H195" s="287"/>
      <c r="I195" s="287"/>
      <c r="J195" s="287"/>
      <c r="K195" s="287"/>
      <c r="L195" s="287"/>
      <c r="M195" s="287"/>
      <c r="N195" s="287"/>
      <c r="O195" s="287"/>
      <c r="P195" s="287"/>
      <c r="Q195" s="287"/>
      <c r="R195" s="287"/>
      <c r="S195" s="287"/>
      <c r="T195" s="287"/>
      <c r="U195" s="287"/>
      <c r="V195" s="287"/>
      <c r="W195" s="287"/>
      <c r="X195" s="287"/>
      <c r="Y195" s="287"/>
      <c r="Z195" s="287"/>
      <c r="AA195" s="287"/>
      <c r="AB195" s="287"/>
      <c r="AC195" s="287"/>
      <c r="AD195" s="287"/>
      <c r="AE195" s="287"/>
      <c r="AF195" s="287"/>
      <c r="AG195" s="287"/>
      <c r="AH195" s="287"/>
      <c r="AI195" s="287"/>
      <c r="AJ195" s="287"/>
      <c r="AK195" s="287"/>
      <c r="AL195" s="287"/>
      <c r="AM195" s="287"/>
      <c r="AN195" s="287"/>
      <c r="AO195" s="287"/>
      <c r="AP195" s="287"/>
      <c r="AQ195" s="287"/>
      <c r="AR195" s="287"/>
      <c r="AS195" s="287"/>
      <c r="AT195" s="287"/>
      <c r="AU195" s="287"/>
      <c r="AV195" s="287"/>
      <c r="AW195" s="287"/>
      <c r="AX195" s="287"/>
      <c r="AY195" s="287"/>
      <c r="AZ195" s="287"/>
      <c r="BA195" s="287"/>
      <c r="BB195" s="287"/>
      <c r="BC195" s="287"/>
    </row>
    <row r="196" ht="15.75" customHeight="1">
      <c r="A196" s="287"/>
      <c r="B196" s="287"/>
      <c r="C196" s="287"/>
      <c r="D196" s="287"/>
      <c r="E196" s="287"/>
      <c r="F196" s="287"/>
      <c r="G196" s="287"/>
      <c r="H196" s="287"/>
      <c r="I196" s="287"/>
      <c r="J196" s="287"/>
      <c r="K196" s="287"/>
      <c r="L196" s="287"/>
      <c r="M196" s="287"/>
      <c r="N196" s="287"/>
      <c r="O196" s="287"/>
      <c r="P196" s="287"/>
      <c r="Q196" s="287"/>
      <c r="R196" s="287"/>
      <c r="S196" s="287"/>
      <c r="T196" s="287"/>
      <c r="U196" s="287"/>
      <c r="V196" s="287"/>
      <c r="W196" s="287"/>
      <c r="X196" s="287"/>
      <c r="Y196" s="287"/>
      <c r="Z196" s="287"/>
      <c r="AA196" s="287"/>
      <c r="AB196" s="287"/>
      <c r="AC196" s="287"/>
      <c r="AD196" s="287"/>
      <c r="AE196" s="287"/>
      <c r="AF196" s="287"/>
      <c r="AG196" s="287"/>
      <c r="AH196" s="287"/>
      <c r="AI196" s="287"/>
      <c r="AJ196" s="287"/>
      <c r="AK196" s="287"/>
      <c r="AL196" s="287"/>
      <c r="AM196" s="287"/>
      <c r="AN196" s="287"/>
      <c r="AO196" s="287"/>
      <c r="AP196" s="287"/>
      <c r="AQ196" s="287"/>
      <c r="AR196" s="287"/>
      <c r="AS196" s="287"/>
      <c r="AT196" s="287"/>
      <c r="AU196" s="287"/>
      <c r="AV196" s="287"/>
      <c r="AW196" s="287"/>
      <c r="AX196" s="287"/>
      <c r="AY196" s="287"/>
      <c r="AZ196" s="287"/>
      <c r="BA196" s="287"/>
      <c r="BB196" s="287"/>
      <c r="BC196" s="287"/>
    </row>
    <row r="197" ht="15.75" customHeight="1">
      <c r="A197" s="287"/>
      <c r="B197" s="287"/>
      <c r="C197" s="287"/>
      <c r="D197" s="287"/>
      <c r="E197" s="287"/>
      <c r="F197" s="287"/>
      <c r="G197" s="287"/>
      <c r="H197" s="287"/>
      <c r="I197" s="287"/>
      <c r="J197" s="287"/>
      <c r="K197" s="287"/>
      <c r="L197" s="287"/>
      <c r="M197" s="287"/>
      <c r="N197" s="287"/>
      <c r="O197" s="287"/>
      <c r="P197" s="287"/>
      <c r="Q197" s="287"/>
      <c r="R197" s="287"/>
      <c r="S197" s="287"/>
      <c r="T197" s="287"/>
      <c r="U197" s="287"/>
      <c r="V197" s="287"/>
      <c r="W197" s="287"/>
      <c r="X197" s="287"/>
      <c r="Y197" s="287"/>
      <c r="Z197" s="287"/>
      <c r="AA197" s="287"/>
      <c r="AB197" s="287"/>
      <c r="AC197" s="287"/>
      <c r="AD197" s="287"/>
      <c r="AE197" s="287"/>
      <c r="AF197" s="287"/>
      <c r="AG197" s="287"/>
      <c r="AH197" s="287"/>
      <c r="AI197" s="287"/>
      <c r="AJ197" s="287"/>
      <c r="AK197" s="287"/>
      <c r="AL197" s="287"/>
      <c r="AM197" s="287"/>
      <c r="AN197" s="287"/>
      <c r="AO197" s="287"/>
      <c r="AP197" s="287"/>
      <c r="AQ197" s="287"/>
      <c r="AR197" s="287"/>
      <c r="AS197" s="287"/>
      <c r="AT197" s="287"/>
      <c r="AU197" s="287"/>
      <c r="AV197" s="287"/>
      <c r="AW197" s="287"/>
      <c r="AX197" s="287"/>
      <c r="AY197" s="287"/>
      <c r="AZ197" s="287"/>
      <c r="BA197" s="287"/>
      <c r="BB197" s="287"/>
      <c r="BC197" s="287"/>
    </row>
    <row r="198" ht="15.75" customHeight="1">
      <c r="A198" s="287"/>
      <c r="B198" s="287"/>
      <c r="C198" s="287"/>
      <c r="D198" s="287"/>
      <c r="E198" s="287"/>
      <c r="F198" s="287"/>
      <c r="G198" s="287"/>
      <c r="H198" s="287"/>
      <c r="I198" s="287"/>
      <c r="J198" s="287"/>
      <c r="K198" s="287"/>
      <c r="L198" s="287"/>
      <c r="M198" s="287"/>
      <c r="N198" s="287"/>
      <c r="O198" s="287"/>
      <c r="P198" s="287"/>
      <c r="Q198" s="287"/>
      <c r="R198" s="287"/>
      <c r="S198" s="287"/>
      <c r="T198" s="287"/>
      <c r="U198" s="287"/>
      <c r="V198" s="287"/>
      <c r="W198" s="287"/>
      <c r="X198" s="287"/>
      <c r="Y198" s="287"/>
      <c r="Z198" s="287"/>
      <c r="AA198" s="287"/>
      <c r="AB198" s="287"/>
      <c r="AC198" s="287"/>
      <c r="AD198" s="287"/>
      <c r="AE198" s="287"/>
      <c r="AF198" s="287"/>
      <c r="AG198" s="287"/>
      <c r="AH198" s="287"/>
      <c r="AI198" s="287"/>
      <c r="AJ198" s="287"/>
      <c r="AK198" s="287"/>
      <c r="AL198" s="287"/>
      <c r="AM198" s="287"/>
      <c r="AN198" s="287"/>
      <c r="AO198" s="287"/>
      <c r="AP198" s="287"/>
      <c r="AQ198" s="287"/>
      <c r="AR198" s="287"/>
      <c r="AS198" s="287"/>
      <c r="AT198" s="287"/>
      <c r="AU198" s="287"/>
      <c r="AV198" s="287"/>
      <c r="AW198" s="287"/>
      <c r="AX198" s="287"/>
      <c r="AY198" s="287"/>
      <c r="AZ198" s="287"/>
      <c r="BA198" s="287"/>
      <c r="BB198" s="287"/>
      <c r="BC198" s="287"/>
    </row>
    <row r="199" ht="15.75" customHeight="1">
      <c r="A199" s="287"/>
      <c r="B199" s="287"/>
      <c r="C199" s="287"/>
      <c r="D199" s="287"/>
      <c r="E199" s="287"/>
      <c r="F199" s="287"/>
      <c r="G199" s="287"/>
      <c r="H199" s="287"/>
      <c r="I199" s="287"/>
      <c r="J199" s="287"/>
      <c r="K199" s="287"/>
      <c r="L199" s="287"/>
      <c r="M199" s="287"/>
      <c r="N199" s="287"/>
      <c r="O199" s="287"/>
      <c r="P199" s="287"/>
      <c r="Q199" s="287"/>
      <c r="R199" s="287"/>
      <c r="S199" s="287"/>
      <c r="T199" s="287"/>
      <c r="U199" s="287"/>
      <c r="V199" s="287"/>
      <c r="W199" s="287"/>
      <c r="X199" s="287"/>
      <c r="Y199" s="287"/>
      <c r="Z199" s="287"/>
      <c r="AA199" s="287"/>
      <c r="AB199" s="287"/>
      <c r="AC199" s="287"/>
      <c r="AD199" s="287"/>
      <c r="AE199" s="287"/>
      <c r="AF199" s="287"/>
      <c r="AG199" s="287"/>
      <c r="AH199" s="287"/>
      <c r="AI199" s="287"/>
      <c r="AJ199" s="287"/>
      <c r="AK199" s="287"/>
      <c r="AL199" s="287"/>
      <c r="AM199" s="287"/>
      <c r="AN199" s="287"/>
      <c r="AO199" s="287"/>
      <c r="AP199" s="287"/>
      <c r="AQ199" s="287"/>
      <c r="AR199" s="287"/>
      <c r="AS199" s="287"/>
      <c r="AT199" s="287"/>
      <c r="AU199" s="287"/>
      <c r="AV199" s="287"/>
      <c r="AW199" s="287"/>
      <c r="AX199" s="287"/>
      <c r="AY199" s="287"/>
      <c r="AZ199" s="287"/>
      <c r="BA199" s="287"/>
      <c r="BB199" s="287"/>
      <c r="BC199" s="287"/>
    </row>
    <row r="200" ht="15.75" customHeight="1">
      <c r="A200" s="287"/>
      <c r="B200" s="287"/>
      <c r="C200" s="287"/>
      <c r="D200" s="287"/>
      <c r="E200" s="287"/>
      <c r="F200" s="287"/>
      <c r="G200" s="287"/>
      <c r="H200" s="287"/>
      <c r="I200" s="287"/>
      <c r="J200" s="287"/>
      <c r="K200" s="287"/>
      <c r="L200" s="287"/>
      <c r="M200" s="287"/>
      <c r="N200" s="287"/>
      <c r="O200" s="287"/>
      <c r="P200" s="287"/>
      <c r="Q200" s="287"/>
      <c r="R200" s="287"/>
      <c r="S200" s="287"/>
      <c r="T200" s="287"/>
      <c r="U200" s="287"/>
      <c r="V200" s="287"/>
      <c r="W200" s="287"/>
      <c r="X200" s="287"/>
      <c r="Y200" s="287"/>
      <c r="Z200" s="287"/>
      <c r="AA200" s="287"/>
      <c r="AB200" s="287"/>
      <c r="AC200" s="287"/>
      <c r="AD200" s="287"/>
      <c r="AE200" s="287"/>
      <c r="AF200" s="287"/>
      <c r="AG200" s="287"/>
      <c r="AH200" s="287"/>
      <c r="AI200" s="287"/>
      <c r="AJ200" s="287"/>
      <c r="AK200" s="287"/>
      <c r="AL200" s="287"/>
      <c r="AM200" s="287"/>
      <c r="AN200" s="287"/>
      <c r="AO200" s="287"/>
      <c r="AP200" s="287"/>
      <c r="AQ200" s="287"/>
      <c r="AR200" s="287"/>
      <c r="AS200" s="287"/>
      <c r="AT200" s="287"/>
      <c r="AU200" s="287"/>
      <c r="AV200" s="287"/>
      <c r="AW200" s="287"/>
      <c r="AX200" s="287"/>
      <c r="AY200" s="287"/>
      <c r="AZ200" s="287"/>
      <c r="BA200" s="287"/>
      <c r="BB200" s="287"/>
      <c r="BC200" s="287"/>
    </row>
    <row r="201" ht="15.75" customHeight="1">
      <c r="A201" s="287"/>
      <c r="B201" s="287"/>
      <c r="C201" s="287"/>
      <c r="D201" s="287"/>
      <c r="E201" s="287"/>
      <c r="F201" s="287"/>
      <c r="G201" s="287"/>
      <c r="H201" s="287"/>
      <c r="I201" s="287"/>
      <c r="J201" s="287"/>
      <c r="K201" s="287"/>
      <c r="L201" s="287"/>
      <c r="M201" s="287"/>
      <c r="N201" s="287"/>
      <c r="O201" s="287"/>
      <c r="P201" s="287"/>
      <c r="Q201" s="287"/>
      <c r="R201" s="287"/>
      <c r="S201" s="287"/>
      <c r="T201" s="287"/>
      <c r="U201" s="287"/>
      <c r="V201" s="287"/>
      <c r="W201" s="287"/>
      <c r="X201" s="287"/>
      <c r="Y201" s="287"/>
      <c r="Z201" s="287"/>
      <c r="AA201" s="287"/>
      <c r="AB201" s="287"/>
      <c r="AC201" s="287"/>
      <c r="AD201" s="287"/>
      <c r="AE201" s="287"/>
      <c r="AF201" s="287"/>
      <c r="AG201" s="287"/>
      <c r="AH201" s="287"/>
      <c r="AI201" s="287"/>
      <c r="AJ201" s="287"/>
      <c r="AK201" s="287"/>
      <c r="AL201" s="287"/>
      <c r="AM201" s="287"/>
      <c r="AN201" s="287"/>
      <c r="AO201" s="287"/>
      <c r="AP201" s="287"/>
      <c r="AQ201" s="287"/>
      <c r="AR201" s="287"/>
      <c r="AS201" s="287"/>
      <c r="AT201" s="287"/>
      <c r="AU201" s="287"/>
      <c r="AV201" s="287"/>
      <c r="AW201" s="287"/>
      <c r="AX201" s="287"/>
      <c r="AY201" s="287"/>
      <c r="AZ201" s="287"/>
      <c r="BA201" s="287"/>
      <c r="BB201" s="287"/>
      <c r="BC201" s="287"/>
    </row>
    <row r="202" ht="15.75" customHeight="1">
      <c r="A202" s="287"/>
      <c r="B202" s="287"/>
      <c r="C202" s="287"/>
      <c r="D202" s="287"/>
      <c r="E202" s="287"/>
      <c r="F202" s="287"/>
      <c r="G202" s="287"/>
      <c r="H202" s="287"/>
      <c r="I202" s="287"/>
      <c r="J202" s="287"/>
      <c r="K202" s="287"/>
      <c r="L202" s="287"/>
      <c r="M202" s="287"/>
      <c r="N202" s="287"/>
      <c r="O202" s="287"/>
      <c r="P202" s="287"/>
      <c r="Q202" s="287"/>
      <c r="R202" s="287"/>
      <c r="S202" s="287"/>
      <c r="T202" s="287"/>
      <c r="U202" s="287"/>
      <c r="V202" s="287"/>
      <c r="W202" s="287"/>
      <c r="X202" s="287"/>
      <c r="Y202" s="287"/>
      <c r="Z202" s="287"/>
      <c r="AA202" s="287"/>
      <c r="AB202" s="287"/>
      <c r="AC202" s="287"/>
      <c r="AD202" s="287"/>
      <c r="AE202" s="287"/>
      <c r="AF202" s="287"/>
      <c r="AG202" s="287"/>
      <c r="AH202" s="287"/>
      <c r="AI202" s="287"/>
      <c r="AJ202" s="287"/>
      <c r="AK202" s="287"/>
      <c r="AL202" s="287"/>
      <c r="AM202" s="287"/>
      <c r="AN202" s="287"/>
      <c r="AO202" s="287"/>
      <c r="AP202" s="287"/>
      <c r="AQ202" s="287"/>
      <c r="AR202" s="287"/>
      <c r="AS202" s="287"/>
      <c r="AT202" s="287"/>
      <c r="AU202" s="287"/>
      <c r="AV202" s="287"/>
      <c r="AW202" s="287"/>
      <c r="AX202" s="287"/>
      <c r="AY202" s="287"/>
      <c r="AZ202" s="287"/>
      <c r="BA202" s="287"/>
      <c r="BB202" s="287"/>
      <c r="BC202" s="287"/>
    </row>
    <row r="203" ht="15.75" customHeight="1">
      <c r="A203" s="287"/>
      <c r="B203" s="287"/>
      <c r="C203" s="287"/>
      <c r="D203" s="287"/>
      <c r="E203" s="287"/>
      <c r="F203" s="287"/>
      <c r="G203" s="287"/>
      <c r="H203" s="287"/>
      <c r="I203" s="287"/>
      <c r="J203" s="287"/>
      <c r="K203" s="287"/>
      <c r="L203" s="287"/>
      <c r="M203" s="287"/>
      <c r="N203" s="287"/>
      <c r="O203" s="287"/>
      <c r="P203" s="287"/>
      <c r="Q203" s="287"/>
      <c r="R203" s="287"/>
      <c r="S203" s="287"/>
      <c r="T203" s="287"/>
      <c r="U203" s="287"/>
      <c r="V203" s="287"/>
      <c r="W203" s="287"/>
      <c r="X203" s="287"/>
      <c r="Y203" s="287"/>
      <c r="Z203" s="287"/>
      <c r="AA203" s="287"/>
      <c r="AB203" s="287"/>
      <c r="AC203" s="287"/>
      <c r="AD203" s="287"/>
      <c r="AE203" s="287"/>
      <c r="AF203" s="287"/>
      <c r="AG203" s="287"/>
      <c r="AH203" s="287"/>
      <c r="AI203" s="287"/>
      <c r="AJ203" s="287"/>
      <c r="AK203" s="287"/>
      <c r="AL203" s="287"/>
      <c r="AM203" s="287"/>
      <c r="AN203" s="287"/>
      <c r="AO203" s="287"/>
      <c r="AP203" s="287"/>
      <c r="AQ203" s="287"/>
      <c r="AR203" s="287"/>
      <c r="AS203" s="287"/>
      <c r="AT203" s="287"/>
      <c r="AU203" s="287"/>
      <c r="AV203" s="287"/>
      <c r="AW203" s="287"/>
      <c r="AX203" s="287"/>
      <c r="AY203" s="287"/>
      <c r="AZ203" s="287"/>
      <c r="BA203" s="287"/>
      <c r="BB203" s="287"/>
      <c r="BC203" s="287"/>
    </row>
    <row r="204" ht="15.75" customHeight="1">
      <c r="A204" s="287"/>
      <c r="B204" s="287"/>
      <c r="C204" s="287"/>
      <c r="D204" s="287"/>
      <c r="E204" s="287"/>
      <c r="F204" s="287"/>
      <c r="G204" s="287"/>
      <c r="H204" s="287"/>
      <c r="I204" s="287"/>
      <c r="J204" s="287"/>
      <c r="K204" s="287"/>
      <c r="L204" s="287"/>
      <c r="M204" s="287"/>
      <c r="N204" s="287"/>
      <c r="O204" s="287"/>
      <c r="P204" s="287"/>
      <c r="Q204" s="287"/>
      <c r="R204" s="287"/>
      <c r="S204" s="287"/>
      <c r="T204" s="287"/>
      <c r="U204" s="287"/>
      <c r="V204" s="287"/>
      <c r="W204" s="287"/>
      <c r="X204" s="287"/>
      <c r="Y204" s="287"/>
      <c r="Z204" s="287"/>
      <c r="AA204" s="287"/>
      <c r="AB204" s="287"/>
      <c r="AC204" s="287"/>
      <c r="AD204" s="287"/>
      <c r="AE204" s="287"/>
      <c r="AF204" s="287"/>
      <c r="AG204" s="287"/>
      <c r="AH204" s="287"/>
      <c r="AI204" s="287"/>
      <c r="AJ204" s="287"/>
      <c r="AK204" s="287"/>
      <c r="AL204" s="287"/>
      <c r="AM204" s="287"/>
      <c r="AN204" s="287"/>
      <c r="AO204" s="287"/>
      <c r="AP204" s="287"/>
      <c r="AQ204" s="287"/>
      <c r="AR204" s="287"/>
      <c r="AS204" s="287"/>
      <c r="AT204" s="287"/>
      <c r="AU204" s="287"/>
      <c r="AV204" s="287"/>
      <c r="AW204" s="287"/>
      <c r="AX204" s="287"/>
      <c r="AY204" s="287"/>
      <c r="AZ204" s="287"/>
      <c r="BA204" s="287"/>
      <c r="BB204" s="287"/>
      <c r="BC204" s="287"/>
    </row>
    <row r="205" ht="15.75" customHeight="1">
      <c r="A205" s="287"/>
      <c r="B205" s="287"/>
      <c r="C205" s="287"/>
      <c r="D205" s="287"/>
      <c r="E205" s="287"/>
      <c r="F205" s="287"/>
      <c r="G205" s="287"/>
      <c r="H205" s="287"/>
      <c r="I205" s="287"/>
      <c r="J205" s="287"/>
      <c r="K205" s="287"/>
      <c r="L205" s="287"/>
      <c r="M205" s="287"/>
      <c r="N205" s="287"/>
      <c r="O205" s="287"/>
      <c r="P205" s="287"/>
      <c r="Q205" s="287"/>
      <c r="R205" s="287"/>
      <c r="S205" s="287"/>
      <c r="T205" s="287"/>
      <c r="U205" s="287"/>
      <c r="V205" s="287"/>
      <c r="W205" s="287"/>
      <c r="X205" s="287"/>
      <c r="Y205" s="287"/>
      <c r="Z205" s="287"/>
      <c r="AA205" s="287"/>
      <c r="AB205" s="287"/>
      <c r="AC205" s="287"/>
      <c r="AD205" s="287"/>
      <c r="AE205" s="287"/>
      <c r="AF205" s="287"/>
      <c r="AG205" s="287"/>
      <c r="AH205" s="287"/>
      <c r="AI205" s="287"/>
      <c r="AJ205" s="287"/>
      <c r="AK205" s="287"/>
      <c r="AL205" s="287"/>
      <c r="AM205" s="287"/>
      <c r="AN205" s="287"/>
      <c r="AO205" s="287"/>
      <c r="AP205" s="287"/>
      <c r="AQ205" s="287"/>
      <c r="AR205" s="287"/>
      <c r="AS205" s="287"/>
      <c r="AT205" s="287"/>
      <c r="AU205" s="287"/>
      <c r="AV205" s="287"/>
      <c r="AW205" s="287"/>
      <c r="AX205" s="287"/>
      <c r="AY205" s="287"/>
      <c r="AZ205" s="287"/>
      <c r="BA205" s="287"/>
      <c r="BB205" s="287"/>
      <c r="BC205" s="287"/>
    </row>
    <row r="206" ht="15.75" customHeight="1">
      <c r="A206" s="287"/>
      <c r="B206" s="287"/>
      <c r="C206" s="287"/>
      <c r="D206" s="287"/>
      <c r="E206" s="287"/>
      <c r="F206" s="287"/>
      <c r="G206" s="287"/>
      <c r="H206" s="287"/>
      <c r="I206" s="287"/>
      <c r="J206" s="287"/>
      <c r="K206" s="287"/>
      <c r="L206" s="287"/>
      <c r="M206" s="287"/>
      <c r="N206" s="287"/>
      <c r="O206" s="287"/>
      <c r="P206" s="287"/>
      <c r="Q206" s="287"/>
      <c r="R206" s="287"/>
      <c r="S206" s="287"/>
      <c r="T206" s="287"/>
      <c r="U206" s="287"/>
      <c r="V206" s="287"/>
      <c r="W206" s="287"/>
      <c r="X206" s="287"/>
      <c r="Y206" s="287"/>
      <c r="Z206" s="287"/>
      <c r="AA206" s="287"/>
      <c r="AB206" s="287"/>
      <c r="AC206" s="287"/>
      <c r="AD206" s="287"/>
      <c r="AE206" s="287"/>
      <c r="AF206" s="287"/>
      <c r="AG206" s="287"/>
      <c r="AH206" s="287"/>
      <c r="AI206" s="287"/>
      <c r="AJ206" s="287"/>
      <c r="AK206" s="287"/>
      <c r="AL206" s="287"/>
      <c r="AM206" s="287"/>
      <c r="AN206" s="287"/>
      <c r="AO206" s="287"/>
      <c r="AP206" s="287"/>
      <c r="AQ206" s="287"/>
      <c r="AR206" s="287"/>
      <c r="AS206" s="287"/>
      <c r="AT206" s="287"/>
      <c r="AU206" s="287"/>
      <c r="AV206" s="287"/>
      <c r="AW206" s="287"/>
      <c r="AX206" s="287"/>
      <c r="AY206" s="287"/>
      <c r="AZ206" s="287"/>
      <c r="BA206" s="287"/>
      <c r="BB206" s="287"/>
      <c r="BC206" s="287"/>
    </row>
    <row r="207" ht="15.75" customHeight="1">
      <c r="A207" s="287"/>
      <c r="B207" s="287"/>
      <c r="C207" s="287"/>
      <c r="D207" s="287"/>
      <c r="E207" s="287"/>
      <c r="F207" s="287"/>
      <c r="G207" s="287"/>
      <c r="H207" s="287"/>
      <c r="I207" s="287"/>
      <c r="J207" s="287"/>
      <c r="K207" s="287"/>
      <c r="L207" s="287"/>
      <c r="M207" s="287"/>
      <c r="N207" s="287"/>
      <c r="O207" s="287"/>
      <c r="P207" s="287"/>
      <c r="Q207" s="287"/>
      <c r="R207" s="287"/>
      <c r="S207" s="287"/>
      <c r="T207" s="287"/>
      <c r="U207" s="287"/>
      <c r="V207" s="287"/>
      <c r="W207" s="287"/>
      <c r="X207" s="287"/>
      <c r="Y207" s="287"/>
      <c r="Z207" s="287"/>
      <c r="AA207" s="287"/>
      <c r="AB207" s="287"/>
      <c r="AC207" s="287"/>
      <c r="AD207" s="287"/>
      <c r="AE207" s="287"/>
      <c r="AF207" s="287"/>
      <c r="AG207" s="287"/>
      <c r="AH207" s="287"/>
      <c r="AI207" s="287"/>
      <c r="AJ207" s="287"/>
      <c r="AK207" s="287"/>
      <c r="AL207" s="287"/>
      <c r="AM207" s="287"/>
      <c r="AN207" s="287"/>
      <c r="AO207" s="287"/>
      <c r="AP207" s="287"/>
      <c r="AQ207" s="287"/>
      <c r="AR207" s="287"/>
      <c r="AS207" s="287"/>
      <c r="AT207" s="287"/>
      <c r="AU207" s="287"/>
      <c r="AV207" s="287"/>
      <c r="AW207" s="287"/>
      <c r="AX207" s="287"/>
      <c r="AY207" s="287"/>
      <c r="AZ207" s="287"/>
      <c r="BA207" s="287"/>
      <c r="BB207" s="287"/>
      <c r="BC207" s="287"/>
    </row>
    <row r="208" ht="15.75" customHeight="1">
      <c r="A208" s="287"/>
      <c r="B208" s="287"/>
      <c r="C208" s="287"/>
      <c r="D208" s="287"/>
      <c r="E208" s="287"/>
      <c r="F208" s="287"/>
      <c r="G208" s="287"/>
      <c r="H208" s="287"/>
      <c r="I208" s="287"/>
      <c r="J208" s="287"/>
      <c r="K208" s="287"/>
      <c r="L208" s="287"/>
      <c r="M208" s="287"/>
      <c r="N208" s="287"/>
      <c r="O208" s="287"/>
      <c r="P208" s="287"/>
      <c r="Q208" s="287"/>
      <c r="R208" s="287"/>
      <c r="S208" s="287"/>
      <c r="T208" s="287"/>
      <c r="U208" s="287"/>
      <c r="V208" s="287"/>
      <c r="W208" s="287"/>
      <c r="X208" s="287"/>
      <c r="Y208" s="287"/>
      <c r="Z208" s="287"/>
      <c r="AA208" s="287"/>
      <c r="AB208" s="287"/>
      <c r="AC208" s="287"/>
      <c r="AD208" s="287"/>
      <c r="AE208" s="287"/>
      <c r="AF208" s="287"/>
      <c r="AG208" s="287"/>
      <c r="AH208" s="287"/>
      <c r="AI208" s="287"/>
      <c r="AJ208" s="287"/>
      <c r="AK208" s="287"/>
      <c r="AL208" s="287"/>
      <c r="AM208" s="287"/>
      <c r="AN208" s="287"/>
      <c r="AO208" s="287"/>
      <c r="AP208" s="287"/>
      <c r="AQ208" s="287"/>
      <c r="AR208" s="287"/>
      <c r="AS208" s="287"/>
      <c r="AT208" s="287"/>
      <c r="AU208" s="287"/>
      <c r="AV208" s="287"/>
      <c r="AW208" s="287"/>
      <c r="AX208" s="287"/>
      <c r="AY208" s="287"/>
      <c r="AZ208" s="287"/>
      <c r="BA208" s="287"/>
      <c r="BB208" s="287"/>
      <c r="BC208" s="287"/>
    </row>
    <row r="209" ht="15.75" customHeight="1">
      <c r="A209" s="287"/>
      <c r="B209" s="287"/>
      <c r="C209" s="287"/>
      <c r="D209" s="287"/>
      <c r="E209" s="287"/>
      <c r="F209" s="287"/>
      <c r="G209" s="287"/>
      <c r="H209" s="287"/>
      <c r="I209" s="287"/>
      <c r="J209" s="287"/>
      <c r="K209" s="287"/>
      <c r="L209" s="287"/>
      <c r="M209" s="287"/>
      <c r="N209" s="287"/>
      <c r="O209" s="287"/>
      <c r="P209" s="287"/>
      <c r="Q209" s="287"/>
      <c r="R209" s="287"/>
      <c r="S209" s="287"/>
      <c r="T209" s="287"/>
      <c r="U209" s="287"/>
      <c r="V209" s="287"/>
      <c r="W209" s="287"/>
      <c r="X209" s="287"/>
      <c r="Y209" s="287"/>
      <c r="Z209" s="287"/>
      <c r="AA209" s="287"/>
      <c r="AB209" s="287"/>
      <c r="AC209" s="287"/>
      <c r="AD209" s="287"/>
      <c r="AE209" s="287"/>
      <c r="AF209" s="287"/>
      <c r="AG209" s="287"/>
      <c r="AH209" s="287"/>
      <c r="AI209" s="287"/>
      <c r="AJ209" s="287"/>
      <c r="AK209" s="287"/>
      <c r="AL209" s="287"/>
      <c r="AM209" s="287"/>
      <c r="AN209" s="287"/>
      <c r="AO209" s="287"/>
      <c r="AP209" s="287"/>
      <c r="AQ209" s="287"/>
      <c r="AR209" s="287"/>
      <c r="AS209" s="287"/>
      <c r="AT209" s="287"/>
      <c r="AU209" s="287"/>
      <c r="AV209" s="287"/>
      <c r="AW209" s="287"/>
      <c r="AX209" s="287"/>
      <c r="AY209" s="287"/>
      <c r="AZ209" s="287"/>
      <c r="BA209" s="287"/>
      <c r="BB209" s="287"/>
      <c r="BC209" s="287"/>
    </row>
    <row r="210" ht="15.75" customHeight="1">
      <c r="A210" s="287"/>
      <c r="B210" s="287"/>
      <c r="C210" s="287"/>
      <c r="D210" s="287"/>
      <c r="E210" s="287"/>
      <c r="F210" s="287"/>
      <c r="G210" s="287"/>
      <c r="H210" s="287"/>
      <c r="I210" s="287"/>
      <c r="J210" s="287"/>
      <c r="K210" s="287"/>
      <c r="L210" s="287"/>
      <c r="M210" s="287"/>
      <c r="N210" s="287"/>
      <c r="O210" s="287"/>
      <c r="P210" s="287"/>
      <c r="Q210" s="287"/>
      <c r="R210" s="287"/>
      <c r="S210" s="287"/>
      <c r="T210" s="287"/>
      <c r="U210" s="287"/>
      <c r="V210" s="287"/>
      <c r="W210" s="287"/>
      <c r="X210" s="287"/>
      <c r="Y210" s="287"/>
      <c r="Z210" s="287"/>
      <c r="AA210" s="287"/>
      <c r="AB210" s="287"/>
      <c r="AC210" s="287"/>
      <c r="AD210" s="287"/>
      <c r="AE210" s="287"/>
      <c r="AF210" s="287"/>
      <c r="AG210" s="287"/>
      <c r="AH210" s="287"/>
      <c r="AI210" s="287"/>
      <c r="AJ210" s="287"/>
      <c r="AK210" s="287"/>
      <c r="AL210" s="287"/>
      <c r="AM210" s="287"/>
      <c r="AN210" s="287"/>
      <c r="AO210" s="287"/>
      <c r="AP210" s="287"/>
      <c r="AQ210" s="287"/>
      <c r="AR210" s="287"/>
      <c r="AS210" s="287"/>
      <c r="AT210" s="287"/>
      <c r="AU210" s="287"/>
      <c r="AV210" s="287"/>
      <c r="AW210" s="287"/>
      <c r="AX210" s="287"/>
      <c r="AY210" s="287"/>
      <c r="AZ210" s="287"/>
      <c r="BA210" s="287"/>
      <c r="BB210" s="287"/>
      <c r="BC210" s="287"/>
    </row>
    <row r="211" ht="15.75" customHeight="1">
      <c r="A211" s="287"/>
      <c r="B211" s="287"/>
      <c r="C211" s="287"/>
      <c r="D211" s="287"/>
      <c r="E211" s="287"/>
      <c r="F211" s="287"/>
      <c r="G211" s="287"/>
      <c r="H211" s="287"/>
      <c r="I211" s="287"/>
      <c r="J211" s="287"/>
      <c r="K211" s="287"/>
      <c r="L211" s="287"/>
      <c r="M211" s="287"/>
      <c r="N211" s="287"/>
      <c r="O211" s="287"/>
      <c r="P211" s="287"/>
      <c r="Q211" s="287"/>
      <c r="R211" s="287"/>
      <c r="S211" s="287"/>
      <c r="T211" s="287"/>
      <c r="U211" s="287"/>
      <c r="V211" s="287"/>
      <c r="W211" s="287"/>
      <c r="X211" s="287"/>
      <c r="Y211" s="287"/>
      <c r="Z211" s="287"/>
      <c r="AA211" s="287"/>
      <c r="AB211" s="287"/>
      <c r="AC211" s="287"/>
      <c r="AD211" s="287"/>
      <c r="AE211" s="287"/>
      <c r="AF211" s="287"/>
      <c r="AG211" s="287"/>
      <c r="AH211" s="287"/>
      <c r="AI211" s="287"/>
      <c r="AJ211" s="287"/>
      <c r="AK211" s="287"/>
      <c r="AL211" s="287"/>
      <c r="AM211" s="287"/>
      <c r="AN211" s="287"/>
      <c r="AO211" s="287"/>
      <c r="AP211" s="287"/>
      <c r="AQ211" s="287"/>
      <c r="AR211" s="287"/>
      <c r="AS211" s="287"/>
      <c r="AT211" s="287"/>
      <c r="AU211" s="287"/>
      <c r="AV211" s="287"/>
      <c r="AW211" s="287"/>
      <c r="AX211" s="287"/>
      <c r="AY211" s="287"/>
      <c r="AZ211" s="287"/>
      <c r="BA211" s="287"/>
      <c r="BB211" s="287"/>
      <c r="BC211" s="287"/>
    </row>
    <row r="212" ht="15.75" customHeight="1">
      <c r="A212" s="287"/>
      <c r="B212" s="287"/>
      <c r="C212" s="287"/>
      <c r="D212" s="287"/>
      <c r="E212" s="287"/>
      <c r="F212" s="287"/>
      <c r="G212" s="287"/>
      <c r="H212" s="287"/>
      <c r="I212" s="287"/>
      <c r="J212" s="287"/>
      <c r="K212" s="287"/>
      <c r="L212" s="287"/>
      <c r="M212" s="287"/>
      <c r="N212" s="287"/>
      <c r="O212" s="287"/>
      <c r="P212" s="287"/>
      <c r="Q212" s="287"/>
      <c r="R212" s="287"/>
      <c r="S212" s="287"/>
      <c r="T212" s="287"/>
      <c r="U212" s="287"/>
      <c r="V212" s="287"/>
      <c r="W212" s="287"/>
      <c r="X212" s="287"/>
      <c r="Y212" s="287"/>
      <c r="Z212" s="287"/>
      <c r="AA212" s="287"/>
      <c r="AB212" s="287"/>
      <c r="AC212" s="287"/>
      <c r="AD212" s="287"/>
      <c r="AE212" s="287"/>
      <c r="AF212" s="287"/>
      <c r="AG212" s="287"/>
      <c r="AH212" s="287"/>
      <c r="AI212" s="287"/>
      <c r="AJ212" s="287"/>
      <c r="AK212" s="287"/>
      <c r="AL212" s="287"/>
      <c r="AM212" s="287"/>
      <c r="AN212" s="287"/>
      <c r="AO212" s="287"/>
      <c r="AP212" s="287"/>
      <c r="AQ212" s="287"/>
      <c r="AR212" s="287"/>
      <c r="AS212" s="287"/>
      <c r="AT212" s="287"/>
      <c r="AU212" s="287"/>
      <c r="AV212" s="287"/>
      <c r="AW212" s="287"/>
      <c r="AX212" s="287"/>
      <c r="AY212" s="287"/>
      <c r="AZ212" s="287"/>
      <c r="BA212" s="287"/>
      <c r="BB212" s="287"/>
      <c r="BC212" s="287"/>
    </row>
    <row r="213" ht="15.75" customHeight="1">
      <c r="A213" s="287"/>
      <c r="B213" s="287"/>
      <c r="C213" s="287"/>
      <c r="D213" s="287"/>
      <c r="E213" s="287"/>
      <c r="F213" s="287"/>
      <c r="G213" s="287"/>
      <c r="H213" s="287"/>
      <c r="I213" s="287"/>
      <c r="J213" s="287"/>
      <c r="K213" s="287"/>
      <c r="L213" s="287"/>
      <c r="M213" s="287"/>
      <c r="N213" s="287"/>
      <c r="O213" s="287"/>
      <c r="P213" s="287"/>
      <c r="Q213" s="287"/>
      <c r="R213" s="287"/>
      <c r="S213" s="287"/>
      <c r="T213" s="287"/>
      <c r="U213" s="287"/>
      <c r="V213" s="287"/>
      <c r="W213" s="287"/>
      <c r="X213" s="287"/>
      <c r="Y213" s="287"/>
      <c r="Z213" s="287"/>
      <c r="AA213" s="287"/>
      <c r="AB213" s="287"/>
      <c r="AC213" s="287"/>
      <c r="AD213" s="287"/>
      <c r="AE213" s="287"/>
      <c r="AF213" s="287"/>
      <c r="AG213" s="287"/>
      <c r="AH213" s="287"/>
      <c r="AI213" s="287"/>
      <c r="AJ213" s="287"/>
      <c r="AK213" s="287"/>
      <c r="AL213" s="287"/>
      <c r="AM213" s="287"/>
      <c r="AN213" s="287"/>
      <c r="AO213" s="287"/>
      <c r="AP213" s="287"/>
      <c r="AQ213" s="287"/>
      <c r="AR213" s="287"/>
      <c r="AS213" s="287"/>
      <c r="AT213" s="287"/>
      <c r="AU213" s="287"/>
      <c r="AV213" s="287"/>
      <c r="AW213" s="287"/>
      <c r="AX213" s="287"/>
      <c r="AY213" s="287"/>
      <c r="AZ213" s="287"/>
      <c r="BA213" s="287"/>
      <c r="BB213" s="287"/>
      <c r="BC213" s="287"/>
    </row>
    <row r="214" ht="15.75" customHeight="1">
      <c r="A214" s="287"/>
      <c r="B214" s="287"/>
      <c r="C214" s="287"/>
      <c r="D214" s="287"/>
      <c r="E214" s="287"/>
      <c r="F214" s="287"/>
      <c r="G214" s="287"/>
      <c r="H214" s="287"/>
      <c r="I214" s="287"/>
      <c r="J214" s="287"/>
      <c r="K214" s="287"/>
      <c r="L214" s="287"/>
      <c r="M214" s="287"/>
      <c r="N214" s="287"/>
      <c r="O214" s="287"/>
      <c r="P214" s="287"/>
      <c r="Q214" s="287"/>
      <c r="R214" s="287"/>
      <c r="S214" s="287"/>
      <c r="T214" s="287"/>
      <c r="U214" s="287"/>
      <c r="V214" s="287"/>
      <c r="W214" s="287"/>
      <c r="X214" s="287"/>
      <c r="Y214" s="287"/>
      <c r="Z214" s="287"/>
      <c r="AA214" s="287"/>
      <c r="AB214" s="287"/>
      <c r="AC214" s="287"/>
      <c r="AD214" s="287"/>
      <c r="AE214" s="287"/>
      <c r="AF214" s="287"/>
      <c r="AG214" s="287"/>
      <c r="AH214" s="287"/>
      <c r="AI214" s="287"/>
      <c r="AJ214" s="287"/>
      <c r="AK214" s="287"/>
      <c r="AL214" s="287"/>
      <c r="AM214" s="287"/>
      <c r="AN214" s="287"/>
      <c r="AO214" s="287"/>
      <c r="AP214" s="287"/>
      <c r="AQ214" s="287"/>
      <c r="AR214" s="287"/>
      <c r="AS214" s="287"/>
      <c r="AT214" s="287"/>
      <c r="AU214" s="287"/>
      <c r="AV214" s="287"/>
      <c r="AW214" s="287"/>
      <c r="AX214" s="287"/>
      <c r="AY214" s="287"/>
      <c r="AZ214" s="287"/>
      <c r="BA214" s="287"/>
      <c r="BB214" s="287"/>
      <c r="BC214" s="287"/>
    </row>
    <row r="215" ht="15.75" customHeight="1">
      <c r="A215" s="287"/>
      <c r="B215" s="287"/>
      <c r="C215" s="287"/>
      <c r="D215" s="287"/>
      <c r="E215" s="287"/>
      <c r="F215" s="287"/>
      <c r="G215" s="287"/>
      <c r="H215" s="287"/>
      <c r="I215" s="287"/>
      <c r="J215" s="287"/>
      <c r="K215" s="287"/>
      <c r="L215" s="287"/>
      <c r="M215" s="287"/>
      <c r="N215" s="287"/>
      <c r="O215" s="287"/>
      <c r="P215" s="287"/>
      <c r="Q215" s="287"/>
      <c r="R215" s="287"/>
      <c r="S215" s="287"/>
      <c r="T215" s="287"/>
      <c r="U215" s="287"/>
      <c r="V215" s="287"/>
      <c r="W215" s="287"/>
      <c r="X215" s="287"/>
      <c r="Y215" s="287"/>
      <c r="Z215" s="287"/>
      <c r="AA215" s="287"/>
      <c r="AB215" s="287"/>
      <c r="AC215" s="287"/>
      <c r="AD215" s="287"/>
      <c r="AE215" s="287"/>
      <c r="AF215" s="287"/>
      <c r="AG215" s="287"/>
      <c r="AH215" s="287"/>
      <c r="AI215" s="287"/>
      <c r="AJ215" s="287"/>
      <c r="AK215" s="287"/>
      <c r="AL215" s="287"/>
      <c r="AM215" s="287"/>
      <c r="AN215" s="287"/>
      <c r="AO215" s="287"/>
      <c r="AP215" s="287"/>
      <c r="AQ215" s="287"/>
      <c r="AR215" s="287"/>
      <c r="AS215" s="287"/>
      <c r="AT215" s="287"/>
      <c r="AU215" s="287"/>
      <c r="AV215" s="287"/>
      <c r="AW215" s="287"/>
      <c r="AX215" s="287"/>
      <c r="AY215" s="287"/>
      <c r="AZ215" s="287"/>
      <c r="BA215" s="287"/>
      <c r="BB215" s="287"/>
      <c r="BC215" s="287"/>
    </row>
    <row r="216" ht="15.75" customHeight="1">
      <c r="A216" s="287"/>
      <c r="B216" s="287"/>
      <c r="C216" s="287"/>
      <c r="D216" s="287"/>
      <c r="E216" s="287"/>
      <c r="F216" s="287"/>
      <c r="G216" s="287"/>
      <c r="H216" s="287"/>
      <c r="I216" s="287"/>
      <c r="J216" s="287"/>
      <c r="K216" s="287"/>
      <c r="L216" s="287"/>
      <c r="M216" s="287"/>
      <c r="N216" s="287"/>
      <c r="O216" s="287"/>
      <c r="P216" s="287"/>
      <c r="Q216" s="287"/>
      <c r="R216" s="287"/>
      <c r="S216" s="287"/>
      <c r="T216" s="287"/>
      <c r="U216" s="287"/>
      <c r="V216" s="287"/>
      <c r="W216" s="287"/>
      <c r="X216" s="287"/>
      <c r="Y216" s="287"/>
      <c r="Z216" s="287"/>
      <c r="AA216" s="287"/>
      <c r="AB216" s="287"/>
      <c r="AC216" s="287"/>
      <c r="AD216" s="287"/>
      <c r="AE216" s="287"/>
      <c r="AF216" s="287"/>
      <c r="AG216" s="287"/>
      <c r="AH216" s="287"/>
      <c r="AI216" s="287"/>
      <c r="AJ216" s="287"/>
      <c r="AK216" s="287"/>
      <c r="AL216" s="287"/>
      <c r="AM216" s="287"/>
      <c r="AN216" s="287"/>
      <c r="AO216" s="287"/>
      <c r="AP216" s="287"/>
      <c r="AQ216" s="287"/>
      <c r="AR216" s="287"/>
      <c r="AS216" s="287"/>
      <c r="AT216" s="287"/>
      <c r="AU216" s="287"/>
      <c r="AV216" s="287"/>
      <c r="AW216" s="287"/>
      <c r="AX216" s="287"/>
      <c r="AY216" s="287"/>
      <c r="AZ216" s="287"/>
      <c r="BA216" s="287"/>
      <c r="BB216" s="287"/>
      <c r="BC216" s="287"/>
    </row>
    <row r="217" ht="15.75" customHeight="1">
      <c r="A217" s="287"/>
      <c r="B217" s="287"/>
      <c r="C217" s="287"/>
      <c r="D217" s="287"/>
      <c r="E217" s="287"/>
      <c r="F217" s="287"/>
      <c r="G217" s="287"/>
      <c r="H217" s="287"/>
      <c r="I217" s="287"/>
      <c r="J217" s="287"/>
      <c r="K217" s="287"/>
      <c r="L217" s="287"/>
      <c r="M217" s="287"/>
      <c r="N217" s="287"/>
      <c r="O217" s="287"/>
      <c r="P217" s="287"/>
      <c r="Q217" s="287"/>
      <c r="R217" s="287"/>
      <c r="S217" s="287"/>
      <c r="T217" s="287"/>
      <c r="U217" s="287"/>
      <c r="V217" s="287"/>
      <c r="W217" s="287"/>
      <c r="X217" s="287"/>
      <c r="Y217" s="287"/>
      <c r="Z217" s="287"/>
      <c r="AA217" s="287"/>
      <c r="AB217" s="287"/>
      <c r="AC217" s="287"/>
      <c r="AD217" s="287"/>
      <c r="AE217" s="287"/>
      <c r="AF217" s="287"/>
      <c r="AG217" s="287"/>
      <c r="AH217" s="287"/>
      <c r="AI217" s="287"/>
      <c r="AJ217" s="287"/>
      <c r="AK217" s="287"/>
      <c r="AL217" s="287"/>
      <c r="AM217" s="287"/>
      <c r="AN217" s="287"/>
      <c r="AO217" s="287"/>
      <c r="AP217" s="287"/>
      <c r="AQ217" s="287"/>
      <c r="AR217" s="287"/>
      <c r="AS217" s="287"/>
      <c r="AT217" s="287"/>
      <c r="AU217" s="287"/>
      <c r="AV217" s="287"/>
      <c r="AW217" s="287"/>
      <c r="AX217" s="287"/>
      <c r="AY217" s="287"/>
      <c r="AZ217" s="287"/>
      <c r="BA217" s="287"/>
      <c r="BB217" s="287"/>
      <c r="BC217" s="287"/>
    </row>
    <row r="218" ht="15.75" customHeight="1">
      <c r="A218" s="287"/>
      <c r="B218" s="287"/>
      <c r="C218" s="287"/>
      <c r="D218" s="287"/>
      <c r="E218" s="287"/>
      <c r="F218" s="287"/>
      <c r="G218" s="287"/>
      <c r="H218" s="287"/>
      <c r="I218" s="287"/>
      <c r="J218" s="287"/>
      <c r="K218" s="287"/>
      <c r="L218" s="287"/>
      <c r="M218" s="287"/>
      <c r="N218" s="287"/>
      <c r="O218" s="287"/>
      <c r="P218" s="287"/>
      <c r="Q218" s="287"/>
      <c r="R218" s="287"/>
      <c r="S218" s="287"/>
      <c r="T218" s="287"/>
      <c r="U218" s="287"/>
      <c r="V218" s="287"/>
      <c r="W218" s="287"/>
      <c r="X218" s="287"/>
      <c r="Y218" s="287"/>
      <c r="Z218" s="287"/>
      <c r="AA218" s="287"/>
      <c r="AB218" s="287"/>
      <c r="AC218" s="287"/>
      <c r="AD218" s="287"/>
      <c r="AE218" s="287"/>
      <c r="AF218" s="287"/>
      <c r="AG218" s="287"/>
      <c r="AH218" s="287"/>
      <c r="AI218" s="287"/>
      <c r="AJ218" s="287"/>
      <c r="AK218" s="287"/>
      <c r="AL218" s="287"/>
      <c r="AM218" s="287"/>
      <c r="AN218" s="287"/>
      <c r="AO218" s="287"/>
      <c r="AP218" s="287"/>
      <c r="AQ218" s="287"/>
      <c r="AR218" s="287"/>
      <c r="AS218" s="287"/>
      <c r="AT218" s="287"/>
      <c r="AU218" s="287"/>
      <c r="AV218" s="287"/>
      <c r="AW218" s="287"/>
      <c r="AX218" s="287"/>
      <c r="AY218" s="287"/>
      <c r="AZ218" s="287"/>
      <c r="BA218" s="287"/>
      <c r="BB218" s="287"/>
      <c r="BC218" s="287"/>
    </row>
    <row r="219" ht="15.75" customHeight="1">
      <c r="A219" s="287"/>
      <c r="B219" s="287"/>
      <c r="C219" s="287"/>
      <c r="D219" s="287"/>
      <c r="E219" s="287"/>
      <c r="F219" s="287"/>
      <c r="G219" s="287"/>
      <c r="H219" s="287"/>
      <c r="I219" s="287"/>
      <c r="J219" s="287"/>
      <c r="K219" s="287"/>
      <c r="L219" s="287"/>
      <c r="M219" s="287"/>
      <c r="N219" s="287"/>
      <c r="O219" s="287"/>
      <c r="P219" s="287"/>
      <c r="Q219" s="287"/>
      <c r="R219" s="287"/>
      <c r="S219" s="287"/>
      <c r="T219" s="287"/>
      <c r="U219" s="287"/>
      <c r="V219" s="287"/>
      <c r="W219" s="287"/>
      <c r="X219" s="287"/>
      <c r="Y219" s="287"/>
      <c r="Z219" s="287"/>
      <c r="AA219" s="287"/>
      <c r="AB219" s="287"/>
      <c r="AC219" s="287"/>
      <c r="AD219" s="287"/>
      <c r="AE219" s="287"/>
      <c r="AF219" s="287"/>
      <c r="AG219" s="287"/>
      <c r="AH219" s="287"/>
      <c r="AI219" s="287"/>
      <c r="AJ219" s="287"/>
      <c r="AK219" s="287"/>
      <c r="AL219" s="287"/>
      <c r="AM219" s="287"/>
      <c r="AN219" s="287"/>
      <c r="AO219" s="287"/>
      <c r="AP219" s="287"/>
      <c r="AQ219" s="287"/>
      <c r="AR219" s="287"/>
      <c r="AS219" s="287"/>
      <c r="AT219" s="287"/>
      <c r="AU219" s="287"/>
      <c r="AV219" s="287"/>
      <c r="AW219" s="287"/>
      <c r="AX219" s="287"/>
      <c r="AY219" s="287"/>
      <c r="AZ219" s="287"/>
      <c r="BA219" s="287"/>
      <c r="BB219" s="287"/>
      <c r="BC219" s="287"/>
    </row>
    <row r="220" ht="15.75" customHeight="1">
      <c r="A220" s="287"/>
      <c r="B220" s="287"/>
      <c r="C220" s="287"/>
      <c r="D220" s="287"/>
      <c r="E220" s="287"/>
      <c r="F220" s="287"/>
      <c r="G220" s="287"/>
      <c r="H220" s="287"/>
      <c r="I220" s="287"/>
      <c r="J220" s="287"/>
      <c r="K220" s="287"/>
      <c r="L220" s="287"/>
      <c r="M220" s="287"/>
      <c r="N220" s="287"/>
      <c r="O220" s="287"/>
      <c r="P220" s="287"/>
      <c r="Q220" s="287"/>
      <c r="R220" s="287"/>
      <c r="S220" s="287"/>
      <c r="T220" s="287"/>
      <c r="U220" s="287"/>
      <c r="V220" s="287"/>
      <c r="W220" s="287"/>
      <c r="X220" s="287"/>
      <c r="Y220" s="287"/>
      <c r="Z220" s="287"/>
      <c r="AA220" s="287"/>
      <c r="AB220" s="287"/>
      <c r="AC220" s="287"/>
      <c r="AD220" s="287"/>
      <c r="AE220" s="287"/>
      <c r="AF220" s="287"/>
      <c r="AG220" s="287"/>
      <c r="AH220" s="287"/>
      <c r="AI220" s="287"/>
      <c r="AJ220" s="287"/>
      <c r="AK220" s="287"/>
      <c r="AL220" s="287"/>
      <c r="AM220" s="287"/>
      <c r="AN220" s="287"/>
      <c r="AO220" s="287"/>
      <c r="AP220" s="287"/>
      <c r="AQ220" s="287"/>
      <c r="AR220" s="287"/>
      <c r="AS220" s="287"/>
      <c r="AT220" s="287"/>
      <c r="AU220" s="287"/>
      <c r="AV220" s="287"/>
      <c r="AW220" s="287"/>
      <c r="AX220" s="287"/>
      <c r="AY220" s="287"/>
      <c r="AZ220" s="287"/>
      <c r="BA220" s="287"/>
      <c r="BB220" s="287"/>
      <c r="BC220" s="287"/>
    </row>
    <row r="221" ht="15.75" customHeight="1">
      <c r="A221" s="287"/>
      <c r="B221" s="287"/>
      <c r="C221" s="287"/>
      <c r="D221" s="287"/>
      <c r="E221" s="287"/>
      <c r="F221" s="287"/>
      <c r="G221" s="287"/>
      <c r="H221" s="287"/>
      <c r="I221" s="287"/>
      <c r="J221" s="287"/>
      <c r="K221" s="287"/>
      <c r="L221" s="287"/>
      <c r="M221" s="287"/>
      <c r="N221" s="287"/>
      <c r="O221" s="287"/>
      <c r="P221" s="287"/>
      <c r="Q221" s="287"/>
      <c r="R221" s="287"/>
      <c r="S221" s="287"/>
      <c r="T221" s="287"/>
      <c r="U221" s="287"/>
      <c r="V221" s="287"/>
      <c r="W221" s="287"/>
      <c r="X221" s="287"/>
      <c r="Y221" s="287"/>
      <c r="Z221" s="287"/>
      <c r="AA221" s="287"/>
      <c r="AB221" s="287"/>
      <c r="AC221" s="287"/>
      <c r="AD221" s="287"/>
      <c r="AE221" s="287"/>
      <c r="AF221" s="287"/>
      <c r="AG221" s="287"/>
      <c r="AH221" s="287"/>
      <c r="AI221" s="287"/>
      <c r="AJ221" s="287"/>
      <c r="AK221" s="287"/>
      <c r="AL221" s="287"/>
      <c r="AM221" s="287"/>
      <c r="AN221" s="287"/>
      <c r="AO221" s="287"/>
      <c r="AP221" s="287"/>
      <c r="AQ221" s="287"/>
      <c r="AR221" s="287"/>
      <c r="AS221" s="287"/>
      <c r="AT221" s="287"/>
      <c r="AU221" s="287"/>
      <c r="AV221" s="287"/>
      <c r="AW221" s="287"/>
      <c r="AX221" s="287"/>
      <c r="AY221" s="287"/>
      <c r="AZ221" s="287"/>
      <c r="BA221" s="287"/>
      <c r="BB221" s="287"/>
      <c r="BC221" s="287"/>
    </row>
    <row r="222" ht="15.75" customHeight="1">
      <c r="A222" s="287"/>
      <c r="B222" s="287"/>
      <c r="C222" s="287"/>
      <c r="D222" s="287"/>
      <c r="E222" s="287"/>
      <c r="F222" s="287"/>
      <c r="G222" s="287"/>
      <c r="H222" s="287"/>
      <c r="I222" s="287"/>
      <c r="J222" s="287"/>
      <c r="K222" s="287"/>
      <c r="L222" s="287"/>
      <c r="M222" s="287"/>
      <c r="N222" s="287"/>
      <c r="O222" s="287"/>
      <c r="P222" s="287"/>
      <c r="Q222" s="287"/>
      <c r="R222" s="287"/>
      <c r="S222" s="287"/>
      <c r="T222" s="287"/>
      <c r="U222" s="287"/>
      <c r="V222" s="287"/>
      <c r="W222" s="287"/>
      <c r="X222" s="287"/>
      <c r="Y222" s="287"/>
      <c r="Z222" s="287"/>
      <c r="AA222" s="287"/>
      <c r="AB222" s="287"/>
      <c r="AC222" s="287"/>
      <c r="AD222" s="287"/>
      <c r="AE222" s="287"/>
      <c r="AF222" s="287"/>
      <c r="AG222" s="287"/>
      <c r="AH222" s="287"/>
      <c r="AI222" s="287"/>
      <c r="AJ222" s="287"/>
      <c r="AK222" s="287"/>
      <c r="AL222" s="287"/>
      <c r="AM222" s="287"/>
      <c r="AN222" s="287"/>
      <c r="AO222" s="287"/>
      <c r="AP222" s="287"/>
      <c r="AQ222" s="287"/>
      <c r="AR222" s="287"/>
      <c r="AS222" s="287"/>
      <c r="AT222" s="287"/>
      <c r="AU222" s="287"/>
      <c r="AV222" s="287"/>
      <c r="AW222" s="287"/>
      <c r="AX222" s="287"/>
      <c r="AY222" s="287"/>
      <c r="AZ222" s="287"/>
      <c r="BA222" s="287"/>
      <c r="BB222" s="287"/>
      <c r="BC222" s="287"/>
    </row>
    <row r="223" ht="15.75" customHeight="1">
      <c r="A223" s="287"/>
      <c r="B223" s="287"/>
      <c r="C223" s="287"/>
      <c r="D223" s="287"/>
      <c r="E223" s="287"/>
      <c r="F223" s="287"/>
      <c r="G223" s="287"/>
      <c r="H223" s="287"/>
      <c r="I223" s="287"/>
      <c r="J223" s="287"/>
      <c r="K223" s="287"/>
      <c r="L223" s="287"/>
      <c r="M223" s="287"/>
      <c r="N223" s="287"/>
      <c r="O223" s="287"/>
      <c r="P223" s="287"/>
      <c r="Q223" s="287"/>
      <c r="R223" s="287"/>
      <c r="S223" s="287"/>
      <c r="T223" s="287"/>
      <c r="U223" s="287"/>
      <c r="V223" s="287"/>
      <c r="W223" s="287"/>
      <c r="X223" s="287"/>
      <c r="Y223" s="287"/>
      <c r="Z223" s="287"/>
      <c r="AA223" s="287"/>
      <c r="AB223" s="287"/>
      <c r="AC223" s="287"/>
      <c r="AD223" s="287"/>
      <c r="AE223" s="287"/>
      <c r="AF223" s="287"/>
      <c r="AG223" s="287"/>
      <c r="AH223" s="287"/>
      <c r="AI223" s="287"/>
      <c r="AJ223" s="287"/>
      <c r="AK223" s="287"/>
      <c r="AL223" s="287"/>
      <c r="AM223" s="287"/>
      <c r="AN223" s="287"/>
      <c r="AO223" s="287"/>
      <c r="AP223" s="287"/>
      <c r="AQ223" s="287"/>
      <c r="AR223" s="287"/>
      <c r="AS223" s="287"/>
      <c r="AT223" s="287"/>
      <c r="AU223" s="287"/>
      <c r="AV223" s="287"/>
      <c r="AW223" s="287"/>
      <c r="AX223" s="287"/>
      <c r="AY223" s="287"/>
      <c r="AZ223" s="287"/>
      <c r="BA223" s="287"/>
      <c r="BB223" s="287"/>
      <c r="BC223" s="287"/>
    </row>
    <row r="224" ht="15.75" customHeight="1">
      <c r="A224" s="287"/>
      <c r="B224" s="287"/>
      <c r="C224" s="287"/>
      <c r="D224" s="287"/>
      <c r="E224" s="287"/>
      <c r="F224" s="287"/>
      <c r="G224" s="287"/>
      <c r="H224" s="287"/>
      <c r="I224" s="287"/>
      <c r="J224" s="287"/>
      <c r="K224" s="287"/>
      <c r="L224" s="287"/>
      <c r="M224" s="287"/>
      <c r="N224" s="287"/>
      <c r="O224" s="287"/>
      <c r="P224" s="287"/>
      <c r="Q224" s="287"/>
      <c r="R224" s="287"/>
      <c r="S224" s="287"/>
      <c r="T224" s="287"/>
      <c r="U224" s="287"/>
      <c r="V224" s="287"/>
      <c r="W224" s="287"/>
      <c r="X224" s="287"/>
      <c r="Y224" s="287"/>
      <c r="Z224" s="287"/>
      <c r="AA224" s="287"/>
      <c r="AB224" s="287"/>
      <c r="AC224" s="287"/>
      <c r="AD224" s="287"/>
      <c r="AE224" s="287"/>
      <c r="AF224" s="287"/>
      <c r="AG224" s="287"/>
      <c r="AH224" s="287"/>
      <c r="AI224" s="287"/>
      <c r="AJ224" s="287"/>
      <c r="AK224" s="287"/>
      <c r="AL224" s="287"/>
      <c r="AM224" s="287"/>
      <c r="AN224" s="287"/>
      <c r="AO224" s="287"/>
      <c r="AP224" s="287"/>
      <c r="AQ224" s="287"/>
      <c r="AR224" s="287"/>
      <c r="AS224" s="287"/>
      <c r="AT224" s="287"/>
      <c r="AU224" s="287"/>
      <c r="AV224" s="287"/>
      <c r="AW224" s="287"/>
      <c r="AX224" s="287"/>
      <c r="AY224" s="287"/>
      <c r="AZ224" s="287"/>
      <c r="BA224" s="287"/>
      <c r="BB224" s="287"/>
      <c r="BC224" s="287"/>
    </row>
    <row r="225" ht="15.75" customHeight="1">
      <c r="A225" s="287"/>
      <c r="B225" s="287"/>
      <c r="C225" s="287"/>
      <c r="D225" s="287"/>
      <c r="E225" s="287"/>
      <c r="F225" s="287"/>
      <c r="G225" s="287"/>
      <c r="H225" s="287"/>
      <c r="I225" s="287"/>
      <c r="J225" s="287"/>
      <c r="K225" s="287"/>
      <c r="L225" s="287"/>
      <c r="M225" s="287"/>
      <c r="N225" s="287"/>
      <c r="O225" s="287"/>
      <c r="P225" s="287"/>
      <c r="Q225" s="287"/>
      <c r="R225" s="287"/>
      <c r="S225" s="287"/>
      <c r="T225" s="287"/>
      <c r="U225" s="287"/>
      <c r="V225" s="287"/>
      <c r="W225" s="287"/>
      <c r="X225" s="287"/>
      <c r="Y225" s="287"/>
      <c r="Z225" s="287"/>
      <c r="AA225" s="287"/>
      <c r="AB225" s="287"/>
      <c r="AC225" s="287"/>
      <c r="AD225" s="287"/>
      <c r="AE225" s="287"/>
      <c r="AF225" s="287"/>
      <c r="AG225" s="287"/>
      <c r="AH225" s="287"/>
      <c r="AI225" s="287"/>
      <c r="AJ225" s="287"/>
      <c r="AK225" s="287"/>
      <c r="AL225" s="287"/>
      <c r="AM225" s="287"/>
      <c r="AN225" s="287"/>
      <c r="AO225" s="287"/>
      <c r="AP225" s="287"/>
      <c r="AQ225" s="287"/>
      <c r="AR225" s="287"/>
      <c r="AS225" s="287"/>
      <c r="AT225" s="287"/>
      <c r="AU225" s="287"/>
      <c r="AV225" s="287"/>
      <c r="AW225" s="287"/>
      <c r="AX225" s="287"/>
      <c r="AY225" s="287"/>
      <c r="AZ225" s="287"/>
      <c r="BA225" s="287"/>
      <c r="BB225" s="287"/>
      <c r="BC225" s="287"/>
    </row>
    <row r="226" ht="15.75" customHeight="1">
      <c r="A226" s="287"/>
      <c r="B226" s="287"/>
      <c r="C226" s="287"/>
      <c r="D226" s="287"/>
      <c r="E226" s="287"/>
      <c r="F226" s="287"/>
      <c r="G226" s="287"/>
      <c r="H226" s="287"/>
      <c r="I226" s="287"/>
      <c r="J226" s="287"/>
      <c r="K226" s="287"/>
      <c r="L226" s="287"/>
      <c r="M226" s="287"/>
      <c r="N226" s="287"/>
      <c r="O226" s="287"/>
      <c r="P226" s="287"/>
      <c r="Q226" s="287"/>
      <c r="R226" s="287"/>
      <c r="S226" s="287"/>
      <c r="T226" s="287"/>
      <c r="U226" s="287"/>
      <c r="V226" s="287"/>
      <c r="W226" s="287"/>
      <c r="X226" s="287"/>
      <c r="Y226" s="287"/>
      <c r="Z226" s="287"/>
      <c r="AA226" s="287"/>
      <c r="AB226" s="287"/>
      <c r="AC226" s="287"/>
      <c r="AD226" s="287"/>
      <c r="AE226" s="287"/>
      <c r="AF226" s="287"/>
      <c r="AG226" s="287"/>
      <c r="AH226" s="287"/>
      <c r="AI226" s="287"/>
      <c r="AJ226" s="287"/>
      <c r="AK226" s="287"/>
      <c r="AL226" s="287"/>
      <c r="AM226" s="287"/>
      <c r="AN226" s="287"/>
      <c r="AO226" s="287"/>
      <c r="AP226" s="287"/>
      <c r="AQ226" s="287"/>
      <c r="AR226" s="287"/>
      <c r="AS226" s="287"/>
      <c r="AT226" s="287"/>
      <c r="AU226" s="287"/>
      <c r="AV226" s="287"/>
      <c r="AW226" s="287"/>
      <c r="AX226" s="287"/>
      <c r="AY226" s="287"/>
      <c r="AZ226" s="287"/>
      <c r="BA226" s="287"/>
      <c r="BB226" s="287"/>
      <c r="BC226" s="287"/>
    </row>
    <row r="227" ht="15.75" customHeight="1">
      <c r="A227" s="287"/>
      <c r="B227" s="287"/>
      <c r="C227" s="287"/>
      <c r="D227" s="287"/>
      <c r="E227" s="287"/>
      <c r="F227" s="287"/>
      <c r="G227" s="287"/>
      <c r="H227" s="287"/>
      <c r="I227" s="287"/>
      <c r="J227" s="287"/>
      <c r="K227" s="287"/>
      <c r="L227" s="287"/>
      <c r="M227" s="287"/>
      <c r="N227" s="287"/>
      <c r="O227" s="287"/>
      <c r="P227" s="287"/>
      <c r="Q227" s="287"/>
      <c r="R227" s="287"/>
      <c r="S227" s="287"/>
      <c r="T227" s="287"/>
      <c r="U227" s="287"/>
      <c r="V227" s="287"/>
      <c r="W227" s="287"/>
      <c r="X227" s="287"/>
      <c r="Y227" s="287"/>
      <c r="Z227" s="287"/>
      <c r="AA227" s="287"/>
      <c r="AB227" s="287"/>
      <c r="AC227" s="287"/>
      <c r="AD227" s="287"/>
      <c r="AE227" s="287"/>
      <c r="AF227" s="287"/>
      <c r="AG227" s="287"/>
      <c r="AH227" s="287"/>
      <c r="AI227" s="287"/>
      <c r="AJ227" s="287"/>
      <c r="AK227" s="287"/>
      <c r="AL227" s="287"/>
      <c r="AM227" s="287"/>
      <c r="AN227" s="287"/>
      <c r="AO227" s="287"/>
      <c r="AP227" s="287"/>
      <c r="AQ227" s="287"/>
      <c r="AR227" s="287"/>
      <c r="AS227" s="287"/>
      <c r="AT227" s="287"/>
      <c r="AU227" s="287"/>
      <c r="AV227" s="287"/>
      <c r="AW227" s="287"/>
      <c r="AX227" s="287"/>
      <c r="AY227" s="287"/>
      <c r="AZ227" s="287"/>
      <c r="BA227" s="287"/>
      <c r="BB227" s="287"/>
      <c r="BC227" s="287"/>
    </row>
    <row r="228" ht="15.75" customHeight="1">
      <c r="A228" s="287"/>
      <c r="B228" s="287"/>
      <c r="C228" s="287"/>
      <c r="D228" s="287"/>
      <c r="E228" s="287"/>
      <c r="F228" s="287"/>
      <c r="G228" s="287"/>
      <c r="H228" s="287"/>
      <c r="I228" s="287"/>
      <c r="J228" s="287"/>
      <c r="K228" s="287"/>
      <c r="L228" s="287"/>
      <c r="M228" s="287"/>
      <c r="N228" s="287"/>
      <c r="O228" s="287"/>
      <c r="P228" s="287"/>
      <c r="Q228" s="287"/>
      <c r="R228" s="287"/>
      <c r="S228" s="287"/>
      <c r="T228" s="287"/>
      <c r="U228" s="287"/>
      <c r="V228" s="287"/>
      <c r="W228" s="287"/>
      <c r="X228" s="287"/>
      <c r="Y228" s="287"/>
      <c r="Z228" s="287"/>
      <c r="AA228" s="287"/>
      <c r="AB228" s="287"/>
      <c r="AC228" s="287"/>
      <c r="AD228" s="287"/>
      <c r="AE228" s="287"/>
      <c r="AF228" s="287"/>
      <c r="AG228" s="287"/>
      <c r="AH228" s="287"/>
      <c r="AI228" s="287"/>
      <c r="AJ228" s="287"/>
      <c r="AK228" s="287"/>
      <c r="AL228" s="287"/>
      <c r="AM228" s="287"/>
      <c r="AN228" s="287"/>
      <c r="AO228" s="287"/>
      <c r="AP228" s="287"/>
      <c r="AQ228" s="287"/>
      <c r="AR228" s="287"/>
      <c r="AS228" s="287"/>
      <c r="AT228" s="287"/>
      <c r="AU228" s="287"/>
      <c r="AV228" s="287"/>
      <c r="AW228" s="287"/>
      <c r="AX228" s="287"/>
      <c r="AY228" s="287"/>
      <c r="AZ228" s="287"/>
      <c r="BA228" s="287"/>
      <c r="BB228" s="287"/>
      <c r="BC228" s="287"/>
    </row>
    <row r="229" ht="15.75" customHeight="1">
      <c r="A229" s="287"/>
      <c r="B229" s="287"/>
      <c r="C229" s="287"/>
      <c r="D229" s="287"/>
      <c r="E229" s="287"/>
      <c r="F229" s="287"/>
      <c r="G229" s="287"/>
      <c r="H229" s="287"/>
      <c r="I229" s="287"/>
      <c r="J229" s="287"/>
      <c r="K229" s="287"/>
      <c r="L229" s="287"/>
      <c r="M229" s="287"/>
      <c r="N229" s="287"/>
      <c r="O229" s="287"/>
      <c r="P229" s="287"/>
      <c r="Q229" s="287"/>
      <c r="R229" s="287"/>
      <c r="S229" s="287"/>
      <c r="T229" s="287"/>
      <c r="U229" s="287"/>
      <c r="V229" s="287"/>
      <c r="W229" s="287"/>
      <c r="X229" s="287"/>
      <c r="Y229" s="287"/>
      <c r="Z229" s="287"/>
      <c r="AA229" s="287"/>
      <c r="AB229" s="287"/>
      <c r="AC229" s="287"/>
      <c r="AD229" s="287"/>
      <c r="AE229" s="287"/>
      <c r="AF229" s="287"/>
      <c r="AG229" s="287"/>
      <c r="AH229" s="287"/>
      <c r="AI229" s="287"/>
      <c r="AJ229" s="287"/>
      <c r="AK229" s="287"/>
      <c r="AL229" s="287"/>
      <c r="AM229" s="287"/>
      <c r="AN229" s="287"/>
      <c r="AO229" s="287"/>
      <c r="AP229" s="287"/>
      <c r="AQ229" s="287"/>
      <c r="AR229" s="287"/>
      <c r="AS229" s="287"/>
      <c r="AT229" s="287"/>
      <c r="AU229" s="287"/>
      <c r="AV229" s="287"/>
      <c r="AW229" s="287"/>
      <c r="AX229" s="287"/>
      <c r="AY229" s="287"/>
      <c r="AZ229" s="287"/>
      <c r="BA229" s="287"/>
      <c r="BB229" s="287"/>
      <c r="BC229" s="287"/>
    </row>
    <row r="230" ht="15.75" customHeight="1">
      <c r="A230" s="287"/>
      <c r="B230" s="287"/>
      <c r="C230" s="287"/>
      <c r="D230" s="287"/>
      <c r="E230" s="287"/>
      <c r="F230" s="287"/>
      <c r="G230" s="287"/>
      <c r="H230" s="287"/>
      <c r="I230" s="287"/>
      <c r="J230" s="287"/>
      <c r="K230" s="287"/>
      <c r="L230" s="287"/>
      <c r="M230" s="287"/>
      <c r="N230" s="287"/>
      <c r="O230" s="287"/>
      <c r="P230" s="287"/>
      <c r="Q230" s="287"/>
      <c r="R230" s="287"/>
      <c r="S230" s="287"/>
      <c r="T230" s="287"/>
      <c r="U230" s="287"/>
      <c r="V230" s="287"/>
      <c r="W230" s="287"/>
      <c r="X230" s="287"/>
      <c r="Y230" s="287"/>
      <c r="Z230" s="287"/>
      <c r="AA230" s="287"/>
      <c r="AB230" s="287"/>
      <c r="AC230" s="287"/>
      <c r="AD230" s="287"/>
      <c r="AE230" s="287"/>
      <c r="AF230" s="287"/>
      <c r="AG230" s="287"/>
      <c r="AH230" s="287"/>
      <c r="AI230" s="287"/>
      <c r="AJ230" s="287"/>
      <c r="AK230" s="287"/>
      <c r="AL230" s="287"/>
      <c r="AM230" s="287"/>
      <c r="AN230" s="287"/>
      <c r="AO230" s="287"/>
      <c r="AP230" s="287"/>
      <c r="AQ230" s="287"/>
      <c r="AR230" s="287"/>
      <c r="AS230" s="287"/>
      <c r="AT230" s="287"/>
      <c r="AU230" s="287"/>
      <c r="AV230" s="287"/>
      <c r="AW230" s="287"/>
      <c r="AX230" s="287"/>
      <c r="AY230" s="287"/>
      <c r="AZ230" s="287"/>
      <c r="BA230" s="287"/>
      <c r="BB230" s="287"/>
      <c r="BC230" s="287"/>
    </row>
    <row r="231" ht="15.75" customHeight="1">
      <c r="A231" s="287"/>
      <c r="B231" s="287"/>
      <c r="C231" s="287"/>
      <c r="D231" s="287"/>
      <c r="E231" s="287"/>
      <c r="F231" s="287"/>
      <c r="G231" s="287"/>
      <c r="H231" s="287"/>
      <c r="I231" s="287"/>
      <c r="J231" s="287"/>
      <c r="K231" s="287"/>
      <c r="L231" s="287"/>
      <c r="M231" s="287"/>
      <c r="N231" s="287"/>
      <c r="O231" s="287"/>
      <c r="P231" s="287"/>
      <c r="Q231" s="287"/>
      <c r="R231" s="287"/>
      <c r="S231" s="287"/>
      <c r="T231" s="287"/>
      <c r="U231" s="287"/>
      <c r="V231" s="287"/>
      <c r="W231" s="287"/>
      <c r="X231" s="287"/>
      <c r="Y231" s="287"/>
      <c r="Z231" s="287"/>
      <c r="AA231" s="287"/>
      <c r="AB231" s="287"/>
      <c r="AC231" s="287"/>
      <c r="AD231" s="287"/>
      <c r="AE231" s="287"/>
      <c r="AF231" s="287"/>
      <c r="AG231" s="287"/>
      <c r="AH231" s="287"/>
      <c r="AI231" s="287"/>
      <c r="AJ231" s="287"/>
      <c r="AK231" s="287"/>
      <c r="AL231" s="287"/>
      <c r="AM231" s="287"/>
      <c r="AN231" s="287"/>
      <c r="AO231" s="287"/>
      <c r="AP231" s="287"/>
      <c r="AQ231" s="287"/>
      <c r="AR231" s="287"/>
      <c r="AS231" s="287"/>
      <c r="AT231" s="287"/>
      <c r="AU231" s="287"/>
      <c r="AV231" s="287"/>
      <c r="AW231" s="287"/>
      <c r="AX231" s="287"/>
      <c r="AY231" s="287"/>
      <c r="AZ231" s="287"/>
      <c r="BA231" s="287"/>
      <c r="BB231" s="287"/>
      <c r="BC231" s="287"/>
    </row>
    <row r="232" ht="15.75" customHeight="1">
      <c r="A232" s="287"/>
      <c r="B232" s="287"/>
      <c r="C232" s="287"/>
      <c r="D232" s="287"/>
      <c r="E232" s="287"/>
      <c r="F232" s="287"/>
      <c r="G232" s="287"/>
      <c r="H232" s="287"/>
      <c r="I232" s="287"/>
      <c r="J232" s="287"/>
      <c r="K232" s="287"/>
      <c r="L232" s="287"/>
      <c r="M232" s="287"/>
      <c r="N232" s="287"/>
      <c r="O232" s="287"/>
      <c r="P232" s="287"/>
      <c r="Q232" s="287"/>
      <c r="R232" s="287"/>
      <c r="S232" s="287"/>
      <c r="T232" s="287"/>
      <c r="U232" s="287"/>
      <c r="V232" s="287"/>
      <c r="W232" s="287"/>
      <c r="X232" s="287"/>
      <c r="Y232" s="287"/>
      <c r="Z232" s="287"/>
      <c r="AA232" s="287"/>
      <c r="AB232" s="287"/>
      <c r="AC232" s="287"/>
      <c r="AD232" s="287"/>
      <c r="AE232" s="287"/>
      <c r="AF232" s="287"/>
      <c r="AG232" s="287"/>
      <c r="AH232" s="287"/>
      <c r="AI232" s="287"/>
      <c r="AJ232" s="287"/>
      <c r="AK232" s="287"/>
      <c r="AL232" s="287"/>
      <c r="AM232" s="287"/>
      <c r="AN232" s="287"/>
      <c r="AO232" s="287"/>
      <c r="AP232" s="287"/>
      <c r="AQ232" s="287"/>
      <c r="AR232" s="287"/>
      <c r="AS232" s="287"/>
      <c r="AT232" s="287"/>
      <c r="AU232" s="287"/>
      <c r="AV232" s="287"/>
      <c r="AW232" s="287"/>
      <c r="AX232" s="287"/>
      <c r="AY232" s="287"/>
      <c r="AZ232" s="287"/>
      <c r="BA232" s="287"/>
      <c r="BB232" s="287"/>
      <c r="BC232" s="287"/>
    </row>
    <row r="233" ht="15.75" customHeight="1">
      <c r="A233" s="287"/>
      <c r="B233" s="287"/>
      <c r="C233" s="287"/>
      <c r="D233" s="287"/>
      <c r="E233" s="287"/>
      <c r="F233" s="287"/>
      <c r="G233" s="287"/>
      <c r="H233" s="287"/>
      <c r="I233" s="287"/>
      <c r="J233" s="287"/>
      <c r="K233" s="287"/>
      <c r="L233" s="287"/>
      <c r="M233" s="287"/>
      <c r="N233" s="287"/>
      <c r="O233" s="287"/>
      <c r="P233" s="287"/>
      <c r="Q233" s="287"/>
      <c r="R233" s="287"/>
      <c r="S233" s="287"/>
      <c r="T233" s="287"/>
      <c r="U233" s="287"/>
      <c r="V233" s="287"/>
      <c r="W233" s="287"/>
      <c r="X233" s="287"/>
      <c r="Y233" s="287"/>
      <c r="Z233" s="287"/>
      <c r="AA233" s="287"/>
      <c r="AB233" s="287"/>
      <c r="AC233" s="287"/>
      <c r="AD233" s="287"/>
      <c r="AE233" s="287"/>
      <c r="AF233" s="287"/>
      <c r="AG233" s="287"/>
      <c r="AH233" s="287"/>
      <c r="AI233" s="287"/>
      <c r="AJ233" s="287"/>
      <c r="AK233" s="287"/>
      <c r="AL233" s="287"/>
      <c r="AM233" s="287"/>
      <c r="AN233" s="287"/>
      <c r="AO233" s="287"/>
      <c r="AP233" s="287"/>
      <c r="AQ233" s="287"/>
      <c r="AR233" s="287"/>
      <c r="AS233" s="287"/>
      <c r="AT233" s="287"/>
      <c r="AU233" s="287"/>
      <c r="AV233" s="287"/>
      <c r="AW233" s="287"/>
      <c r="AX233" s="287"/>
      <c r="AY233" s="287"/>
      <c r="AZ233" s="287"/>
      <c r="BA233" s="287"/>
      <c r="BB233" s="287"/>
      <c r="BC233" s="287"/>
    </row>
    <row r="234" ht="15.75" customHeight="1">
      <c r="A234" s="287"/>
      <c r="B234" s="287"/>
      <c r="C234" s="287"/>
      <c r="D234" s="287"/>
      <c r="E234" s="287"/>
      <c r="F234" s="287"/>
      <c r="G234" s="287"/>
      <c r="H234" s="287"/>
      <c r="I234" s="287"/>
      <c r="J234" s="287"/>
      <c r="K234" s="287"/>
      <c r="L234" s="287"/>
      <c r="M234" s="287"/>
      <c r="N234" s="287"/>
      <c r="O234" s="287"/>
      <c r="P234" s="287"/>
      <c r="Q234" s="287"/>
      <c r="R234" s="287"/>
      <c r="S234" s="287"/>
      <c r="T234" s="287"/>
      <c r="U234" s="287"/>
      <c r="V234" s="287"/>
      <c r="W234" s="287"/>
      <c r="X234" s="287"/>
      <c r="Y234" s="287"/>
      <c r="Z234" s="287"/>
      <c r="AA234" s="287"/>
      <c r="AB234" s="287"/>
      <c r="AC234" s="287"/>
      <c r="AD234" s="287"/>
      <c r="AE234" s="287"/>
      <c r="AF234" s="287"/>
      <c r="AG234" s="287"/>
      <c r="AH234" s="287"/>
      <c r="AI234" s="287"/>
      <c r="AJ234" s="287"/>
      <c r="AK234" s="287"/>
      <c r="AL234" s="287"/>
      <c r="AM234" s="287"/>
      <c r="AN234" s="287"/>
      <c r="AO234" s="287"/>
      <c r="AP234" s="287"/>
      <c r="AQ234" s="287"/>
      <c r="AR234" s="287"/>
      <c r="AS234" s="287"/>
      <c r="AT234" s="287"/>
      <c r="AU234" s="287"/>
      <c r="AV234" s="287"/>
      <c r="AW234" s="287"/>
      <c r="AX234" s="287"/>
      <c r="AY234" s="287"/>
      <c r="AZ234" s="287"/>
      <c r="BA234" s="287"/>
      <c r="BB234" s="287"/>
      <c r="BC234" s="287"/>
    </row>
    <row r="235" ht="15.75" customHeight="1">
      <c r="A235" s="287"/>
      <c r="B235" s="287"/>
      <c r="C235" s="287"/>
      <c r="D235" s="287"/>
      <c r="E235" s="287"/>
      <c r="F235" s="287"/>
      <c r="G235" s="287"/>
      <c r="H235" s="287"/>
      <c r="I235" s="287"/>
      <c r="J235" s="287"/>
      <c r="K235" s="287"/>
      <c r="L235" s="287"/>
      <c r="M235" s="287"/>
      <c r="N235" s="287"/>
      <c r="O235" s="287"/>
      <c r="P235" s="287"/>
      <c r="Q235" s="287"/>
      <c r="R235" s="287"/>
      <c r="S235" s="287"/>
      <c r="T235" s="287"/>
      <c r="U235" s="287"/>
      <c r="V235" s="287"/>
      <c r="W235" s="287"/>
      <c r="X235" s="287"/>
      <c r="Y235" s="287"/>
      <c r="Z235" s="287"/>
      <c r="AA235" s="287"/>
      <c r="AB235" s="287"/>
      <c r="AC235" s="287"/>
      <c r="AD235" s="287"/>
      <c r="AE235" s="287"/>
      <c r="AF235" s="287"/>
      <c r="AG235" s="287"/>
      <c r="AH235" s="287"/>
      <c r="AI235" s="287"/>
      <c r="AJ235" s="287"/>
      <c r="AK235" s="287"/>
      <c r="AL235" s="287"/>
      <c r="AM235" s="287"/>
      <c r="AN235" s="287"/>
      <c r="AO235" s="287"/>
      <c r="AP235" s="287"/>
      <c r="AQ235" s="287"/>
      <c r="AR235" s="287"/>
      <c r="AS235" s="287"/>
      <c r="AT235" s="287"/>
      <c r="AU235" s="287"/>
      <c r="AV235" s="287"/>
      <c r="AW235" s="287"/>
      <c r="AX235" s="287"/>
      <c r="AY235" s="287"/>
      <c r="AZ235" s="287"/>
      <c r="BA235" s="287"/>
      <c r="BB235" s="287"/>
      <c r="BC235" s="287"/>
    </row>
    <row r="236" ht="15.75" customHeight="1">
      <c r="A236" s="287"/>
      <c r="B236" s="287"/>
      <c r="C236" s="287"/>
      <c r="D236" s="287"/>
      <c r="E236" s="287"/>
      <c r="F236" s="287"/>
      <c r="G236" s="287"/>
      <c r="H236" s="287"/>
      <c r="I236" s="287"/>
      <c r="J236" s="287"/>
      <c r="K236" s="287"/>
      <c r="L236" s="287"/>
      <c r="M236" s="287"/>
      <c r="N236" s="287"/>
      <c r="O236" s="287"/>
      <c r="P236" s="287"/>
      <c r="Q236" s="287"/>
      <c r="R236" s="287"/>
      <c r="S236" s="287"/>
      <c r="T236" s="287"/>
      <c r="U236" s="287"/>
      <c r="V236" s="287"/>
      <c r="W236" s="287"/>
      <c r="X236" s="287"/>
      <c r="Y236" s="287"/>
      <c r="Z236" s="287"/>
      <c r="AA236" s="287"/>
      <c r="AB236" s="287"/>
      <c r="AC236" s="287"/>
      <c r="AD236" s="287"/>
      <c r="AE236" s="287"/>
      <c r="AF236" s="287"/>
      <c r="AG236" s="287"/>
      <c r="AH236" s="287"/>
      <c r="AI236" s="287"/>
      <c r="AJ236" s="287"/>
      <c r="AK236" s="287"/>
      <c r="AL236" s="287"/>
      <c r="AM236" s="287"/>
      <c r="AN236" s="287"/>
      <c r="AO236" s="287"/>
      <c r="AP236" s="287"/>
      <c r="AQ236" s="287"/>
      <c r="AR236" s="287"/>
      <c r="AS236" s="287"/>
      <c r="AT236" s="287"/>
      <c r="AU236" s="287"/>
      <c r="AV236" s="287"/>
      <c r="AW236" s="287"/>
      <c r="AX236" s="287"/>
      <c r="AY236" s="287"/>
      <c r="AZ236" s="287"/>
      <c r="BA236" s="287"/>
      <c r="BB236" s="287"/>
      <c r="BC236" s="287"/>
    </row>
    <row r="237" ht="15.75" customHeight="1">
      <c r="A237" s="287"/>
      <c r="B237" s="287"/>
      <c r="C237" s="287"/>
      <c r="D237" s="287"/>
      <c r="E237" s="287"/>
      <c r="F237" s="287"/>
      <c r="G237" s="287"/>
      <c r="H237" s="287"/>
      <c r="I237" s="287"/>
      <c r="J237" s="287"/>
      <c r="K237" s="287"/>
      <c r="L237" s="287"/>
      <c r="M237" s="287"/>
      <c r="N237" s="287"/>
      <c r="O237" s="287"/>
      <c r="P237" s="287"/>
      <c r="Q237" s="287"/>
      <c r="R237" s="287"/>
      <c r="S237" s="287"/>
      <c r="T237" s="287"/>
      <c r="U237" s="287"/>
      <c r="V237" s="287"/>
      <c r="W237" s="287"/>
      <c r="X237" s="287"/>
      <c r="Y237" s="287"/>
      <c r="Z237" s="287"/>
      <c r="AA237" s="287"/>
      <c r="AB237" s="287"/>
      <c r="AC237" s="287"/>
      <c r="AD237" s="287"/>
      <c r="AE237" s="287"/>
      <c r="AF237" s="287"/>
      <c r="AG237" s="287"/>
      <c r="AH237" s="287"/>
      <c r="AI237" s="287"/>
      <c r="AJ237" s="287"/>
      <c r="AK237" s="287"/>
      <c r="AL237" s="287"/>
      <c r="AM237" s="287"/>
      <c r="AN237" s="287"/>
      <c r="AO237" s="287"/>
      <c r="AP237" s="287"/>
      <c r="AQ237" s="287"/>
      <c r="AR237" s="287"/>
      <c r="AS237" s="287"/>
      <c r="AT237" s="287"/>
      <c r="AU237" s="287"/>
      <c r="AV237" s="287"/>
      <c r="AW237" s="287"/>
      <c r="AX237" s="287"/>
      <c r="AY237" s="287"/>
      <c r="AZ237" s="287"/>
      <c r="BA237" s="287"/>
      <c r="BB237" s="287"/>
      <c r="BC237" s="287"/>
    </row>
    <row r="238" ht="15.75" customHeight="1">
      <c r="A238" s="287"/>
      <c r="B238" s="287"/>
      <c r="C238" s="287"/>
      <c r="D238" s="287"/>
      <c r="E238" s="287"/>
      <c r="F238" s="287"/>
      <c r="G238" s="287"/>
      <c r="H238" s="287"/>
      <c r="I238" s="287"/>
      <c r="J238" s="287"/>
      <c r="K238" s="287"/>
      <c r="L238" s="287"/>
      <c r="M238" s="287"/>
      <c r="N238" s="287"/>
      <c r="O238" s="287"/>
      <c r="P238" s="287"/>
      <c r="Q238" s="287"/>
      <c r="R238" s="287"/>
      <c r="S238" s="287"/>
      <c r="T238" s="287"/>
      <c r="U238" s="287"/>
      <c r="V238" s="287"/>
      <c r="W238" s="287"/>
      <c r="X238" s="287"/>
      <c r="Y238" s="287"/>
      <c r="Z238" s="287"/>
      <c r="AA238" s="287"/>
      <c r="AB238" s="287"/>
      <c r="AC238" s="287"/>
      <c r="AD238" s="287"/>
      <c r="AE238" s="287"/>
      <c r="AF238" s="287"/>
      <c r="AG238" s="287"/>
      <c r="AH238" s="287"/>
      <c r="AI238" s="287"/>
      <c r="AJ238" s="287"/>
      <c r="AK238" s="287"/>
      <c r="AL238" s="287"/>
      <c r="AM238" s="287"/>
      <c r="AN238" s="287"/>
      <c r="AO238" s="287"/>
      <c r="AP238" s="287"/>
      <c r="AQ238" s="287"/>
      <c r="AR238" s="287"/>
      <c r="AS238" s="287"/>
      <c r="AT238" s="287"/>
      <c r="AU238" s="287"/>
      <c r="AV238" s="287"/>
      <c r="AW238" s="287"/>
      <c r="AX238" s="287"/>
      <c r="AY238" s="287"/>
      <c r="AZ238" s="287"/>
      <c r="BA238" s="287"/>
      <c r="BB238" s="287"/>
      <c r="BC238" s="287"/>
    </row>
    <row r="239" ht="15.75" customHeight="1">
      <c r="A239" s="287"/>
      <c r="B239" s="287"/>
      <c r="C239" s="287"/>
      <c r="D239" s="287"/>
      <c r="E239" s="287"/>
      <c r="F239" s="287"/>
      <c r="G239" s="287"/>
      <c r="H239" s="287"/>
      <c r="I239" s="287"/>
      <c r="J239" s="287"/>
      <c r="K239" s="287"/>
      <c r="L239" s="287"/>
      <c r="M239" s="287"/>
      <c r="N239" s="287"/>
      <c r="O239" s="287"/>
      <c r="P239" s="287"/>
      <c r="Q239" s="287"/>
      <c r="R239" s="287"/>
      <c r="S239" s="287"/>
      <c r="T239" s="287"/>
      <c r="U239" s="287"/>
      <c r="V239" s="287"/>
      <c r="W239" s="287"/>
      <c r="X239" s="287"/>
      <c r="Y239" s="287"/>
      <c r="Z239" s="287"/>
      <c r="AA239" s="287"/>
      <c r="AB239" s="287"/>
      <c r="AC239" s="287"/>
      <c r="AD239" s="287"/>
      <c r="AE239" s="287"/>
      <c r="AF239" s="287"/>
      <c r="AG239" s="287"/>
      <c r="AH239" s="287"/>
      <c r="AI239" s="287"/>
      <c r="AJ239" s="287"/>
      <c r="AK239" s="287"/>
      <c r="AL239" s="287"/>
      <c r="AM239" s="287"/>
      <c r="AN239" s="287"/>
      <c r="AO239" s="287"/>
      <c r="AP239" s="287"/>
      <c r="AQ239" s="287"/>
      <c r="AR239" s="287"/>
      <c r="AS239" s="287"/>
      <c r="AT239" s="287"/>
      <c r="AU239" s="287"/>
      <c r="AV239" s="287"/>
      <c r="AW239" s="287"/>
      <c r="AX239" s="287"/>
      <c r="AY239" s="287"/>
      <c r="AZ239" s="287"/>
      <c r="BA239" s="287"/>
      <c r="BB239" s="287"/>
      <c r="BC239" s="287"/>
    </row>
    <row r="240" ht="15.75" customHeight="1">
      <c r="A240" s="287"/>
      <c r="B240" s="287"/>
      <c r="C240" s="287"/>
      <c r="D240" s="287"/>
      <c r="E240" s="287"/>
      <c r="F240" s="287"/>
      <c r="G240" s="287"/>
      <c r="H240" s="287"/>
      <c r="I240" s="287"/>
      <c r="J240" s="287"/>
      <c r="K240" s="287"/>
      <c r="L240" s="287"/>
      <c r="M240" s="287"/>
      <c r="N240" s="287"/>
      <c r="O240" s="287"/>
      <c r="P240" s="287"/>
      <c r="Q240" s="287"/>
      <c r="R240" s="287"/>
      <c r="S240" s="287"/>
      <c r="T240" s="287"/>
      <c r="U240" s="287"/>
      <c r="V240" s="287"/>
      <c r="W240" s="287"/>
      <c r="X240" s="287"/>
      <c r="Y240" s="287"/>
      <c r="Z240" s="287"/>
      <c r="AA240" s="287"/>
      <c r="AB240" s="287"/>
      <c r="AC240" s="287"/>
      <c r="AD240" s="287"/>
      <c r="AE240" s="287"/>
      <c r="AF240" s="287"/>
      <c r="AG240" s="287"/>
      <c r="AH240" s="287"/>
      <c r="AI240" s="287"/>
      <c r="AJ240" s="287"/>
      <c r="AK240" s="287"/>
      <c r="AL240" s="287"/>
      <c r="AM240" s="287"/>
      <c r="AN240" s="287"/>
      <c r="AO240" s="287"/>
      <c r="AP240" s="287"/>
      <c r="AQ240" s="287"/>
      <c r="AR240" s="287"/>
      <c r="AS240" s="287"/>
      <c r="AT240" s="287"/>
      <c r="AU240" s="287"/>
      <c r="AV240" s="287"/>
      <c r="AW240" s="287"/>
      <c r="AX240" s="287"/>
      <c r="AY240" s="287"/>
      <c r="AZ240" s="287"/>
      <c r="BA240" s="287"/>
      <c r="BB240" s="287"/>
      <c r="BC240" s="287"/>
    </row>
    <row r="241" ht="15.75" customHeight="1">
      <c r="A241" s="287"/>
      <c r="B241" s="287"/>
      <c r="C241" s="287"/>
      <c r="D241" s="287"/>
      <c r="E241" s="287"/>
      <c r="F241" s="287"/>
      <c r="G241" s="287"/>
      <c r="H241" s="287"/>
      <c r="I241" s="287"/>
      <c r="J241" s="287"/>
      <c r="K241" s="287"/>
      <c r="L241" s="287"/>
      <c r="M241" s="287"/>
      <c r="N241" s="287"/>
      <c r="O241" s="287"/>
      <c r="P241" s="287"/>
      <c r="Q241" s="287"/>
      <c r="R241" s="287"/>
      <c r="S241" s="287"/>
      <c r="T241" s="287"/>
      <c r="U241" s="287"/>
      <c r="V241" s="287"/>
      <c r="W241" s="287"/>
      <c r="X241" s="287"/>
      <c r="Y241" s="287"/>
      <c r="Z241" s="287"/>
      <c r="AA241" s="287"/>
      <c r="AB241" s="287"/>
      <c r="AC241" s="287"/>
      <c r="AD241" s="287"/>
      <c r="AE241" s="287"/>
      <c r="AF241" s="287"/>
      <c r="AG241" s="287"/>
      <c r="AH241" s="287"/>
      <c r="AI241" s="287"/>
      <c r="AJ241" s="287"/>
      <c r="AK241" s="287"/>
      <c r="AL241" s="287"/>
      <c r="AM241" s="287"/>
      <c r="AN241" s="287"/>
      <c r="AO241" s="287"/>
      <c r="AP241" s="287"/>
      <c r="AQ241" s="287"/>
      <c r="AR241" s="287"/>
      <c r="AS241" s="287"/>
      <c r="AT241" s="287"/>
      <c r="AU241" s="287"/>
      <c r="AV241" s="287"/>
      <c r="AW241" s="287"/>
      <c r="AX241" s="287"/>
      <c r="AY241" s="287"/>
      <c r="AZ241" s="287"/>
      <c r="BA241" s="287"/>
      <c r="BB241" s="287"/>
      <c r="BC241" s="287"/>
    </row>
    <row r="242" ht="15.75" customHeight="1">
      <c r="A242" s="287"/>
      <c r="B242" s="287"/>
      <c r="C242" s="287"/>
      <c r="D242" s="287"/>
      <c r="E242" s="287"/>
      <c r="F242" s="287"/>
      <c r="G242" s="287"/>
      <c r="H242" s="287"/>
      <c r="I242" s="287"/>
      <c r="J242" s="287"/>
      <c r="K242" s="287"/>
      <c r="L242" s="287"/>
      <c r="M242" s="287"/>
      <c r="N242" s="287"/>
      <c r="O242" s="287"/>
      <c r="P242" s="287"/>
      <c r="Q242" s="287"/>
      <c r="R242" s="287"/>
      <c r="S242" s="287"/>
      <c r="T242" s="287"/>
      <c r="U242" s="287"/>
      <c r="V242" s="287"/>
      <c r="W242" s="287"/>
      <c r="X242" s="287"/>
      <c r="Y242" s="287"/>
      <c r="Z242" s="287"/>
      <c r="AA242" s="287"/>
      <c r="AB242" s="287"/>
      <c r="AC242" s="287"/>
      <c r="AD242" s="287"/>
      <c r="AE242" s="287"/>
      <c r="AF242" s="287"/>
      <c r="AG242" s="287"/>
      <c r="AH242" s="287"/>
      <c r="AI242" s="287"/>
      <c r="AJ242" s="287"/>
      <c r="AK242" s="287"/>
      <c r="AL242" s="287"/>
      <c r="AM242" s="287"/>
      <c r="AN242" s="287"/>
      <c r="AO242" s="287"/>
      <c r="AP242" s="287"/>
      <c r="AQ242" s="287"/>
      <c r="AR242" s="287"/>
      <c r="AS242" s="287"/>
      <c r="AT242" s="287"/>
      <c r="AU242" s="287"/>
      <c r="AV242" s="287"/>
      <c r="AW242" s="287"/>
      <c r="AX242" s="287"/>
      <c r="AY242" s="287"/>
      <c r="AZ242" s="287"/>
      <c r="BA242" s="287"/>
      <c r="BB242" s="287"/>
      <c r="BC242" s="287"/>
    </row>
    <row r="243" ht="15.75" customHeight="1">
      <c r="A243" s="287"/>
      <c r="B243" s="287"/>
      <c r="C243" s="287"/>
      <c r="D243" s="287"/>
      <c r="E243" s="287"/>
      <c r="F243" s="287"/>
      <c r="G243" s="287"/>
      <c r="H243" s="287"/>
      <c r="I243" s="287"/>
      <c r="J243" s="287"/>
      <c r="K243" s="287"/>
      <c r="L243" s="287"/>
      <c r="M243" s="287"/>
      <c r="N243" s="287"/>
      <c r="O243" s="287"/>
      <c r="P243" s="287"/>
      <c r="Q243" s="287"/>
      <c r="R243" s="287"/>
      <c r="S243" s="287"/>
      <c r="T243" s="287"/>
      <c r="U243" s="287"/>
      <c r="V243" s="287"/>
      <c r="W243" s="287"/>
      <c r="X243" s="287"/>
      <c r="Y243" s="287"/>
      <c r="Z243" s="287"/>
      <c r="AA243" s="287"/>
      <c r="AB243" s="287"/>
      <c r="AC243" s="287"/>
      <c r="AD243" s="287"/>
      <c r="AE243" s="287"/>
      <c r="AF243" s="287"/>
      <c r="AG243" s="287"/>
      <c r="AH243" s="287"/>
      <c r="AI243" s="287"/>
      <c r="AJ243" s="287"/>
      <c r="AK243" s="287"/>
      <c r="AL243" s="287"/>
      <c r="AM243" s="287"/>
      <c r="AN243" s="287"/>
      <c r="AO243" s="287"/>
      <c r="AP243" s="287"/>
      <c r="AQ243" s="287"/>
      <c r="AR243" s="287"/>
      <c r="AS243" s="287"/>
      <c r="AT243" s="287"/>
      <c r="AU243" s="287"/>
      <c r="AV243" s="287"/>
      <c r="AW243" s="287"/>
      <c r="AX243" s="287"/>
      <c r="AY243" s="287"/>
      <c r="AZ243" s="287"/>
      <c r="BA243" s="287"/>
      <c r="BB243" s="287"/>
      <c r="BC243" s="287"/>
    </row>
    <row r="244" ht="15.75" customHeight="1">
      <c r="A244" s="287"/>
      <c r="B244" s="287"/>
      <c r="C244" s="287"/>
      <c r="D244" s="287"/>
      <c r="E244" s="287"/>
      <c r="F244" s="287"/>
      <c r="G244" s="287"/>
      <c r="H244" s="287"/>
      <c r="I244" s="287"/>
      <c r="J244" s="287"/>
      <c r="K244" s="287"/>
      <c r="L244" s="287"/>
      <c r="M244" s="287"/>
      <c r="N244" s="287"/>
      <c r="O244" s="287"/>
      <c r="P244" s="287"/>
      <c r="Q244" s="287"/>
      <c r="R244" s="287"/>
      <c r="S244" s="287"/>
      <c r="T244" s="287"/>
      <c r="U244" s="287"/>
      <c r="V244" s="287"/>
      <c r="W244" s="287"/>
      <c r="X244" s="287"/>
      <c r="Y244" s="287"/>
      <c r="Z244" s="287"/>
      <c r="AA244" s="287"/>
      <c r="AB244" s="287"/>
      <c r="AC244" s="287"/>
      <c r="AD244" s="287"/>
      <c r="AE244" s="287"/>
      <c r="AF244" s="287"/>
      <c r="AG244" s="287"/>
      <c r="AH244" s="287"/>
      <c r="AI244" s="287"/>
      <c r="AJ244" s="287"/>
      <c r="AK244" s="287"/>
      <c r="AL244" s="287"/>
      <c r="AM244" s="287"/>
      <c r="AN244" s="287"/>
      <c r="AO244" s="287"/>
      <c r="AP244" s="287"/>
      <c r="AQ244" s="287"/>
      <c r="AR244" s="287"/>
      <c r="AS244" s="287"/>
      <c r="AT244" s="287"/>
      <c r="AU244" s="287"/>
      <c r="AV244" s="287"/>
      <c r="AW244" s="287"/>
      <c r="AX244" s="287"/>
      <c r="AY244" s="287"/>
      <c r="AZ244" s="287"/>
      <c r="BA244" s="287"/>
      <c r="BB244" s="287"/>
      <c r="BC244" s="287"/>
    </row>
    <row r="245" ht="15.75" customHeight="1">
      <c r="A245" s="287"/>
      <c r="B245" s="287"/>
      <c r="C245" s="287"/>
      <c r="D245" s="287"/>
      <c r="E245" s="287"/>
      <c r="F245" s="287"/>
      <c r="G245" s="287"/>
      <c r="H245" s="287"/>
      <c r="I245" s="287"/>
      <c r="J245" s="287"/>
      <c r="K245" s="287"/>
      <c r="L245" s="287"/>
      <c r="M245" s="287"/>
      <c r="N245" s="287"/>
      <c r="O245" s="287"/>
      <c r="P245" s="287"/>
      <c r="Q245" s="287"/>
      <c r="R245" s="287"/>
      <c r="S245" s="287"/>
      <c r="T245" s="287"/>
      <c r="U245" s="287"/>
      <c r="V245" s="287"/>
      <c r="W245" s="287"/>
      <c r="X245" s="287"/>
      <c r="Y245" s="287"/>
      <c r="Z245" s="287"/>
      <c r="AA245" s="287"/>
      <c r="AB245" s="287"/>
      <c r="AC245" s="287"/>
      <c r="AD245" s="287"/>
      <c r="AE245" s="287"/>
      <c r="AF245" s="287"/>
      <c r="AG245" s="287"/>
      <c r="AH245" s="287"/>
      <c r="AI245" s="287"/>
      <c r="AJ245" s="287"/>
      <c r="AK245" s="287"/>
      <c r="AL245" s="287"/>
      <c r="AM245" s="287"/>
      <c r="AN245" s="287"/>
      <c r="AO245" s="287"/>
      <c r="AP245" s="287"/>
      <c r="AQ245" s="287"/>
      <c r="AR245" s="287"/>
      <c r="AS245" s="287"/>
      <c r="AT245" s="287"/>
      <c r="AU245" s="287"/>
      <c r="AV245" s="287"/>
      <c r="AW245" s="287"/>
      <c r="AX245" s="287"/>
      <c r="AY245" s="287"/>
      <c r="AZ245" s="287"/>
      <c r="BA245" s="287"/>
      <c r="BB245" s="287"/>
      <c r="BC245" s="287"/>
    </row>
    <row r="246" ht="15.75" customHeight="1">
      <c r="A246" s="287"/>
      <c r="B246" s="287"/>
      <c r="C246" s="287"/>
      <c r="D246" s="287"/>
      <c r="E246" s="287"/>
      <c r="F246" s="287"/>
      <c r="G246" s="287"/>
      <c r="H246" s="287"/>
      <c r="I246" s="287"/>
      <c r="J246" s="287"/>
      <c r="K246" s="287"/>
      <c r="L246" s="287"/>
      <c r="M246" s="287"/>
      <c r="N246" s="287"/>
      <c r="O246" s="287"/>
      <c r="P246" s="287"/>
      <c r="Q246" s="287"/>
      <c r="R246" s="287"/>
      <c r="S246" s="287"/>
      <c r="T246" s="287"/>
      <c r="U246" s="287"/>
      <c r="V246" s="287"/>
      <c r="W246" s="287"/>
      <c r="X246" s="287"/>
      <c r="Y246" s="287"/>
      <c r="Z246" s="287"/>
      <c r="AA246" s="287"/>
      <c r="AB246" s="287"/>
      <c r="AC246" s="287"/>
      <c r="AD246" s="287"/>
      <c r="AE246" s="287"/>
      <c r="AF246" s="287"/>
      <c r="AG246" s="287"/>
      <c r="AH246" s="287"/>
      <c r="AI246" s="287"/>
      <c r="AJ246" s="287"/>
      <c r="AK246" s="287"/>
      <c r="AL246" s="287"/>
      <c r="AM246" s="287"/>
      <c r="AN246" s="287"/>
      <c r="AO246" s="287"/>
      <c r="AP246" s="287"/>
      <c r="AQ246" s="287"/>
      <c r="AR246" s="287"/>
      <c r="AS246" s="287"/>
      <c r="AT246" s="287"/>
      <c r="AU246" s="287"/>
      <c r="AV246" s="287"/>
      <c r="AW246" s="287"/>
      <c r="AX246" s="287"/>
      <c r="AY246" s="287"/>
      <c r="AZ246" s="287"/>
      <c r="BA246" s="287"/>
      <c r="BB246" s="287"/>
      <c r="BC246" s="287"/>
    </row>
    <row r="247" ht="15.75" customHeight="1">
      <c r="A247" s="287"/>
      <c r="B247" s="287"/>
      <c r="C247" s="287"/>
      <c r="D247" s="287"/>
      <c r="E247" s="287"/>
      <c r="F247" s="287"/>
      <c r="G247" s="287"/>
      <c r="H247" s="287"/>
      <c r="I247" s="287"/>
      <c r="J247" s="287"/>
      <c r="K247" s="287"/>
      <c r="L247" s="287"/>
      <c r="M247" s="287"/>
      <c r="N247" s="287"/>
      <c r="O247" s="287"/>
      <c r="P247" s="287"/>
      <c r="Q247" s="287"/>
      <c r="R247" s="287"/>
      <c r="S247" s="287"/>
      <c r="T247" s="287"/>
      <c r="U247" s="287"/>
      <c r="V247" s="287"/>
      <c r="W247" s="287"/>
      <c r="X247" s="287"/>
      <c r="Y247" s="287"/>
      <c r="Z247" s="287"/>
      <c r="AA247" s="287"/>
      <c r="AB247" s="287"/>
      <c r="AC247" s="287"/>
      <c r="AD247" s="287"/>
      <c r="AE247" s="287"/>
      <c r="AF247" s="287"/>
      <c r="AG247" s="287"/>
      <c r="AH247" s="287"/>
      <c r="AI247" s="287"/>
      <c r="AJ247" s="287"/>
      <c r="AK247" s="287"/>
      <c r="AL247" s="287"/>
      <c r="AM247" s="287"/>
      <c r="AN247" s="287"/>
      <c r="AO247" s="287"/>
      <c r="AP247" s="287"/>
      <c r="AQ247" s="287"/>
      <c r="AR247" s="287"/>
      <c r="AS247" s="287"/>
      <c r="AT247" s="287"/>
      <c r="AU247" s="287"/>
      <c r="AV247" s="287"/>
      <c r="AW247" s="287"/>
      <c r="AX247" s="287"/>
      <c r="AY247" s="287"/>
      <c r="AZ247" s="287"/>
      <c r="BA247" s="287"/>
      <c r="BB247" s="287"/>
      <c r="BC247" s="287"/>
    </row>
    <row r="248" ht="15.75" customHeight="1">
      <c r="A248" s="287"/>
      <c r="B248" s="287"/>
      <c r="C248" s="287"/>
      <c r="D248" s="287"/>
      <c r="E248" s="287"/>
      <c r="F248" s="287"/>
      <c r="G248" s="287"/>
      <c r="H248" s="287"/>
      <c r="I248" s="287"/>
      <c r="J248" s="287"/>
      <c r="K248" s="287"/>
      <c r="L248" s="287"/>
      <c r="M248" s="287"/>
      <c r="N248" s="287"/>
      <c r="O248" s="287"/>
      <c r="P248" s="287"/>
      <c r="Q248" s="287"/>
      <c r="R248" s="287"/>
      <c r="S248" s="287"/>
      <c r="T248" s="287"/>
      <c r="U248" s="287"/>
      <c r="V248" s="287"/>
      <c r="W248" s="287"/>
      <c r="X248" s="287"/>
      <c r="Y248" s="287"/>
      <c r="Z248" s="287"/>
      <c r="AA248" s="287"/>
      <c r="AB248" s="287"/>
      <c r="AC248" s="287"/>
      <c r="AD248" s="287"/>
      <c r="AE248" s="287"/>
      <c r="AF248" s="287"/>
      <c r="AG248" s="287"/>
      <c r="AH248" s="287"/>
      <c r="AI248" s="287"/>
      <c r="AJ248" s="287"/>
      <c r="AK248" s="287"/>
      <c r="AL248" s="287"/>
      <c r="AM248" s="287"/>
      <c r="AN248" s="287"/>
      <c r="AO248" s="287"/>
      <c r="AP248" s="287"/>
      <c r="AQ248" s="287"/>
      <c r="AR248" s="287"/>
      <c r="AS248" s="287"/>
      <c r="AT248" s="287"/>
      <c r="AU248" s="287"/>
      <c r="AV248" s="287"/>
      <c r="AW248" s="287"/>
      <c r="AX248" s="287"/>
      <c r="AY248" s="287"/>
      <c r="AZ248" s="287"/>
      <c r="BA248" s="287"/>
      <c r="BB248" s="287"/>
      <c r="BC248" s="287"/>
    </row>
    <row r="249" ht="15.75" customHeight="1">
      <c r="A249" s="287"/>
      <c r="B249" s="287"/>
      <c r="C249" s="287"/>
      <c r="D249" s="287"/>
      <c r="E249" s="287"/>
      <c r="F249" s="287"/>
      <c r="G249" s="287"/>
      <c r="H249" s="287"/>
      <c r="I249" s="287"/>
      <c r="J249" s="287"/>
      <c r="K249" s="287"/>
      <c r="L249" s="287"/>
      <c r="M249" s="287"/>
      <c r="N249" s="287"/>
      <c r="O249" s="287"/>
      <c r="P249" s="287"/>
      <c r="Q249" s="287"/>
      <c r="R249" s="287"/>
      <c r="S249" s="287"/>
      <c r="T249" s="287"/>
      <c r="U249" s="287"/>
      <c r="V249" s="287"/>
      <c r="W249" s="287"/>
      <c r="X249" s="287"/>
      <c r="Y249" s="287"/>
      <c r="Z249" s="287"/>
      <c r="AA249" s="287"/>
      <c r="AB249" s="287"/>
      <c r="AC249" s="287"/>
      <c r="AD249" s="287"/>
      <c r="AE249" s="287"/>
      <c r="AF249" s="287"/>
      <c r="AG249" s="287"/>
      <c r="AH249" s="287"/>
      <c r="AI249" s="287"/>
      <c r="AJ249" s="287"/>
      <c r="AK249" s="287"/>
      <c r="AL249" s="287"/>
      <c r="AM249" s="287"/>
      <c r="AN249" s="287"/>
      <c r="AO249" s="287"/>
      <c r="AP249" s="287"/>
      <c r="AQ249" s="287"/>
      <c r="AR249" s="287"/>
      <c r="AS249" s="287"/>
      <c r="AT249" s="287"/>
      <c r="AU249" s="287"/>
      <c r="AV249" s="287"/>
      <c r="AW249" s="287"/>
      <c r="AX249" s="287"/>
      <c r="AY249" s="287"/>
      <c r="AZ249" s="287"/>
      <c r="BA249" s="287"/>
      <c r="BB249" s="287"/>
      <c r="BC249" s="287"/>
    </row>
    <row r="250" ht="15.75" customHeight="1">
      <c r="A250" s="287"/>
      <c r="B250" s="287"/>
      <c r="C250" s="287"/>
      <c r="D250" s="287"/>
      <c r="E250" s="287"/>
      <c r="F250" s="287"/>
      <c r="G250" s="287"/>
      <c r="H250" s="287"/>
      <c r="I250" s="287"/>
      <c r="J250" s="287"/>
      <c r="K250" s="287"/>
      <c r="L250" s="287"/>
      <c r="M250" s="287"/>
      <c r="N250" s="287"/>
      <c r="O250" s="287"/>
      <c r="P250" s="287"/>
      <c r="Q250" s="287"/>
      <c r="R250" s="287"/>
      <c r="S250" s="287"/>
      <c r="T250" s="287"/>
      <c r="U250" s="287"/>
      <c r="V250" s="287"/>
      <c r="W250" s="287"/>
      <c r="X250" s="287"/>
      <c r="Y250" s="287"/>
      <c r="Z250" s="287"/>
      <c r="AA250" s="287"/>
      <c r="AB250" s="287"/>
      <c r="AC250" s="287"/>
      <c r="AD250" s="287"/>
      <c r="AE250" s="287"/>
      <c r="AF250" s="287"/>
      <c r="AG250" s="287"/>
      <c r="AH250" s="287"/>
      <c r="AI250" s="287"/>
      <c r="AJ250" s="287"/>
      <c r="AK250" s="287"/>
      <c r="AL250" s="287"/>
      <c r="AM250" s="287"/>
      <c r="AN250" s="287"/>
      <c r="AO250" s="287"/>
      <c r="AP250" s="287"/>
      <c r="AQ250" s="287"/>
      <c r="AR250" s="287"/>
      <c r="AS250" s="287"/>
      <c r="AT250" s="287"/>
      <c r="AU250" s="287"/>
      <c r="AV250" s="287"/>
      <c r="AW250" s="287"/>
      <c r="AX250" s="287"/>
      <c r="AY250" s="287"/>
      <c r="AZ250" s="287"/>
      <c r="BA250" s="287"/>
      <c r="BB250" s="287"/>
      <c r="BC250" s="287"/>
    </row>
    <row r="251" ht="15.75" customHeight="1">
      <c r="A251" s="287"/>
      <c r="B251" s="287"/>
      <c r="C251" s="287"/>
      <c r="D251" s="287"/>
      <c r="E251" s="287"/>
      <c r="F251" s="287"/>
      <c r="G251" s="287"/>
      <c r="H251" s="287"/>
      <c r="I251" s="287"/>
      <c r="J251" s="287"/>
      <c r="K251" s="287"/>
      <c r="L251" s="287"/>
      <c r="M251" s="287"/>
      <c r="N251" s="287"/>
      <c r="O251" s="287"/>
      <c r="P251" s="287"/>
      <c r="Q251" s="287"/>
      <c r="R251" s="287"/>
      <c r="S251" s="287"/>
      <c r="T251" s="287"/>
      <c r="U251" s="287"/>
      <c r="V251" s="287"/>
      <c r="W251" s="287"/>
      <c r="X251" s="287"/>
      <c r="Y251" s="287"/>
      <c r="Z251" s="287"/>
      <c r="AA251" s="287"/>
      <c r="AB251" s="287"/>
      <c r="AC251" s="287"/>
      <c r="AD251" s="287"/>
      <c r="AE251" s="287"/>
      <c r="AF251" s="287"/>
      <c r="AG251" s="287"/>
      <c r="AH251" s="287"/>
      <c r="AI251" s="287"/>
      <c r="AJ251" s="287"/>
      <c r="AK251" s="287"/>
      <c r="AL251" s="287"/>
      <c r="AM251" s="287"/>
      <c r="AN251" s="287"/>
      <c r="AO251" s="287"/>
      <c r="AP251" s="287"/>
      <c r="AQ251" s="287"/>
      <c r="AR251" s="287"/>
      <c r="AS251" s="287"/>
      <c r="AT251" s="287"/>
      <c r="AU251" s="287"/>
      <c r="AV251" s="287"/>
      <c r="AW251" s="287"/>
      <c r="AX251" s="287"/>
      <c r="AY251" s="287"/>
      <c r="AZ251" s="287"/>
      <c r="BA251" s="287"/>
      <c r="BB251" s="287"/>
      <c r="BC251" s="287"/>
    </row>
    <row r="252" ht="15.75" customHeight="1">
      <c r="A252" s="287"/>
      <c r="B252" s="287"/>
      <c r="C252" s="287"/>
      <c r="D252" s="287"/>
      <c r="E252" s="287"/>
      <c r="F252" s="287"/>
      <c r="G252" s="287"/>
      <c r="H252" s="287"/>
      <c r="I252" s="287"/>
      <c r="J252" s="287"/>
      <c r="K252" s="287"/>
      <c r="L252" s="287"/>
      <c r="M252" s="287"/>
      <c r="N252" s="287"/>
      <c r="O252" s="287"/>
      <c r="P252" s="287"/>
      <c r="Q252" s="287"/>
      <c r="R252" s="287"/>
      <c r="S252" s="287"/>
      <c r="T252" s="287"/>
      <c r="U252" s="287"/>
      <c r="V252" s="287"/>
      <c r="W252" s="287"/>
      <c r="X252" s="287"/>
      <c r="Y252" s="287"/>
      <c r="Z252" s="287"/>
      <c r="AA252" s="287"/>
      <c r="AB252" s="287"/>
      <c r="AC252" s="287"/>
      <c r="AD252" s="287"/>
      <c r="AE252" s="287"/>
      <c r="AF252" s="287"/>
      <c r="AG252" s="287"/>
      <c r="AH252" s="287"/>
      <c r="AI252" s="287"/>
      <c r="AJ252" s="287"/>
      <c r="AK252" s="287"/>
      <c r="AL252" s="287"/>
      <c r="AM252" s="287"/>
      <c r="AN252" s="287"/>
      <c r="AO252" s="287"/>
      <c r="AP252" s="287"/>
      <c r="AQ252" s="287"/>
      <c r="AR252" s="287"/>
      <c r="AS252" s="287"/>
      <c r="AT252" s="287"/>
      <c r="AU252" s="287"/>
      <c r="AV252" s="287"/>
      <c r="AW252" s="287"/>
      <c r="AX252" s="287"/>
      <c r="AY252" s="287"/>
      <c r="AZ252" s="287"/>
      <c r="BA252" s="287"/>
      <c r="BB252" s="287"/>
      <c r="BC252" s="287"/>
    </row>
    <row r="253" ht="15.75" customHeight="1">
      <c r="A253" s="287"/>
      <c r="B253" s="287"/>
      <c r="C253" s="287"/>
      <c r="D253" s="287"/>
      <c r="E253" s="287"/>
      <c r="F253" s="287"/>
      <c r="G253" s="287"/>
      <c r="H253" s="287"/>
      <c r="I253" s="287"/>
      <c r="J253" s="287"/>
      <c r="K253" s="287"/>
      <c r="L253" s="287"/>
      <c r="M253" s="287"/>
      <c r="N253" s="287"/>
      <c r="O253" s="287"/>
      <c r="P253" s="287"/>
      <c r="Q253" s="287"/>
      <c r="R253" s="287"/>
      <c r="S253" s="287"/>
      <c r="T253" s="287"/>
      <c r="U253" s="287"/>
      <c r="V253" s="287"/>
      <c r="W253" s="287"/>
      <c r="X253" s="287"/>
      <c r="Y253" s="287"/>
      <c r="Z253" s="287"/>
      <c r="AA253" s="287"/>
      <c r="AB253" s="287"/>
      <c r="AC253" s="287"/>
      <c r="AD253" s="287"/>
      <c r="AE253" s="287"/>
      <c r="AF253" s="287"/>
      <c r="AG253" s="287"/>
      <c r="AH253" s="287"/>
      <c r="AI253" s="287"/>
      <c r="AJ253" s="287"/>
      <c r="AK253" s="287"/>
      <c r="AL253" s="287"/>
      <c r="AM253" s="287"/>
      <c r="AN253" s="287"/>
      <c r="AO253" s="287"/>
      <c r="AP253" s="287"/>
      <c r="AQ253" s="287"/>
      <c r="AR253" s="287"/>
      <c r="AS253" s="287"/>
      <c r="AT253" s="287"/>
      <c r="AU253" s="287"/>
      <c r="AV253" s="287"/>
      <c r="AW253" s="287"/>
      <c r="AX253" s="287"/>
      <c r="AY253" s="287"/>
      <c r="AZ253" s="287"/>
      <c r="BA253" s="287"/>
      <c r="BB253" s="287"/>
      <c r="BC253" s="287"/>
    </row>
    <row r="254" ht="15.75" customHeight="1">
      <c r="A254" s="287"/>
      <c r="B254" s="287"/>
      <c r="C254" s="287"/>
      <c r="D254" s="287"/>
      <c r="E254" s="287"/>
      <c r="F254" s="287"/>
      <c r="G254" s="287"/>
      <c r="H254" s="287"/>
      <c r="I254" s="287"/>
      <c r="J254" s="287"/>
      <c r="K254" s="287"/>
      <c r="L254" s="287"/>
      <c r="M254" s="287"/>
      <c r="N254" s="287"/>
      <c r="O254" s="287"/>
      <c r="P254" s="287"/>
      <c r="Q254" s="287"/>
      <c r="R254" s="287"/>
      <c r="S254" s="287"/>
      <c r="T254" s="287"/>
      <c r="U254" s="287"/>
      <c r="V254" s="287"/>
      <c r="W254" s="287"/>
      <c r="X254" s="287"/>
      <c r="Y254" s="287"/>
      <c r="Z254" s="287"/>
      <c r="AA254" s="287"/>
      <c r="AB254" s="287"/>
      <c r="AC254" s="287"/>
      <c r="AD254" s="287"/>
      <c r="AE254" s="287"/>
      <c r="AF254" s="287"/>
      <c r="AG254" s="287"/>
      <c r="AH254" s="287"/>
      <c r="AI254" s="287"/>
      <c r="AJ254" s="287"/>
      <c r="AK254" s="287"/>
      <c r="AL254" s="287"/>
      <c r="AM254" s="287"/>
      <c r="AN254" s="287"/>
      <c r="AO254" s="287"/>
      <c r="AP254" s="287"/>
      <c r="AQ254" s="287"/>
      <c r="AR254" s="287"/>
      <c r="AS254" s="287"/>
      <c r="AT254" s="287"/>
      <c r="AU254" s="287"/>
      <c r="AV254" s="287"/>
      <c r="AW254" s="287"/>
      <c r="AX254" s="287"/>
      <c r="AY254" s="287"/>
      <c r="AZ254" s="287"/>
      <c r="BA254" s="287"/>
      <c r="BB254" s="287"/>
      <c r="BC254" s="287"/>
    </row>
    <row r="255" ht="15.75" customHeight="1">
      <c r="A255" s="287"/>
      <c r="B255" s="287"/>
      <c r="C255" s="287"/>
      <c r="D255" s="287"/>
      <c r="E255" s="287"/>
      <c r="F255" s="287"/>
      <c r="G255" s="287"/>
      <c r="H255" s="287"/>
      <c r="I255" s="287"/>
      <c r="J255" s="287"/>
      <c r="K255" s="287"/>
      <c r="L255" s="287"/>
      <c r="M255" s="287"/>
      <c r="N255" s="287"/>
      <c r="O255" s="287"/>
      <c r="P255" s="287"/>
      <c r="Q255" s="287"/>
      <c r="R255" s="287"/>
      <c r="S255" s="287"/>
      <c r="T255" s="287"/>
      <c r="U255" s="287"/>
      <c r="V255" s="287"/>
      <c r="W255" s="287"/>
      <c r="X255" s="287"/>
      <c r="Y255" s="287"/>
      <c r="Z255" s="287"/>
      <c r="AA255" s="287"/>
      <c r="AB255" s="287"/>
      <c r="AC255" s="287"/>
      <c r="AD255" s="287"/>
      <c r="AE255" s="287"/>
      <c r="AF255" s="287"/>
      <c r="AG255" s="287"/>
      <c r="AH255" s="287"/>
      <c r="AI255" s="287"/>
      <c r="AJ255" s="287"/>
      <c r="AK255" s="287"/>
      <c r="AL255" s="287"/>
      <c r="AM255" s="287"/>
      <c r="AN255" s="287"/>
      <c r="AO255" s="287"/>
      <c r="AP255" s="287"/>
      <c r="AQ255" s="287"/>
      <c r="AR255" s="287"/>
      <c r="AS255" s="287"/>
      <c r="AT255" s="287"/>
      <c r="AU255" s="287"/>
      <c r="AV255" s="287"/>
      <c r="AW255" s="287"/>
      <c r="AX255" s="287"/>
      <c r="AY255" s="287"/>
      <c r="AZ255" s="287"/>
      <c r="BA255" s="287"/>
      <c r="BB255" s="287"/>
      <c r="BC255" s="287"/>
    </row>
    <row r="256" ht="15.75" customHeight="1">
      <c r="A256" s="287"/>
      <c r="B256" s="287"/>
      <c r="C256" s="287"/>
      <c r="D256" s="287"/>
      <c r="E256" s="287"/>
      <c r="F256" s="287"/>
      <c r="G256" s="287"/>
      <c r="H256" s="287"/>
      <c r="I256" s="287"/>
      <c r="J256" s="287"/>
      <c r="K256" s="287"/>
      <c r="L256" s="287"/>
      <c r="M256" s="287"/>
      <c r="N256" s="287"/>
      <c r="O256" s="287"/>
      <c r="P256" s="287"/>
      <c r="Q256" s="287"/>
      <c r="R256" s="287"/>
      <c r="S256" s="287"/>
      <c r="T256" s="287"/>
      <c r="U256" s="287"/>
      <c r="V256" s="287"/>
      <c r="W256" s="287"/>
      <c r="X256" s="287"/>
      <c r="Y256" s="287"/>
      <c r="Z256" s="287"/>
      <c r="AA256" s="287"/>
      <c r="AB256" s="287"/>
      <c r="AC256" s="287"/>
      <c r="AD256" s="287"/>
      <c r="AE256" s="287"/>
      <c r="AF256" s="287"/>
      <c r="AG256" s="287"/>
      <c r="AH256" s="287"/>
      <c r="AI256" s="287"/>
      <c r="AJ256" s="287"/>
      <c r="AK256" s="287"/>
      <c r="AL256" s="287"/>
      <c r="AM256" s="287"/>
      <c r="AN256" s="287"/>
      <c r="AO256" s="287"/>
      <c r="AP256" s="287"/>
      <c r="AQ256" s="287"/>
      <c r="AR256" s="287"/>
      <c r="AS256" s="287"/>
      <c r="AT256" s="287"/>
      <c r="AU256" s="287"/>
      <c r="AV256" s="287"/>
      <c r="AW256" s="287"/>
      <c r="AX256" s="287"/>
      <c r="AY256" s="287"/>
      <c r="AZ256" s="287"/>
      <c r="BA256" s="287"/>
      <c r="BB256" s="287"/>
      <c r="BC256" s="287"/>
    </row>
    <row r="257" ht="15.75" customHeight="1">
      <c r="A257" s="287"/>
      <c r="B257" s="287"/>
      <c r="C257" s="287"/>
      <c r="D257" s="287"/>
      <c r="E257" s="287"/>
      <c r="F257" s="287"/>
      <c r="G257" s="287"/>
      <c r="H257" s="287"/>
      <c r="I257" s="287"/>
      <c r="J257" s="287"/>
      <c r="K257" s="287"/>
      <c r="L257" s="287"/>
      <c r="M257" s="287"/>
      <c r="N257" s="287"/>
      <c r="O257" s="287"/>
      <c r="P257" s="287"/>
      <c r="Q257" s="287"/>
      <c r="R257" s="287"/>
      <c r="S257" s="287"/>
      <c r="T257" s="287"/>
      <c r="U257" s="287"/>
      <c r="V257" s="287"/>
      <c r="W257" s="287"/>
      <c r="X257" s="287"/>
      <c r="Y257" s="287"/>
      <c r="Z257" s="287"/>
      <c r="AA257" s="287"/>
      <c r="AB257" s="287"/>
      <c r="AC257" s="287"/>
      <c r="AD257" s="287"/>
      <c r="AE257" s="287"/>
      <c r="AF257" s="287"/>
      <c r="AG257" s="287"/>
      <c r="AH257" s="287"/>
      <c r="AI257" s="287"/>
      <c r="AJ257" s="287"/>
      <c r="AK257" s="287"/>
      <c r="AL257" s="287"/>
      <c r="AM257" s="287"/>
      <c r="AN257" s="287"/>
      <c r="AO257" s="287"/>
      <c r="AP257" s="287"/>
      <c r="AQ257" s="287"/>
      <c r="AR257" s="287"/>
      <c r="AS257" s="287"/>
      <c r="AT257" s="287"/>
      <c r="AU257" s="287"/>
      <c r="AV257" s="287"/>
      <c r="AW257" s="287"/>
      <c r="AX257" s="287"/>
      <c r="AY257" s="287"/>
      <c r="AZ257" s="287"/>
      <c r="BA257" s="287"/>
      <c r="BB257" s="287"/>
      <c r="BC257" s="287"/>
    </row>
    <row r="258" ht="15.75" customHeight="1">
      <c r="A258" s="287"/>
      <c r="B258" s="287"/>
      <c r="C258" s="287"/>
      <c r="D258" s="287"/>
      <c r="E258" s="287"/>
      <c r="F258" s="287"/>
      <c r="G258" s="287"/>
      <c r="H258" s="287"/>
      <c r="I258" s="287"/>
      <c r="J258" s="287"/>
      <c r="K258" s="287"/>
      <c r="L258" s="287"/>
      <c r="M258" s="287"/>
      <c r="N258" s="287"/>
      <c r="O258" s="287"/>
      <c r="P258" s="287"/>
      <c r="Q258" s="287"/>
      <c r="R258" s="287"/>
      <c r="S258" s="287"/>
      <c r="T258" s="287"/>
      <c r="U258" s="287"/>
      <c r="V258" s="287"/>
      <c r="W258" s="287"/>
      <c r="X258" s="287"/>
      <c r="Y258" s="287"/>
      <c r="Z258" s="287"/>
      <c r="AA258" s="287"/>
      <c r="AB258" s="287"/>
      <c r="AC258" s="287"/>
      <c r="AD258" s="287"/>
      <c r="AE258" s="287"/>
      <c r="AF258" s="287"/>
      <c r="AG258" s="287"/>
      <c r="AH258" s="287"/>
      <c r="AI258" s="287"/>
      <c r="AJ258" s="287"/>
      <c r="AK258" s="287"/>
      <c r="AL258" s="287"/>
      <c r="AM258" s="287"/>
      <c r="AN258" s="287"/>
      <c r="AO258" s="287"/>
      <c r="AP258" s="287"/>
      <c r="AQ258" s="287"/>
      <c r="AR258" s="287"/>
      <c r="AS258" s="287"/>
      <c r="AT258" s="287"/>
      <c r="AU258" s="287"/>
      <c r="AV258" s="287"/>
      <c r="AW258" s="287"/>
      <c r="AX258" s="287"/>
      <c r="AY258" s="287"/>
      <c r="AZ258" s="287"/>
      <c r="BA258" s="287"/>
      <c r="BB258" s="287"/>
      <c r="BC258" s="287"/>
    </row>
    <row r="259" ht="15.75" customHeight="1">
      <c r="A259" s="287"/>
      <c r="B259" s="287"/>
      <c r="C259" s="287"/>
      <c r="D259" s="287"/>
      <c r="E259" s="287"/>
      <c r="F259" s="287"/>
      <c r="G259" s="287"/>
      <c r="H259" s="287"/>
      <c r="I259" s="287"/>
      <c r="J259" s="287"/>
      <c r="K259" s="287"/>
      <c r="L259" s="287"/>
      <c r="M259" s="287"/>
      <c r="N259" s="287"/>
      <c r="O259" s="287"/>
      <c r="P259" s="287"/>
      <c r="Q259" s="287"/>
      <c r="R259" s="287"/>
      <c r="S259" s="287"/>
      <c r="T259" s="287"/>
      <c r="U259" s="287"/>
      <c r="V259" s="287"/>
      <c r="W259" s="287"/>
      <c r="X259" s="287"/>
      <c r="Y259" s="287"/>
      <c r="Z259" s="287"/>
      <c r="AA259" s="287"/>
      <c r="AB259" s="287"/>
      <c r="AC259" s="287"/>
      <c r="AD259" s="287"/>
      <c r="AE259" s="287"/>
      <c r="AF259" s="287"/>
      <c r="AG259" s="287"/>
      <c r="AH259" s="287"/>
      <c r="AI259" s="287"/>
      <c r="AJ259" s="287"/>
      <c r="AK259" s="287"/>
      <c r="AL259" s="287"/>
      <c r="AM259" s="287"/>
      <c r="AN259" s="287"/>
      <c r="AO259" s="287"/>
      <c r="AP259" s="287"/>
      <c r="AQ259" s="287"/>
      <c r="AR259" s="287"/>
      <c r="AS259" s="287"/>
      <c r="AT259" s="287"/>
      <c r="AU259" s="287"/>
      <c r="AV259" s="287"/>
      <c r="AW259" s="287"/>
      <c r="AX259" s="287"/>
      <c r="AY259" s="287"/>
      <c r="AZ259" s="287"/>
      <c r="BA259" s="287"/>
      <c r="BB259" s="287"/>
      <c r="BC259" s="287"/>
    </row>
    <row r="260" ht="15.75" customHeight="1">
      <c r="A260" s="287"/>
      <c r="B260" s="287"/>
      <c r="C260" s="287"/>
      <c r="D260" s="287"/>
      <c r="E260" s="287"/>
      <c r="F260" s="287"/>
      <c r="G260" s="287"/>
      <c r="H260" s="287"/>
      <c r="I260" s="287"/>
      <c r="J260" s="287"/>
      <c r="K260" s="287"/>
      <c r="L260" s="287"/>
      <c r="M260" s="287"/>
      <c r="N260" s="287"/>
      <c r="O260" s="287"/>
      <c r="P260" s="287"/>
      <c r="Q260" s="287"/>
      <c r="R260" s="287"/>
      <c r="S260" s="287"/>
      <c r="T260" s="287"/>
      <c r="U260" s="287"/>
      <c r="V260" s="287"/>
      <c r="W260" s="287"/>
      <c r="X260" s="287"/>
      <c r="Y260" s="287"/>
      <c r="Z260" s="287"/>
      <c r="AA260" s="287"/>
      <c r="AB260" s="287"/>
      <c r="AC260" s="287"/>
      <c r="AD260" s="287"/>
      <c r="AE260" s="287"/>
      <c r="AF260" s="287"/>
      <c r="AG260" s="287"/>
      <c r="AH260" s="287"/>
      <c r="AI260" s="287"/>
      <c r="AJ260" s="287"/>
      <c r="AK260" s="287"/>
      <c r="AL260" s="287"/>
      <c r="AM260" s="287"/>
      <c r="AN260" s="287"/>
      <c r="AO260" s="287"/>
      <c r="AP260" s="287"/>
      <c r="AQ260" s="287"/>
      <c r="AR260" s="287"/>
      <c r="AS260" s="287"/>
      <c r="AT260" s="287"/>
      <c r="AU260" s="287"/>
      <c r="AV260" s="287"/>
      <c r="AW260" s="287"/>
      <c r="AX260" s="287"/>
      <c r="AY260" s="287"/>
      <c r="AZ260" s="287"/>
      <c r="BA260" s="287"/>
      <c r="BB260" s="287"/>
      <c r="BC260" s="287"/>
    </row>
    <row r="261" ht="15.75" customHeight="1">
      <c r="A261" s="287"/>
      <c r="B261" s="287"/>
      <c r="C261" s="287"/>
      <c r="D261" s="287"/>
      <c r="E261" s="287"/>
      <c r="F261" s="287"/>
      <c r="G261" s="287"/>
      <c r="H261" s="287"/>
      <c r="I261" s="287"/>
      <c r="J261" s="287"/>
      <c r="K261" s="287"/>
      <c r="L261" s="287"/>
      <c r="M261" s="287"/>
      <c r="N261" s="287"/>
      <c r="O261" s="287"/>
      <c r="P261" s="287"/>
      <c r="Q261" s="287"/>
      <c r="R261" s="287"/>
      <c r="S261" s="287"/>
      <c r="T261" s="287"/>
      <c r="U261" s="287"/>
      <c r="V261" s="287"/>
      <c r="W261" s="287"/>
      <c r="X261" s="287"/>
      <c r="Y261" s="287"/>
      <c r="Z261" s="287"/>
      <c r="AA261" s="287"/>
      <c r="AB261" s="287"/>
      <c r="AC261" s="287"/>
      <c r="AD261" s="287"/>
      <c r="AE261" s="287"/>
      <c r="AF261" s="287"/>
      <c r="AG261" s="287"/>
      <c r="AH261" s="287"/>
      <c r="AI261" s="287"/>
      <c r="AJ261" s="287"/>
      <c r="AK261" s="287"/>
      <c r="AL261" s="287"/>
      <c r="AM261" s="287"/>
      <c r="AN261" s="287"/>
      <c r="AO261" s="287"/>
      <c r="AP261" s="287"/>
      <c r="AQ261" s="287"/>
      <c r="AR261" s="287"/>
      <c r="AS261" s="287"/>
      <c r="AT261" s="287"/>
      <c r="AU261" s="287"/>
      <c r="AV261" s="287"/>
      <c r="AW261" s="287"/>
      <c r="AX261" s="287"/>
      <c r="AY261" s="287"/>
      <c r="AZ261" s="287"/>
      <c r="BA261" s="287"/>
      <c r="BB261" s="287"/>
      <c r="BC261" s="287"/>
    </row>
    <row r="262" ht="15.75" customHeight="1">
      <c r="A262" s="287"/>
      <c r="B262" s="287"/>
      <c r="C262" s="287"/>
      <c r="D262" s="287"/>
      <c r="E262" s="287"/>
      <c r="F262" s="287"/>
      <c r="G262" s="287"/>
      <c r="H262" s="287"/>
      <c r="I262" s="287"/>
      <c r="J262" s="287"/>
      <c r="K262" s="287"/>
      <c r="L262" s="287"/>
      <c r="M262" s="287"/>
      <c r="N262" s="287"/>
      <c r="O262" s="287"/>
      <c r="P262" s="287"/>
      <c r="Q262" s="287"/>
      <c r="R262" s="287"/>
      <c r="S262" s="287"/>
      <c r="T262" s="287"/>
      <c r="U262" s="287"/>
      <c r="V262" s="287"/>
      <c r="W262" s="287"/>
      <c r="X262" s="287"/>
      <c r="Y262" s="287"/>
      <c r="Z262" s="287"/>
      <c r="AA262" s="287"/>
      <c r="AB262" s="287"/>
      <c r="AC262" s="287"/>
      <c r="AD262" s="287"/>
      <c r="AE262" s="287"/>
      <c r="AF262" s="287"/>
      <c r="AG262" s="287"/>
      <c r="AH262" s="287"/>
      <c r="AI262" s="287"/>
      <c r="AJ262" s="287"/>
      <c r="AK262" s="287"/>
      <c r="AL262" s="287"/>
      <c r="AM262" s="287"/>
      <c r="AN262" s="287"/>
      <c r="AO262" s="287"/>
      <c r="AP262" s="287"/>
      <c r="AQ262" s="287"/>
      <c r="AR262" s="287"/>
      <c r="AS262" s="287"/>
      <c r="AT262" s="287"/>
      <c r="AU262" s="287"/>
      <c r="AV262" s="287"/>
      <c r="AW262" s="287"/>
      <c r="AX262" s="287"/>
      <c r="AY262" s="287"/>
      <c r="AZ262" s="287"/>
      <c r="BA262" s="287"/>
      <c r="BB262" s="287"/>
      <c r="BC262" s="287"/>
    </row>
    <row r="263" ht="15.75" customHeight="1">
      <c r="A263" s="287"/>
      <c r="B263" s="287"/>
      <c r="C263" s="287"/>
      <c r="D263" s="287"/>
      <c r="E263" s="287"/>
      <c r="F263" s="287"/>
      <c r="G263" s="287"/>
      <c r="H263" s="287"/>
      <c r="I263" s="287"/>
      <c r="J263" s="287"/>
      <c r="K263" s="287"/>
      <c r="L263" s="287"/>
      <c r="M263" s="287"/>
      <c r="N263" s="287"/>
      <c r="O263" s="287"/>
      <c r="P263" s="287"/>
      <c r="Q263" s="287"/>
      <c r="R263" s="287"/>
      <c r="S263" s="287"/>
      <c r="T263" s="287"/>
      <c r="U263" s="287"/>
      <c r="V263" s="287"/>
      <c r="W263" s="287"/>
      <c r="X263" s="287"/>
      <c r="Y263" s="287"/>
      <c r="Z263" s="287"/>
      <c r="AA263" s="287"/>
      <c r="AB263" s="287"/>
      <c r="AC263" s="287"/>
      <c r="AD263" s="287"/>
      <c r="AE263" s="287"/>
      <c r="AF263" s="287"/>
      <c r="AG263" s="287"/>
      <c r="AH263" s="287"/>
      <c r="AI263" s="287"/>
      <c r="AJ263" s="287"/>
      <c r="AK263" s="287"/>
      <c r="AL263" s="287"/>
      <c r="AM263" s="287"/>
      <c r="AN263" s="287"/>
      <c r="AO263" s="287"/>
      <c r="AP263" s="287"/>
      <c r="AQ263" s="287"/>
      <c r="AR263" s="287"/>
      <c r="AS263" s="287"/>
      <c r="AT263" s="287"/>
      <c r="AU263" s="287"/>
      <c r="AV263" s="287"/>
      <c r="AW263" s="287"/>
      <c r="AX263" s="287"/>
      <c r="AY263" s="287"/>
      <c r="AZ263" s="287"/>
      <c r="BA263" s="287"/>
      <c r="BB263" s="287"/>
      <c r="BC263" s="287"/>
    </row>
    <row r="264" ht="15.75" customHeight="1">
      <c r="A264" s="287"/>
      <c r="B264" s="287"/>
      <c r="C264" s="287"/>
      <c r="D264" s="287"/>
      <c r="E264" s="287"/>
      <c r="F264" s="287"/>
      <c r="G264" s="287"/>
      <c r="H264" s="287"/>
      <c r="I264" s="287"/>
      <c r="J264" s="287"/>
      <c r="K264" s="287"/>
      <c r="L264" s="287"/>
      <c r="M264" s="287"/>
      <c r="N264" s="287"/>
      <c r="O264" s="287"/>
      <c r="P264" s="287"/>
      <c r="Q264" s="287"/>
      <c r="R264" s="287"/>
      <c r="S264" s="287"/>
      <c r="T264" s="287"/>
      <c r="U264" s="287"/>
      <c r="V264" s="287"/>
      <c r="W264" s="287"/>
      <c r="X264" s="287"/>
      <c r="Y264" s="287"/>
      <c r="Z264" s="287"/>
      <c r="AA264" s="287"/>
      <c r="AB264" s="287"/>
      <c r="AC264" s="287"/>
      <c r="AD264" s="287"/>
      <c r="AE264" s="287"/>
      <c r="AF264" s="287"/>
      <c r="AG264" s="287"/>
      <c r="AH264" s="287"/>
      <c r="AI264" s="287"/>
      <c r="AJ264" s="287"/>
      <c r="AK264" s="287"/>
      <c r="AL264" s="287"/>
      <c r="AM264" s="287"/>
      <c r="AN264" s="287"/>
      <c r="AO264" s="287"/>
      <c r="AP264" s="287"/>
      <c r="AQ264" s="287"/>
      <c r="AR264" s="287"/>
      <c r="AS264" s="287"/>
      <c r="AT264" s="287"/>
      <c r="AU264" s="287"/>
      <c r="AV264" s="287"/>
      <c r="AW264" s="287"/>
      <c r="AX264" s="287"/>
      <c r="AY264" s="287"/>
      <c r="AZ264" s="287"/>
      <c r="BA264" s="287"/>
      <c r="BB264" s="287"/>
      <c r="BC264" s="287"/>
    </row>
    <row r="265" ht="15.75" customHeight="1">
      <c r="A265" s="287"/>
      <c r="B265" s="287"/>
      <c r="C265" s="287"/>
      <c r="D265" s="287"/>
      <c r="E265" s="287"/>
      <c r="F265" s="287"/>
      <c r="G265" s="287"/>
      <c r="H265" s="287"/>
      <c r="I265" s="287"/>
      <c r="J265" s="287"/>
      <c r="K265" s="287"/>
      <c r="L265" s="287"/>
      <c r="M265" s="287"/>
      <c r="N265" s="287"/>
      <c r="O265" s="287"/>
      <c r="P265" s="287"/>
      <c r="Q265" s="287"/>
      <c r="R265" s="287"/>
      <c r="S265" s="287"/>
      <c r="T265" s="287"/>
      <c r="U265" s="287"/>
      <c r="V265" s="287"/>
      <c r="W265" s="287"/>
      <c r="X265" s="287"/>
      <c r="Y265" s="287"/>
      <c r="Z265" s="287"/>
      <c r="AA265" s="287"/>
      <c r="AB265" s="287"/>
      <c r="AC265" s="287"/>
      <c r="AD265" s="287"/>
      <c r="AE265" s="287"/>
      <c r="AF265" s="287"/>
      <c r="AG265" s="287"/>
      <c r="AH265" s="287"/>
      <c r="AI265" s="287"/>
      <c r="AJ265" s="287"/>
      <c r="AK265" s="287"/>
      <c r="AL265" s="287"/>
      <c r="AM265" s="287"/>
      <c r="AN265" s="287"/>
      <c r="AO265" s="287"/>
      <c r="AP265" s="287"/>
      <c r="AQ265" s="287"/>
      <c r="AR265" s="287"/>
      <c r="AS265" s="287"/>
      <c r="AT265" s="287"/>
      <c r="AU265" s="287"/>
      <c r="AV265" s="287"/>
      <c r="AW265" s="287"/>
      <c r="AX265" s="287"/>
      <c r="AY265" s="287"/>
      <c r="AZ265" s="287"/>
      <c r="BA265" s="287"/>
      <c r="BB265" s="287"/>
      <c r="BC265" s="287"/>
    </row>
    <row r="266" ht="15.75" customHeight="1">
      <c r="A266" s="287"/>
      <c r="B266" s="287"/>
      <c r="C266" s="287"/>
      <c r="D266" s="287"/>
      <c r="E266" s="287"/>
      <c r="F266" s="287"/>
      <c r="G266" s="287"/>
      <c r="H266" s="287"/>
      <c r="I266" s="287"/>
      <c r="J266" s="287"/>
      <c r="K266" s="287"/>
      <c r="L266" s="287"/>
      <c r="M266" s="287"/>
      <c r="N266" s="287"/>
      <c r="O266" s="287"/>
      <c r="P266" s="287"/>
      <c r="Q266" s="287"/>
      <c r="R266" s="287"/>
      <c r="S266" s="287"/>
      <c r="T266" s="287"/>
      <c r="U266" s="287"/>
      <c r="V266" s="287"/>
      <c r="W266" s="287"/>
      <c r="X266" s="287"/>
      <c r="Y266" s="287"/>
      <c r="Z266" s="287"/>
      <c r="AA266" s="287"/>
      <c r="AB266" s="287"/>
      <c r="AC266" s="287"/>
      <c r="AD266" s="287"/>
      <c r="AE266" s="287"/>
      <c r="AF266" s="287"/>
      <c r="AG266" s="287"/>
      <c r="AH266" s="287"/>
      <c r="AI266" s="287"/>
      <c r="AJ266" s="287"/>
      <c r="AK266" s="287"/>
      <c r="AL266" s="287"/>
      <c r="AM266" s="287"/>
      <c r="AN266" s="287"/>
      <c r="AO266" s="287"/>
      <c r="AP266" s="287"/>
      <c r="AQ266" s="287"/>
      <c r="AR266" s="287"/>
      <c r="AS266" s="287"/>
      <c r="AT266" s="287"/>
      <c r="AU266" s="287"/>
      <c r="AV266" s="287"/>
      <c r="AW266" s="287"/>
      <c r="AX266" s="287"/>
      <c r="AY266" s="287"/>
      <c r="AZ266" s="287"/>
      <c r="BA266" s="287"/>
      <c r="BB266" s="287"/>
      <c r="BC266" s="287"/>
    </row>
    <row r="267" ht="15.75" customHeight="1">
      <c r="A267" s="287"/>
      <c r="B267" s="287"/>
      <c r="C267" s="287"/>
      <c r="D267" s="287"/>
      <c r="E267" s="287"/>
      <c r="F267" s="287"/>
      <c r="G267" s="287"/>
      <c r="H267" s="287"/>
      <c r="I267" s="287"/>
      <c r="J267" s="287"/>
      <c r="K267" s="287"/>
      <c r="L267" s="287"/>
      <c r="M267" s="287"/>
      <c r="N267" s="287"/>
      <c r="O267" s="287"/>
      <c r="P267" s="287"/>
      <c r="Q267" s="287"/>
      <c r="R267" s="287"/>
      <c r="S267" s="287"/>
      <c r="T267" s="287"/>
      <c r="U267" s="287"/>
      <c r="V267" s="287"/>
      <c r="W267" s="287"/>
      <c r="X267" s="287"/>
      <c r="Y267" s="287"/>
      <c r="Z267" s="287"/>
      <c r="AA267" s="287"/>
      <c r="AB267" s="287"/>
      <c r="AC267" s="287"/>
      <c r="AD267" s="287"/>
      <c r="AE267" s="287"/>
      <c r="AF267" s="287"/>
      <c r="AG267" s="287"/>
      <c r="AH267" s="287"/>
      <c r="AI267" s="287"/>
      <c r="AJ267" s="287"/>
      <c r="AK267" s="287"/>
      <c r="AL267" s="287"/>
      <c r="AM267" s="287"/>
      <c r="AN267" s="287"/>
      <c r="AO267" s="287"/>
      <c r="AP267" s="287"/>
      <c r="AQ267" s="287"/>
      <c r="AR267" s="287"/>
      <c r="AS267" s="287"/>
      <c r="AT267" s="287"/>
      <c r="AU267" s="287"/>
      <c r="AV267" s="287"/>
      <c r="AW267" s="287"/>
      <c r="AX267" s="287"/>
      <c r="AY267" s="287"/>
      <c r="AZ267" s="287"/>
      <c r="BA267" s="287"/>
      <c r="BB267" s="287"/>
      <c r="BC267" s="287"/>
    </row>
    <row r="268" ht="15.75" customHeight="1">
      <c r="A268" s="287"/>
      <c r="B268" s="287"/>
      <c r="C268" s="287"/>
      <c r="D268" s="287"/>
      <c r="E268" s="287"/>
      <c r="F268" s="287"/>
      <c r="G268" s="287"/>
      <c r="H268" s="287"/>
      <c r="I268" s="287"/>
      <c r="J268" s="287"/>
      <c r="K268" s="287"/>
      <c r="L268" s="287"/>
      <c r="M268" s="287"/>
      <c r="N268" s="287"/>
      <c r="O268" s="287"/>
      <c r="P268" s="287"/>
      <c r="Q268" s="287"/>
      <c r="R268" s="287"/>
      <c r="S268" s="287"/>
      <c r="T268" s="287"/>
      <c r="U268" s="287"/>
      <c r="V268" s="287"/>
      <c r="W268" s="287"/>
      <c r="X268" s="287"/>
      <c r="Y268" s="287"/>
      <c r="Z268" s="287"/>
      <c r="AA268" s="287"/>
      <c r="AB268" s="287"/>
      <c r="AC268" s="287"/>
      <c r="AD268" s="287"/>
      <c r="AE268" s="287"/>
      <c r="AF268" s="287"/>
      <c r="AG268" s="287"/>
      <c r="AH268" s="287"/>
      <c r="AI268" s="287"/>
      <c r="AJ268" s="287"/>
      <c r="AK268" s="287"/>
      <c r="AL268" s="287"/>
      <c r="AM268" s="287"/>
      <c r="AN268" s="287"/>
      <c r="AO268" s="287"/>
      <c r="AP268" s="287"/>
      <c r="AQ268" s="287"/>
      <c r="AR268" s="287"/>
      <c r="AS268" s="287"/>
      <c r="AT268" s="287"/>
      <c r="AU268" s="287"/>
      <c r="AV268" s="287"/>
      <c r="AW268" s="287"/>
      <c r="AX268" s="287"/>
      <c r="AY268" s="287"/>
      <c r="AZ268" s="287"/>
      <c r="BA268" s="287"/>
      <c r="BB268" s="287"/>
      <c r="BC268" s="287"/>
    </row>
    <row r="269" ht="15.75" customHeight="1">
      <c r="A269" s="287"/>
      <c r="B269" s="287"/>
      <c r="C269" s="287"/>
      <c r="D269" s="287"/>
      <c r="E269" s="287"/>
      <c r="F269" s="287"/>
      <c r="G269" s="287"/>
      <c r="H269" s="287"/>
      <c r="I269" s="287"/>
      <c r="J269" s="287"/>
      <c r="K269" s="287"/>
      <c r="L269" s="287"/>
      <c r="M269" s="287"/>
      <c r="N269" s="287"/>
      <c r="O269" s="287"/>
      <c r="P269" s="287"/>
      <c r="Q269" s="287"/>
      <c r="R269" s="287"/>
      <c r="S269" s="287"/>
      <c r="T269" s="287"/>
      <c r="U269" s="287"/>
      <c r="V269" s="287"/>
      <c r="W269" s="287"/>
      <c r="X269" s="287"/>
      <c r="Y269" s="287"/>
      <c r="Z269" s="287"/>
      <c r="AA269" s="287"/>
      <c r="AB269" s="287"/>
      <c r="AC269" s="287"/>
      <c r="AD269" s="287"/>
      <c r="AE269" s="287"/>
      <c r="AF269" s="287"/>
      <c r="AG269" s="287"/>
      <c r="AH269" s="287"/>
      <c r="AI269" s="287"/>
      <c r="AJ269" s="287"/>
      <c r="AK269" s="287"/>
      <c r="AL269" s="287"/>
      <c r="AM269" s="287"/>
      <c r="AN269" s="287"/>
      <c r="AO269" s="287"/>
      <c r="AP269" s="287"/>
      <c r="AQ269" s="287"/>
      <c r="AR269" s="287"/>
      <c r="AS269" s="287"/>
      <c r="AT269" s="287"/>
      <c r="AU269" s="287"/>
      <c r="AV269" s="287"/>
      <c r="AW269" s="287"/>
      <c r="AX269" s="287"/>
      <c r="AY269" s="287"/>
      <c r="AZ269" s="287"/>
      <c r="BA269" s="287"/>
      <c r="BB269" s="287"/>
      <c r="BC269" s="287"/>
    </row>
    <row r="270" ht="15.75" customHeight="1">
      <c r="A270" s="287"/>
      <c r="B270" s="287"/>
      <c r="C270" s="287"/>
      <c r="D270" s="287"/>
      <c r="E270" s="287"/>
      <c r="F270" s="287"/>
      <c r="G270" s="287"/>
      <c r="H270" s="287"/>
      <c r="I270" s="287"/>
      <c r="J270" s="287"/>
      <c r="K270" s="287"/>
      <c r="L270" s="287"/>
      <c r="M270" s="287"/>
      <c r="N270" s="287"/>
      <c r="O270" s="287"/>
      <c r="P270" s="287"/>
      <c r="Q270" s="287"/>
      <c r="R270" s="287"/>
      <c r="S270" s="287"/>
      <c r="T270" s="287"/>
      <c r="U270" s="287"/>
      <c r="V270" s="287"/>
      <c r="W270" s="287"/>
      <c r="X270" s="287"/>
      <c r="Y270" s="287"/>
      <c r="Z270" s="287"/>
      <c r="AA270" s="287"/>
      <c r="AB270" s="287"/>
      <c r="AC270" s="287"/>
      <c r="AD270" s="287"/>
      <c r="AE270" s="287"/>
      <c r="AF270" s="287"/>
      <c r="AG270" s="287"/>
      <c r="AH270" s="287"/>
      <c r="AI270" s="287"/>
      <c r="AJ270" s="287"/>
      <c r="AK270" s="287"/>
      <c r="AL270" s="287"/>
      <c r="AM270" s="287"/>
      <c r="AN270" s="287"/>
      <c r="AO270" s="287"/>
      <c r="AP270" s="287"/>
      <c r="AQ270" s="287"/>
      <c r="AR270" s="287"/>
      <c r="AS270" s="287"/>
      <c r="AT270" s="287"/>
      <c r="AU270" s="287"/>
      <c r="AV270" s="287"/>
      <c r="AW270" s="287"/>
      <c r="AX270" s="287"/>
      <c r="AY270" s="287"/>
      <c r="AZ270" s="287"/>
      <c r="BA270" s="287"/>
      <c r="BB270" s="287"/>
      <c r="BC270" s="287"/>
    </row>
    <row r="271" ht="15.75" customHeight="1">
      <c r="A271" s="287"/>
      <c r="B271" s="287"/>
      <c r="C271" s="287"/>
      <c r="D271" s="287"/>
      <c r="E271" s="287"/>
      <c r="F271" s="287"/>
      <c r="G271" s="287"/>
      <c r="H271" s="287"/>
      <c r="I271" s="287"/>
      <c r="J271" s="287"/>
      <c r="K271" s="287"/>
      <c r="L271" s="287"/>
      <c r="M271" s="287"/>
      <c r="N271" s="287"/>
      <c r="O271" s="287"/>
      <c r="P271" s="287"/>
      <c r="Q271" s="287"/>
      <c r="R271" s="287"/>
      <c r="S271" s="287"/>
      <c r="T271" s="287"/>
      <c r="U271" s="287"/>
      <c r="V271" s="287"/>
      <c r="W271" s="287"/>
      <c r="X271" s="287"/>
      <c r="Y271" s="287"/>
      <c r="Z271" s="287"/>
      <c r="AA271" s="287"/>
      <c r="AB271" s="287"/>
      <c r="AC271" s="287"/>
      <c r="AD271" s="287"/>
      <c r="AE271" s="287"/>
      <c r="AF271" s="287"/>
      <c r="AG271" s="287"/>
      <c r="AH271" s="287"/>
      <c r="AI271" s="287"/>
      <c r="AJ271" s="287"/>
      <c r="AK271" s="287"/>
      <c r="AL271" s="287"/>
      <c r="AM271" s="287"/>
      <c r="AN271" s="287"/>
      <c r="AO271" s="287"/>
      <c r="AP271" s="287"/>
      <c r="AQ271" s="287"/>
      <c r="AR271" s="287"/>
      <c r="AS271" s="287"/>
      <c r="AT271" s="287"/>
      <c r="AU271" s="287"/>
      <c r="AV271" s="287"/>
      <c r="AW271" s="287"/>
      <c r="AX271" s="287"/>
      <c r="AY271" s="287"/>
      <c r="AZ271" s="287"/>
      <c r="BA271" s="287"/>
      <c r="BB271" s="287"/>
      <c r="BC271" s="287"/>
    </row>
    <row r="272" ht="15.75" customHeight="1">
      <c r="A272" s="287"/>
      <c r="B272" s="287"/>
      <c r="C272" s="287"/>
      <c r="D272" s="287"/>
      <c r="E272" s="287"/>
      <c r="F272" s="287"/>
      <c r="G272" s="287"/>
      <c r="H272" s="287"/>
      <c r="I272" s="287"/>
      <c r="J272" s="287"/>
      <c r="K272" s="287"/>
      <c r="L272" s="287"/>
      <c r="M272" s="287"/>
      <c r="N272" s="287"/>
      <c r="O272" s="287"/>
      <c r="P272" s="287"/>
      <c r="Q272" s="287"/>
      <c r="R272" s="287"/>
      <c r="S272" s="287"/>
      <c r="T272" s="287"/>
      <c r="U272" s="287"/>
      <c r="V272" s="287"/>
      <c r="W272" s="287"/>
      <c r="X272" s="287"/>
      <c r="Y272" s="287"/>
      <c r="Z272" s="287"/>
      <c r="AA272" s="287"/>
      <c r="AB272" s="287"/>
      <c r="AC272" s="287"/>
      <c r="AD272" s="287"/>
      <c r="AE272" s="287"/>
      <c r="AF272" s="287"/>
      <c r="AG272" s="287"/>
      <c r="AH272" s="287"/>
      <c r="AI272" s="287"/>
      <c r="AJ272" s="287"/>
      <c r="AK272" s="287"/>
      <c r="AL272" s="287"/>
      <c r="AM272" s="287"/>
      <c r="AN272" s="287"/>
      <c r="AO272" s="287"/>
      <c r="AP272" s="287"/>
      <c r="AQ272" s="287"/>
      <c r="AR272" s="287"/>
      <c r="AS272" s="287"/>
      <c r="AT272" s="287"/>
      <c r="AU272" s="287"/>
      <c r="AV272" s="287"/>
      <c r="AW272" s="287"/>
      <c r="AX272" s="287"/>
      <c r="AY272" s="287"/>
      <c r="AZ272" s="287"/>
      <c r="BA272" s="287"/>
      <c r="BB272" s="287"/>
      <c r="BC272" s="287"/>
    </row>
    <row r="273" ht="15.75" customHeight="1">
      <c r="A273" s="287"/>
      <c r="B273" s="287"/>
      <c r="C273" s="287"/>
      <c r="D273" s="287"/>
      <c r="E273" s="287"/>
      <c r="F273" s="287"/>
      <c r="G273" s="287"/>
      <c r="H273" s="287"/>
      <c r="I273" s="287"/>
      <c r="J273" s="287"/>
      <c r="K273" s="287"/>
      <c r="L273" s="287"/>
      <c r="M273" s="287"/>
      <c r="N273" s="287"/>
      <c r="O273" s="287"/>
      <c r="P273" s="287"/>
      <c r="Q273" s="287"/>
      <c r="R273" s="287"/>
      <c r="S273" s="287"/>
      <c r="T273" s="287"/>
      <c r="U273" s="287"/>
      <c r="V273" s="287"/>
      <c r="W273" s="287"/>
      <c r="X273" s="287"/>
      <c r="Y273" s="287"/>
      <c r="Z273" s="287"/>
      <c r="AA273" s="287"/>
      <c r="AB273" s="287"/>
      <c r="AC273" s="287"/>
      <c r="AD273" s="287"/>
      <c r="AE273" s="287"/>
      <c r="AF273" s="287"/>
      <c r="AG273" s="287"/>
      <c r="AH273" s="287"/>
      <c r="AI273" s="287"/>
      <c r="AJ273" s="287"/>
      <c r="AK273" s="287"/>
      <c r="AL273" s="287"/>
      <c r="AM273" s="287"/>
      <c r="AN273" s="287"/>
      <c r="AO273" s="287"/>
      <c r="AP273" s="287"/>
      <c r="AQ273" s="287"/>
      <c r="AR273" s="287"/>
      <c r="AS273" s="287"/>
      <c r="AT273" s="287"/>
      <c r="AU273" s="287"/>
      <c r="AV273" s="287"/>
      <c r="AW273" s="287"/>
      <c r="AX273" s="287"/>
      <c r="AY273" s="287"/>
      <c r="AZ273" s="287"/>
      <c r="BA273" s="287"/>
      <c r="BB273" s="287"/>
      <c r="BC273" s="287"/>
    </row>
    <row r="274" ht="15.75" customHeight="1">
      <c r="A274" s="287"/>
      <c r="B274" s="287"/>
      <c r="C274" s="287"/>
      <c r="D274" s="287"/>
      <c r="E274" s="287"/>
      <c r="F274" s="287"/>
      <c r="G274" s="287"/>
      <c r="H274" s="287"/>
      <c r="I274" s="287"/>
      <c r="J274" s="287"/>
      <c r="K274" s="287"/>
      <c r="L274" s="287"/>
      <c r="M274" s="287"/>
      <c r="N274" s="287"/>
      <c r="O274" s="287"/>
      <c r="P274" s="287"/>
      <c r="Q274" s="287"/>
      <c r="R274" s="287"/>
      <c r="S274" s="287"/>
      <c r="T274" s="287"/>
      <c r="U274" s="287"/>
      <c r="V274" s="287"/>
      <c r="W274" s="287"/>
      <c r="X274" s="287"/>
      <c r="Y274" s="287"/>
      <c r="Z274" s="287"/>
      <c r="AA274" s="287"/>
      <c r="AB274" s="287"/>
      <c r="AC274" s="287"/>
      <c r="AD274" s="287"/>
      <c r="AE274" s="287"/>
      <c r="AF274" s="287"/>
      <c r="AG274" s="287"/>
      <c r="AH274" s="287"/>
      <c r="AI274" s="287"/>
      <c r="AJ274" s="287"/>
      <c r="AK274" s="287"/>
      <c r="AL274" s="287"/>
      <c r="AM274" s="287"/>
      <c r="AN274" s="287"/>
      <c r="AO274" s="287"/>
      <c r="AP274" s="287"/>
      <c r="AQ274" s="287"/>
      <c r="AR274" s="287"/>
      <c r="AS274" s="287"/>
      <c r="AT274" s="287"/>
      <c r="AU274" s="287"/>
      <c r="AV274" s="287"/>
      <c r="AW274" s="287"/>
      <c r="AX274" s="287"/>
      <c r="AY274" s="287"/>
      <c r="AZ274" s="287"/>
      <c r="BA274" s="287"/>
      <c r="BB274" s="287"/>
      <c r="BC274" s="287"/>
    </row>
    <row r="275" ht="15.75" customHeight="1">
      <c r="A275" s="287"/>
      <c r="B275" s="287"/>
      <c r="C275" s="287"/>
      <c r="D275" s="287"/>
      <c r="E275" s="287"/>
      <c r="F275" s="287"/>
      <c r="G275" s="287"/>
      <c r="H275" s="287"/>
      <c r="I275" s="287"/>
      <c r="J275" s="287"/>
      <c r="K275" s="287"/>
      <c r="L275" s="287"/>
      <c r="M275" s="287"/>
      <c r="N275" s="287"/>
      <c r="O275" s="287"/>
      <c r="P275" s="287"/>
      <c r="Q275" s="287"/>
      <c r="R275" s="287"/>
      <c r="S275" s="287"/>
      <c r="T275" s="287"/>
      <c r="U275" s="287"/>
      <c r="V275" s="287"/>
      <c r="W275" s="287"/>
      <c r="X275" s="287"/>
      <c r="Y275" s="287"/>
      <c r="Z275" s="287"/>
      <c r="AA275" s="287"/>
      <c r="AB275" s="287"/>
      <c r="AC275" s="287"/>
      <c r="AD275" s="287"/>
      <c r="AE275" s="287"/>
      <c r="AF275" s="287"/>
      <c r="AG275" s="287"/>
      <c r="AH275" s="287"/>
      <c r="AI275" s="287"/>
      <c r="AJ275" s="287"/>
      <c r="AK275" s="287"/>
      <c r="AL275" s="287"/>
      <c r="AM275" s="287"/>
      <c r="AN275" s="287"/>
      <c r="AO275" s="287"/>
      <c r="AP275" s="287"/>
      <c r="AQ275" s="287"/>
      <c r="AR275" s="287"/>
      <c r="AS275" s="287"/>
      <c r="AT275" s="287"/>
      <c r="AU275" s="287"/>
      <c r="AV275" s="287"/>
      <c r="AW275" s="287"/>
      <c r="AX275" s="287"/>
      <c r="AY275" s="287"/>
      <c r="AZ275" s="287"/>
      <c r="BA275" s="287"/>
      <c r="BB275" s="287"/>
      <c r="BC275" s="287"/>
    </row>
    <row r="276" ht="15.75" customHeight="1">
      <c r="A276" s="287"/>
      <c r="B276" s="287"/>
      <c r="C276" s="287"/>
      <c r="D276" s="287"/>
      <c r="E276" s="287"/>
      <c r="F276" s="287"/>
      <c r="G276" s="287"/>
      <c r="H276" s="287"/>
      <c r="I276" s="287"/>
      <c r="J276" s="287"/>
      <c r="K276" s="287"/>
      <c r="L276" s="287"/>
      <c r="M276" s="287"/>
      <c r="N276" s="287"/>
      <c r="O276" s="287"/>
      <c r="P276" s="287"/>
      <c r="Q276" s="287"/>
      <c r="R276" s="287"/>
      <c r="S276" s="287"/>
      <c r="T276" s="287"/>
      <c r="U276" s="287"/>
      <c r="V276" s="287"/>
      <c r="W276" s="287"/>
      <c r="X276" s="287"/>
      <c r="Y276" s="287"/>
      <c r="Z276" s="287"/>
      <c r="AA276" s="287"/>
      <c r="AB276" s="287"/>
      <c r="AC276" s="287"/>
      <c r="AD276" s="287"/>
      <c r="AE276" s="287"/>
      <c r="AF276" s="287"/>
      <c r="AG276" s="287"/>
      <c r="AH276" s="287"/>
      <c r="AI276" s="287"/>
      <c r="AJ276" s="287"/>
      <c r="AK276" s="287"/>
      <c r="AL276" s="287"/>
      <c r="AM276" s="287"/>
      <c r="AN276" s="287"/>
      <c r="AO276" s="287"/>
      <c r="AP276" s="287"/>
      <c r="AQ276" s="287"/>
      <c r="AR276" s="287"/>
      <c r="AS276" s="287"/>
      <c r="AT276" s="287"/>
      <c r="AU276" s="287"/>
      <c r="AV276" s="287"/>
      <c r="AW276" s="287"/>
      <c r="AX276" s="287"/>
      <c r="AY276" s="287"/>
      <c r="AZ276" s="287"/>
      <c r="BA276" s="287"/>
      <c r="BB276" s="287"/>
      <c r="BC276" s="287"/>
    </row>
    <row r="277" ht="15.75" customHeight="1">
      <c r="A277" s="287"/>
      <c r="B277" s="287"/>
      <c r="C277" s="287"/>
      <c r="D277" s="287"/>
      <c r="E277" s="287"/>
      <c r="F277" s="287"/>
      <c r="G277" s="287"/>
      <c r="H277" s="287"/>
      <c r="I277" s="287"/>
      <c r="J277" s="287"/>
      <c r="K277" s="287"/>
      <c r="L277" s="287"/>
      <c r="M277" s="287"/>
      <c r="N277" s="287"/>
      <c r="O277" s="287"/>
      <c r="P277" s="287"/>
      <c r="Q277" s="287"/>
      <c r="R277" s="287"/>
      <c r="S277" s="287"/>
      <c r="T277" s="287"/>
      <c r="U277" s="287"/>
      <c r="V277" s="287"/>
      <c r="W277" s="287"/>
      <c r="X277" s="287"/>
      <c r="Y277" s="287"/>
      <c r="Z277" s="287"/>
      <c r="AA277" s="287"/>
      <c r="AB277" s="287"/>
      <c r="AC277" s="287"/>
      <c r="AD277" s="287"/>
      <c r="AE277" s="287"/>
      <c r="AF277" s="287"/>
      <c r="AG277" s="287"/>
      <c r="AH277" s="287"/>
      <c r="AI277" s="287"/>
      <c r="AJ277" s="287"/>
      <c r="AK277" s="287"/>
      <c r="AL277" s="287"/>
      <c r="AM277" s="287"/>
      <c r="AN277" s="287"/>
      <c r="AO277" s="287"/>
      <c r="AP277" s="287"/>
      <c r="AQ277" s="287"/>
      <c r="AR277" s="287"/>
      <c r="AS277" s="287"/>
      <c r="AT277" s="287"/>
      <c r="AU277" s="287"/>
      <c r="AV277" s="287"/>
      <c r="AW277" s="287"/>
      <c r="AX277" s="287"/>
      <c r="AY277" s="287"/>
      <c r="AZ277" s="287"/>
      <c r="BA277" s="287"/>
      <c r="BB277" s="287"/>
      <c r="BC277" s="287"/>
    </row>
    <row r="278" ht="15.75" customHeight="1">
      <c r="A278" s="287"/>
      <c r="B278" s="287"/>
      <c r="C278" s="287"/>
      <c r="D278" s="287"/>
      <c r="E278" s="287"/>
      <c r="F278" s="287"/>
      <c r="G278" s="287"/>
      <c r="H278" s="287"/>
      <c r="I278" s="287"/>
      <c r="J278" s="287"/>
      <c r="K278" s="287"/>
      <c r="L278" s="287"/>
      <c r="M278" s="287"/>
      <c r="N278" s="287"/>
      <c r="O278" s="287"/>
      <c r="P278" s="287"/>
      <c r="Q278" s="287"/>
      <c r="R278" s="287"/>
      <c r="S278" s="287"/>
      <c r="T278" s="287"/>
      <c r="U278" s="287"/>
      <c r="V278" s="287"/>
      <c r="W278" s="287"/>
      <c r="X278" s="287"/>
      <c r="Y278" s="287"/>
      <c r="Z278" s="287"/>
      <c r="AA278" s="287"/>
      <c r="AB278" s="287"/>
      <c r="AC278" s="287"/>
      <c r="AD278" s="287"/>
      <c r="AE278" s="287"/>
      <c r="AF278" s="287"/>
      <c r="AG278" s="287"/>
      <c r="AH278" s="287"/>
      <c r="AI278" s="287"/>
      <c r="AJ278" s="287"/>
      <c r="AK278" s="287"/>
      <c r="AL278" s="287"/>
      <c r="AM278" s="287"/>
      <c r="AN278" s="287"/>
      <c r="AO278" s="287"/>
      <c r="AP278" s="287"/>
      <c r="AQ278" s="287"/>
      <c r="AR278" s="287"/>
      <c r="AS278" s="287"/>
      <c r="AT278" s="287"/>
      <c r="AU278" s="287"/>
      <c r="AV278" s="287"/>
      <c r="AW278" s="287"/>
      <c r="AX278" s="287"/>
      <c r="AY278" s="287"/>
      <c r="AZ278" s="287"/>
      <c r="BA278" s="287"/>
      <c r="BB278" s="287"/>
      <c r="BC278" s="287"/>
    </row>
    <row r="279" ht="15.75" customHeight="1">
      <c r="A279" s="287"/>
      <c r="B279" s="287"/>
      <c r="C279" s="287"/>
      <c r="D279" s="287"/>
      <c r="E279" s="287"/>
      <c r="F279" s="287"/>
      <c r="G279" s="287"/>
      <c r="H279" s="287"/>
      <c r="I279" s="287"/>
      <c r="J279" s="287"/>
      <c r="K279" s="287"/>
      <c r="L279" s="287"/>
      <c r="M279" s="287"/>
      <c r="N279" s="287"/>
      <c r="O279" s="287"/>
      <c r="P279" s="287"/>
      <c r="Q279" s="287"/>
      <c r="R279" s="287"/>
      <c r="S279" s="287"/>
      <c r="T279" s="287"/>
      <c r="U279" s="287"/>
      <c r="V279" s="287"/>
      <c r="W279" s="287"/>
      <c r="X279" s="287"/>
      <c r="Y279" s="287"/>
      <c r="Z279" s="287"/>
      <c r="AA279" s="287"/>
      <c r="AB279" s="287"/>
      <c r="AC279" s="287"/>
      <c r="AD279" s="287"/>
      <c r="AE279" s="287"/>
      <c r="AF279" s="287"/>
      <c r="AG279" s="287"/>
      <c r="AH279" s="287"/>
      <c r="AI279" s="287"/>
      <c r="AJ279" s="287"/>
      <c r="AK279" s="287"/>
      <c r="AL279" s="287"/>
      <c r="AM279" s="287"/>
      <c r="AN279" s="287"/>
      <c r="AO279" s="287"/>
      <c r="AP279" s="287"/>
      <c r="AQ279" s="287"/>
      <c r="AR279" s="287"/>
      <c r="AS279" s="287"/>
      <c r="AT279" s="287"/>
      <c r="AU279" s="287"/>
      <c r="AV279" s="287"/>
      <c r="AW279" s="287"/>
      <c r="AX279" s="287"/>
      <c r="AY279" s="287"/>
      <c r="AZ279" s="287"/>
      <c r="BA279" s="287"/>
      <c r="BB279" s="287"/>
      <c r="BC279" s="287"/>
    </row>
    <row r="280" ht="15.75" customHeight="1">
      <c r="A280" s="287"/>
      <c r="B280" s="287"/>
      <c r="C280" s="287"/>
      <c r="D280" s="287"/>
      <c r="E280" s="287"/>
      <c r="F280" s="287"/>
      <c r="G280" s="287"/>
      <c r="H280" s="287"/>
      <c r="I280" s="287"/>
      <c r="J280" s="287"/>
      <c r="K280" s="287"/>
      <c r="L280" s="287"/>
      <c r="M280" s="287"/>
      <c r="N280" s="287"/>
      <c r="O280" s="287"/>
      <c r="P280" s="287"/>
      <c r="Q280" s="287"/>
      <c r="R280" s="287"/>
      <c r="S280" s="287"/>
      <c r="T280" s="287"/>
      <c r="U280" s="287"/>
      <c r="V280" s="287"/>
      <c r="W280" s="287"/>
      <c r="X280" s="287"/>
      <c r="Y280" s="287"/>
      <c r="Z280" s="287"/>
      <c r="AA280" s="287"/>
      <c r="AB280" s="287"/>
      <c r="AC280" s="287"/>
      <c r="AD280" s="287"/>
      <c r="AE280" s="287"/>
      <c r="AF280" s="287"/>
      <c r="AG280" s="287"/>
      <c r="AH280" s="287"/>
      <c r="AI280" s="287"/>
      <c r="AJ280" s="287"/>
      <c r="AK280" s="287"/>
      <c r="AL280" s="287"/>
      <c r="AM280" s="287"/>
      <c r="AN280" s="287"/>
      <c r="AO280" s="287"/>
      <c r="AP280" s="287"/>
      <c r="AQ280" s="287"/>
      <c r="AR280" s="287"/>
      <c r="AS280" s="287"/>
      <c r="AT280" s="287"/>
      <c r="AU280" s="287"/>
      <c r="AV280" s="287"/>
      <c r="AW280" s="287"/>
      <c r="AX280" s="287"/>
      <c r="AY280" s="287"/>
      <c r="AZ280" s="287"/>
      <c r="BA280" s="287"/>
      <c r="BB280" s="287"/>
      <c r="BC280" s="287"/>
    </row>
    <row r="281" ht="15.75" customHeight="1">
      <c r="A281" s="287"/>
      <c r="B281" s="287"/>
      <c r="C281" s="287"/>
      <c r="D281" s="287"/>
      <c r="E281" s="287"/>
      <c r="F281" s="287"/>
      <c r="G281" s="287"/>
      <c r="H281" s="287"/>
      <c r="I281" s="287"/>
      <c r="J281" s="287"/>
      <c r="K281" s="287"/>
      <c r="L281" s="287"/>
      <c r="M281" s="287"/>
      <c r="N281" s="287"/>
      <c r="O281" s="287"/>
      <c r="P281" s="287"/>
      <c r="Q281" s="287"/>
      <c r="R281" s="287"/>
      <c r="S281" s="287"/>
      <c r="T281" s="287"/>
      <c r="U281" s="287"/>
      <c r="V281" s="287"/>
      <c r="W281" s="287"/>
      <c r="X281" s="287"/>
      <c r="Y281" s="287"/>
      <c r="Z281" s="287"/>
      <c r="AA281" s="287"/>
      <c r="AB281" s="287"/>
      <c r="AC281" s="287"/>
      <c r="AD281" s="287"/>
      <c r="AE281" s="287"/>
      <c r="AF281" s="287"/>
      <c r="AG281" s="287"/>
      <c r="AH281" s="287"/>
      <c r="AI281" s="287"/>
      <c r="AJ281" s="287"/>
      <c r="AK281" s="287"/>
      <c r="AL281" s="287"/>
      <c r="AM281" s="287"/>
      <c r="AN281" s="287"/>
      <c r="AO281" s="287"/>
      <c r="AP281" s="287"/>
      <c r="AQ281" s="287"/>
      <c r="AR281" s="287"/>
      <c r="AS281" s="287"/>
      <c r="AT281" s="287"/>
      <c r="AU281" s="287"/>
      <c r="AV281" s="287"/>
      <c r="AW281" s="287"/>
      <c r="AX281" s="287"/>
      <c r="AY281" s="287"/>
      <c r="AZ281" s="287"/>
      <c r="BA281" s="287"/>
      <c r="BB281" s="287"/>
      <c r="BC281" s="287"/>
    </row>
    <row r="282" ht="15.75" customHeight="1">
      <c r="A282" s="287"/>
      <c r="B282" s="287"/>
      <c r="C282" s="287"/>
      <c r="D282" s="287"/>
      <c r="E282" s="287"/>
      <c r="F282" s="287"/>
      <c r="G282" s="287"/>
      <c r="H282" s="287"/>
      <c r="I282" s="287"/>
      <c r="J282" s="287"/>
      <c r="K282" s="287"/>
      <c r="L282" s="287"/>
      <c r="M282" s="287"/>
      <c r="N282" s="287"/>
      <c r="O282" s="287"/>
      <c r="P282" s="287"/>
      <c r="Q282" s="287"/>
      <c r="R282" s="287"/>
      <c r="S282" s="287"/>
      <c r="T282" s="287"/>
      <c r="U282" s="287"/>
      <c r="V282" s="287"/>
      <c r="W282" s="287"/>
      <c r="X282" s="287"/>
      <c r="Y282" s="287"/>
      <c r="Z282" s="287"/>
      <c r="AA282" s="287"/>
      <c r="AB282" s="287"/>
      <c r="AC282" s="287"/>
      <c r="AD282" s="287"/>
      <c r="AE282" s="287"/>
      <c r="AF282" s="287"/>
      <c r="AG282" s="287"/>
      <c r="AH282" s="287"/>
      <c r="AI282" s="287"/>
      <c r="AJ282" s="287"/>
      <c r="AK282" s="287"/>
      <c r="AL282" s="287"/>
      <c r="AM282" s="287"/>
      <c r="AN282" s="287"/>
      <c r="AO282" s="287"/>
      <c r="AP282" s="287"/>
      <c r="AQ282" s="287"/>
      <c r="AR282" s="287"/>
      <c r="AS282" s="287"/>
      <c r="AT282" s="287"/>
      <c r="AU282" s="287"/>
      <c r="AV282" s="287"/>
      <c r="AW282" s="287"/>
      <c r="AX282" s="287"/>
      <c r="AY282" s="287"/>
      <c r="AZ282" s="287"/>
      <c r="BA282" s="287"/>
      <c r="BB282" s="287"/>
      <c r="BC282" s="287"/>
    </row>
    <row r="283" ht="15.75" customHeight="1">
      <c r="A283" s="287"/>
      <c r="B283" s="287"/>
      <c r="C283" s="287"/>
      <c r="D283" s="287"/>
      <c r="E283" s="287"/>
      <c r="F283" s="287"/>
      <c r="G283" s="287"/>
      <c r="H283" s="287"/>
      <c r="I283" s="287"/>
      <c r="J283" s="287"/>
      <c r="K283" s="287"/>
      <c r="L283" s="287"/>
      <c r="M283" s="287"/>
      <c r="N283" s="287"/>
      <c r="O283" s="287"/>
      <c r="P283" s="287"/>
      <c r="Q283" s="287"/>
      <c r="R283" s="287"/>
      <c r="S283" s="287"/>
      <c r="T283" s="287"/>
      <c r="U283" s="287"/>
      <c r="V283" s="287"/>
      <c r="W283" s="287"/>
      <c r="X283" s="287"/>
      <c r="Y283" s="287"/>
      <c r="Z283" s="287"/>
      <c r="AA283" s="287"/>
      <c r="AB283" s="287"/>
      <c r="AC283" s="287"/>
      <c r="AD283" s="287"/>
      <c r="AE283" s="287"/>
      <c r="AF283" s="287"/>
      <c r="AG283" s="287"/>
      <c r="AH283" s="287"/>
      <c r="AI283" s="287"/>
      <c r="AJ283" s="287"/>
      <c r="AK283" s="287"/>
      <c r="AL283" s="287"/>
      <c r="AM283" s="287"/>
      <c r="AN283" s="287"/>
      <c r="AO283" s="287"/>
      <c r="AP283" s="287"/>
      <c r="AQ283" s="287"/>
      <c r="AR283" s="287"/>
      <c r="AS283" s="287"/>
      <c r="AT283" s="287"/>
      <c r="AU283" s="287"/>
      <c r="AV283" s="287"/>
      <c r="AW283" s="287"/>
      <c r="AX283" s="287"/>
      <c r="AY283" s="287"/>
      <c r="AZ283" s="287"/>
      <c r="BA283" s="287"/>
      <c r="BB283" s="287"/>
      <c r="BC283" s="287"/>
    </row>
    <row r="284" ht="15.75" customHeight="1">
      <c r="A284" s="287"/>
      <c r="B284" s="287"/>
      <c r="C284" s="287"/>
      <c r="D284" s="287"/>
      <c r="E284" s="287"/>
      <c r="F284" s="287"/>
      <c r="G284" s="287"/>
      <c r="H284" s="287"/>
      <c r="I284" s="287"/>
      <c r="J284" s="287"/>
      <c r="K284" s="287"/>
      <c r="L284" s="287"/>
      <c r="M284" s="287"/>
      <c r="N284" s="287"/>
      <c r="O284" s="287"/>
      <c r="P284" s="287"/>
      <c r="Q284" s="287"/>
      <c r="R284" s="287"/>
      <c r="S284" s="287"/>
      <c r="T284" s="287"/>
      <c r="U284" s="287"/>
      <c r="V284" s="287"/>
      <c r="W284" s="287"/>
      <c r="X284" s="287"/>
      <c r="Y284" s="287"/>
      <c r="Z284" s="287"/>
      <c r="AA284" s="287"/>
      <c r="AB284" s="287"/>
      <c r="AC284" s="287"/>
      <c r="AD284" s="287"/>
      <c r="AE284" s="287"/>
      <c r="AF284" s="287"/>
      <c r="AG284" s="287"/>
      <c r="AH284" s="287"/>
      <c r="AI284" s="287"/>
      <c r="AJ284" s="287"/>
      <c r="AK284" s="287"/>
      <c r="AL284" s="287"/>
      <c r="AM284" s="287"/>
      <c r="AN284" s="287"/>
      <c r="AO284" s="287"/>
      <c r="AP284" s="287"/>
      <c r="AQ284" s="287"/>
      <c r="AR284" s="287"/>
      <c r="AS284" s="287"/>
      <c r="AT284" s="287"/>
      <c r="AU284" s="287"/>
      <c r="AV284" s="287"/>
      <c r="AW284" s="287"/>
      <c r="AX284" s="287"/>
      <c r="AY284" s="287"/>
      <c r="AZ284" s="287"/>
      <c r="BA284" s="287"/>
      <c r="BB284" s="287"/>
      <c r="BC284" s="287"/>
    </row>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sheetData>
  <mergeCells count="460">
    <mergeCell ref="M21:P21"/>
    <mergeCell ref="M22:P22"/>
    <mergeCell ref="M23:P23"/>
    <mergeCell ref="M24:P24"/>
    <mergeCell ref="M25:P25"/>
    <mergeCell ref="M26:P26"/>
    <mergeCell ref="M27:P27"/>
    <mergeCell ref="M35:P35"/>
    <mergeCell ref="M36:P36"/>
    <mergeCell ref="M28:P28"/>
    <mergeCell ref="M29:P29"/>
    <mergeCell ref="M30:P30"/>
    <mergeCell ref="M31:P31"/>
    <mergeCell ref="M32:P32"/>
    <mergeCell ref="M33:P33"/>
    <mergeCell ref="M34:P34"/>
    <mergeCell ref="B10:D10"/>
    <mergeCell ref="B11:D11"/>
    <mergeCell ref="E12:I12"/>
    <mergeCell ref="J12:K12"/>
    <mergeCell ref="L12:P12"/>
    <mergeCell ref="R12:U13"/>
    <mergeCell ref="V12:W13"/>
    <mergeCell ref="L13:P13"/>
    <mergeCell ref="J15:K15"/>
    <mergeCell ref="L15:P15"/>
    <mergeCell ref="E13:I13"/>
    <mergeCell ref="J13:K13"/>
    <mergeCell ref="E14:I14"/>
    <mergeCell ref="J14:K14"/>
    <mergeCell ref="L14:P14"/>
    <mergeCell ref="R14:U15"/>
    <mergeCell ref="V14:W15"/>
    <mergeCell ref="B15:D15"/>
    <mergeCell ref="E15:I15"/>
    <mergeCell ref="B17:N18"/>
    <mergeCell ref="O17:S18"/>
    <mergeCell ref="T17:W18"/>
    <mergeCell ref="X17:AB18"/>
    <mergeCell ref="AC17:AG18"/>
    <mergeCell ref="C19:F19"/>
    <mergeCell ref="M19:P19"/>
    <mergeCell ref="W19:Z19"/>
    <mergeCell ref="C20:F20"/>
    <mergeCell ref="M20:P20"/>
    <mergeCell ref="C21:F21"/>
    <mergeCell ref="W22:Z22"/>
    <mergeCell ref="W20:Z20"/>
    <mergeCell ref="W21:Z21"/>
    <mergeCell ref="W23:Z23"/>
    <mergeCell ref="W24:Z24"/>
    <mergeCell ref="W25:Z25"/>
    <mergeCell ref="W26:Z26"/>
    <mergeCell ref="W27:Z27"/>
    <mergeCell ref="W28:Z28"/>
    <mergeCell ref="W29:Z29"/>
    <mergeCell ref="W30:Z30"/>
    <mergeCell ref="W31:Z31"/>
    <mergeCell ref="W32:Z32"/>
    <mergeCell ref="W33:Z33"/>
    <mergeCell ref="W34:Z34"/>
    <mergeCell ref="B2:AS6"/>
    <mergeCell ref="AT2:AV3"/>
    <mergeCell ref="AW2:AY3"/>
    <mergeCell ref="AZ2:BB3"/>
    <mergeCell ref="AT4:AV6"/>
    <mergeCell ref="AW4:AY6"/>
    <mergeCell ref="AZ4:BB6"/>
    <mergeCell ref="X10:Y10"/>
    <mergeCell ref="Z10:AC11"/>
    <mergeCell ref="X11:Y11"/>
    <mergeCell ref="X12:Y12"/>
    <mergeCell ref="Z12:AC13"/>
    <mergeCell ref="X13:Y13"/>
    <mergeCell ref="AD10:AE11"/>
    <mergeCell ref="AF10:AG10"/>
    <mergeCell ref="AF11:AG11"/>
    <mergeCell ref="AD12:AE13"/>
    <mergeCell ref="AF12:AG12"/>
    <mergeCell ref="AF13:AG13"/>
    <mergeCell ref="B8:P9"/>
    <mergeCell ref="R8:AO9"/>
    <mergeCell ref="AQ8:BB9"/>
    <mergeCell ref="E10:P10"/>
    <mergeCell ref="R10:U11"/>
    <mergeCell ref="V10:W11"/>
    <mergeCell ref="AN10:AO10"/>
    <mergeCell ref="E11:P11"/>
    <mergeCell ref="B12:D12"/>
    <mergeCell ref="B13:D13"/>
    <mergeCell ref="B14:D14"/>
    <mergeCell ref="X14:Y14"/>
    <mergeCell ref="Z14:AC15"/>
    <mergeCell ref="AD14:AE15"/>
    <mergeCell ref="AF14:AG14"/>
    <mergeCell ref="X15:Y15"/>
    <mergeCell ref="AF15:AG15"/>
    <mergeCell ref="AN13:AO13"/>
    <mergeCell ref="AN14:AO14"/>
    <mergeCell ref="AY28:BB28"/>
    <mergeCell ref="AY29:BB29"/>
    <mergeCell ref="AQ26:AV26"/>
    <mergeCell ref="AW26:BB26"/>
    <mergeCell ref="AQ27:AT28"/>
    <mergeCell ref="AU27:AX28"/>
    <mergeCell ref="AY27:BB27"/>
    <mergeCell ref="AQ29:AT30"/>
    <mergeCell ref="AU29:AX30"/>
    <mergeCell ref="AY30:BB30"/>
    <mergeCell ref="C29:F29"/>
    <mergeCell ref="C30:F30"/>
    <mergeCell ref="C31:F31"/>
    <mergeCell ref="C32:F32"/>
    <mergeCell ref="C33:F33"/>
    <mergeCell ref="C34:F34"/>
    <mergeCell ref="C35:F35"/>
    <mergeCell ref="C36:F36"/>
    <mergeCell ref="C22:F22"/>
    <mergeCell ref="C23:F23"/>
    <mergeCell ref="C24:F24"/>
    <mergeCell ref="C25:F25"/>
    <mergeCell ref="C26:F26"/>
    <mergeCell ref="C27:F27"/>
    <mergeCell ref="C28:F28"/>
    <mergeCell ref="AG32:AJ32"/>
    <mergeCell ref="AG33:AJ33"/>
    <mergeCell ref="AG35:AJ35"/>
    <mergeCell ref="AG25:AJ25"/>
    <mergeCell ref="AG26:AJ26"/>
    <mergeCell ref="AG27:AJ27"/>
    <mergeCell ref="AG28:AJ28"/>
    <mergeCell ref="AG29:AJ29"/>
    <mergeCell ref="AG30:AJ30"/>
    <mergeCell ref="AG31:AJ31"/>
    <mergeCell ref="AU33:AV34"/>
    <mergeCell ref="AW33:AZ34"/>
    <mergeCell ref="AG34:AJ34"/>
    <mergeCell ref="AQ31:AT32"/>
    <mergeCell ref="AU31:AX32"/>
    <mergeCell ref="AY31:AZ31"/>
    <mergeCell ref="BA31:BB31"/>
    <mergeCell ref="AY32:AZ32"/>
    <mergeCell ref="BA32:BB32"/>
    <mergeCell ref="BA33:BB34"/>
    <mergeCell ref="AH12:AK13"/>
    <mergeCell ref="AH14:AK15"/>
    <mergeCell ref="AL14:AM15"/>
    <mergeCell ref="AH17:AK18"/>
    <mergeCell ref="AH10:AK11"/>
    <mergeCell ref="AL10:AM11"/>
    <mergeCell ref="AQ10:BB19"/>
    <mergeCell ref="AN11:AO11"/>
    <mergeCell ref="AL12:AM13"/>
    <mergeCell ref="AN12:AO12"/>
    <mergeCell ref="AN15:AO15"/>
    <mergeCell ref="AY25:AZ25"/>
    <mergeCell ref="BA25:BB25"/>
    <mergeCell ref="AL17:AO18"/>
    <mergeCell ref="AG19:AJ19"/>
    <mergeCell ref="AG20:AJ20"/>
    <mergeCell ref="AG21:AJ21"/>
    <mergeCell ref="AG22:AJ22"/>
    <mergeCell ref="AG23:AJ23"/>
    <mergeCell ref="AG24:AJ24"/>
    <mergeCell ref="AQ21:BB22"/>
    <mergeCell ref="AQ23:AV23"/>
    <mergeCell ref="AW23:BB23"/>
    <mergeCell ref="AQ24:AV24"/>
    <mergeCell ref="AW24:BB24"/>
    <mergeCell ref="AQ25:AV25"/>
    <mergeCell ref="AW25:AX25"/>
    <mergeCell ref="AQ40:BB40"/>
    <mergeCell ref="AQ41:BB41"/>
    <mergeCell ref="AQ42:BB42"/>
    <mergeCell ref="AQ43:BB43"/>
    <mergeCell ref="AQ33:AT34"/>
    <mergeCell ref="AQ35:AT36"/>
    <mergeCell ref="AU35:AV36"/>
    <mergeCell ref="AW35:AZ36"/>
    <mergeCell ref="BA35:BB36"/>
    <mergeCell ref="AG36:AJ36"/>
    <mergeCell ref="AQ38:BB39"/>
    <mergeCell ref="S40:X40"/>
    <mergeCell ref="Y40:AB40"/>
    <mergeCell ref="S41:X41"/>
    <mergeCell ref="Y41:AB41"/>
    <mergeCell ref="AC40:AG40"/>
    <mergeCell ref="AH40:AK40"/>
    <mergeCell ref="AC41:AG41"/>
    <mergeCell ref="AH41:AK41"/>
    <mergeCell ref="AL41:AO41"/>
    <mergeCell ref="W35:Z35"/>
    <mergeCell ref="W36:Z36"/>
    <mergeCell ref="B38:AO39"/>
    <mergeCell ref="J40:L40"/>
    <mergeCell ref="M40:O40"/>
    <mergeCell ref="P40:R40"/>
    <mergeCell ref="AL40:AO40"/>
    <mergeCell ref="M42:O42"/>
    <mergeCell ref="P42:R42"/>
    <mergeCell ref="S42:X42"/>
    <mergeCell ref="Y42:AB42"/>
    <mergeCell ref="AC42:AG42"/>
    <mergeCell ref="AH42:AK42"/>
    <mergeCell ref="AL42:AO42"/>
    <mergeCell ref="B40:I40"/>
    <mergeCell ref="B41:I41"/>
    <mergeCell ref="J41:L41"/>
    <mergeCell ref="M41:O41"/>
    <mergeCell ref="P41:R41"/>
    <mergeCell ref="B42:I42"/>
    <mergeCell ref="J42:L42"/>
    <mergeCell ref="AH43:AK43"/>
    <mergeCell ref="AL43:AO43"/>
    <mergeCell ref="B43:I43"/>
    <mergeCell ref="J43:L43"/>
    <mergeCell ref="M43:O43"/>
    <mergeCell ref="P43:R43"/>
    <mergeCell ref="S43:X43"/>
    <mergeCell ref="Y43:AB43"/>
    <mergeCell ref="AC43:AG43"/>
    <mergeCell ref="Q58:U59"/>
    <mergeCell ref="V58:Z59"/>
    <mergeCell ref="Q60:U61"/>
    <mergeCell ref="G58:K59"/>
    <mergeCell ref="L58:P59"/>
    <mergeCell ref="B60:F61"/>
    <mergeCell ref="G60:K61"/>
    <mergeCell ref="L60:P61"/>
    <mergeCell ref="B66:R70"/>
    <mergeCell ref="B71:Q72"/>
    <mergeCell ref="B56:F57"/>
    <mergeCell ref="G56:K57"/>
    <mergeCell ref="L56:P57"/>
    <mergeCell ref="Q56:U57"/>
    <mergeCell ref="V56:Z57"/>
    <mergeCell ref="AA56:AE57"/>
    <mergeCell ref="B58:F59"/>
    <mergeCell ref="AA58:AE59"/>
    <mergeCell ref="AF58:AJ59"/>
    <mergeCell ref="AK58:AO59"/>
    <mergeCell ref="V60:AN60"/>
    <mergeCell ref="V61:AO61"/>
    <mergeCell ref="B63:BB64"/>
    <mergeCell ref="B65:R65"/>
    <mergeCell ref="W73:Z73"/>
    <mergeCell ref="AA73:AD73"/>
    <mergeCell ref="Z77:AK80"/>
    <mergeCell ref="AL77:AW80"/>
    <mergeCell ref="AY77:BB80"/>
    <mergeCell ref="S65:AI65"/>
    <mergeCell ref="AJ65:BB65"/>
    <mergeCell ref="S66:AI70"/>
    <mergeCell ref="AJ66:BB73"/>
    <mergeCell ref="W71:Z72"/>
    <mergeCell ref="AA71:AD72"/>
    <mergeCell ref="AE71:AI72"/>
    <mergeCell ref="AE73:AI73"/>
    <mergeCell ref="B73:R73"/>
    <mergeCell ref="B75:M76"/>
    <mergeCell ref="N75:Y76"/>
    <mergeCell ref="Z75:AK76"/>
    <mergeCell ref="AL75:AW76"/>
    <mergeCell ref="AY75:BB76"/>
    <mergeCell ref="B84:E87"/>
    <mergeCell ref="F84:I87"/>
    <mergeCell ref="J84:M87"/>
    <mergeCell ref="N84:Q87"/>
    <mergeCell ref="R84:U87"/>
    <mergeCell ref="V84:Y87"/>
    <mergeCell ref="Z84:AC87"/>
    <mergeCell ref="A89:BC89"/>
    <mergeCell ref="A90:BC90"/>
    <mergeCell ref="A91:BC91"/>
    <mergeCell ref="A92:BC92"/>
    <mergeCell ref="A93:BC93"/>
    <mergeCell ref="A94:BC94"/>
    <mergeCell ref="A95:BC95"/>
    <mergeCell ref="AH47:AK47"/>
    <mergeCell ref="AL47:AO47"/>
    <mergeCell ref="AQ47:BB47"/>
    <mergeCell ref="B47:I47"/>
    <mergeCell ref="J47:L47"/>
    <mergeCell ref="M47:O47"/>
    <mergeCell ref="P47:R47"/>
    <mergeCell ref="S47:X47"/>
    <mergeCell ref="Y47:AB47"/>
    <mergeCell ref="AC47:AG47"/>
    <mergeCell ref="B48:T49"/>
    <mergeCell ref="V48:AN49"/>
    <mergeCell ref="AQ48:BB48"/>
    <mergeCell ref="B50:F51"/>
    <mergeCell ref="G50:K51"/>
    <mergeCell ref="L50:P51"/>
    <mergeCell ref="Q50:U51"/>
    <mergeCell ref="AF50:AJ51"/>
    <mergeCell ref="V50:Z51"/>
    <mergeCell ref="AA50:AE51"/>
    <mergeCell ref="G52:K53"/>
    <mergeCell ref="L52:P53"/>
    <mergeCell ref="Q52:U53"/>
    <mergeCell ref="V52:Z53"/>
    <mergeCell ref="AA52:AE53"/>
    <mergeCell ref="AQ49:BA54"/>
    <mergeCell ref="AQ55:BB58"/>
    <mergeCell ref="AQ59:BA59"/>
    <mergeCell ref="AQ60:BB60"/>
    <mergeCell ref="AQ61:AX61"/>
    <mergeCell ref="AY61:BB61"/>
    <mergeCell ref="AF56:AJ57"/>
    <mergeCell ref="AK56:AO57"/>
    <mergeCell ref="AH46:AK46"/>
    <mergeCell ref="AL46:AO46"/>
    <mergeCell ref="AQ46:BB46"/>
    <mergeCell ref="BB49:BB54"/>
    <mergeCell ref="AK50:AO51"/>
    <mergeCell ref="AF52:AJ53"/>
    <mergeCell ref="AK52:AO53"/>
    <mergeCell ref="AH44:AK44"/>
    <mergeCell ref="AL44:AO44"/>
    <mergeCell ref="AQ44:BB44"/>
    <mergeCell ref="B44:I44"/>
    <mergeCell ref="J44:L44"/>
    <mergeCell ref="M44:O44"/>
    <mergeCell ref="P44:R44"/>
    <mergeCell ref="S44:X44"/>
    <mergeCell ref="Y44:AB44"/>
    <mergeCell ref="AC44:AG44"/>
    <mergeCell ref="AH45:AK45"/>
    <mergeCell ref="AL45:AO45"/>
    <mergeCell ref="AQ45:BB45"/>
    <mergeCell ref="B45:I45"/>
    <mergeCell ref="J45:L45"/>
    <mergeCell ref="M45:O45"/>
    <mergeCell ref="P45:R45"/>
    <mergeCell ref="S45:X45"/>
    <mergeCell ref="Y45:AB45"/>
    <mergeCell ref="AC45:AG45"/>
    <mergeCell ref="B46:I46"/>
    <mergeCell ref="J46:L46"/>
    <mergeCell ref="M46:O46"/>
    <mergeCell ref="P46:R46"/>
    <mergeCell ref="S46:X46"/>
    <mergeCell ref="Y46:AB46"/>
    <mergeCell ref="AC46:AG46"/>
    <mergeCell ref="AF54:AJ55"/>
    <mergeCell ref="AK54:AO55"/>
    <mergeCell ref="B52:F53"/>
    <mergeCell ref="B54:F55"/>
    <mergeCell ref="G54:K55"/>
    <mergeCell ref="L54:P55"/>
    <mergeCell ref="Q54:U55"/>
    <mergeCell ref="V54:Z55"/>
    <mergeCell ref="AA54:AE55"/>
    <mergeCell ref="S71:V72"/>
    <mergeCell ref="S73:V73"/>
    <mergeCell ref="N77:Y80"/>
    <mergeCell ref="B77:M80"/>
    <mergeCell ref="B82:E83"/>
    <mergeCell ref="F82:I83"/>
    <mergeCell ref="J82:M83"/>
    <mergeCell ref="N82:Q83"/>
    <mergeCell ref="R82:U83"/>
    <mergeCell ref="V82:Y83"/>
    <mergeCell ref="Z82:AC83"/>
    <mergeCell ref="AD82:AG83"/>
    <mergeCell ref="AH82:AK83"/>
    <mergeCell ref="AL82:AO83"/>
    <mergeCell ref="AP82:AS83"/>
    <mergeCell ref="AT82:AW83"/>
    <mergeCell ref="AX82:BB83"/>
    <mergeCell ref="AD84:AG87"/>
    <mergeCell ref="AH84:AK87"/>
    <mergeCell ref="AL84:AO87"/>
    <mergeCell ref="AP84:AS87"/>
    <mergeCell ref="AT84:AW87"/>
    <mergeCell ref="AX84:BB87"/>
    <mergeCell ref="AX88:BB88"/>
    <mergeCell ref="A145:BC145"/>
    <mergeCell ref="A146:BC146"/>
    <mergeCell ref="A147:BC147"/>
    <mergeCell ref="A148:BC148"/>
    <mergeCell ref="A149:BC149"/>
    <mergeCell ref="A150:BC150"/>
    <mergeCell ref="A151:BC151"/>
    <mergeCell ref="A152:BC152"/>
    <mergeCell ref="A153:BC153"/>
    <mergeCell ref="A154:BC154"/>
    <mergeCell ref="A155:BC155"/>
    <mergeCell ref="A156:BC156"/>
    <mergeCell ref="A157:BC157"/>
    <mergeCell ref="A158:BC158"/>
    <mergeCell ref="A159:BC159"/>
    <mergeCell ref="A160:BC160"/>
    <mergeCell ref="A161:BC161"/>
    <mergeCell ref="A162:BC162"/>
    <mergeCell ref="A163:BC163"/>
    <mergeCell ref="A164:BC164"/>
    <mergeCell ref="A165:BC165"/>
    <mergeCell ref="A173:BC173"/>
    <mergeCell ref="A174:BC174"/>
    <mergeCell ref="A175:BC175"/>
    <mergeCell ref="A176:BC176"/>
    <mergeCell ref="A177:BC177"/>
    <mergeCell ref="A166:BC166"/>
    <mergeCell ref="A167:BC167"/>
    <mergeCell ref="A168:BC168"/>
    <mergeCell ref="A169:BC169"/>
    <mergeCell ref="A170:BC170"/>
    <mergeCell ref="A171:BC171"/>
    <mergeCell ref="A172:BC172"/>
    <mergeCell ref="A96:BC96"/>
    <mergeCell ref="A97:BC97"/>
    <mergeCell ref="A98:BC98"/>
    <mergeCell ref="A99:BC99"/>
    <mergeCell ref="A100:BC100"/>
    <mergeCell ref="A101:BC101"/>
    <mergeCell ref="A102:BC102"/>
    <mergeCell ref="A103:BC103"/>
    <mergeCell ref="A104:BC104"/>
    <mergeCell ref="A105:BC105"/>
    <mergeCell ref="A106:BC106"/>
    <mergeCell ref="A107:BC107"/>
    <mergeCell ref="A108:BC108"/>
    <mergeCell ref="A109:BC109"/>
    <mergeCell ref="A110:BC110"/>
    <mergeCell ref="A111:BC111"/>
    <mergeCell ref="A112:BC112"/>
    <mergeCell ref="A113:BC113"/>
    <mergeCell ref="A114:BC114"/>
    <mergeCell ref="A115:BC115"/>
    <mergeCell ref="A116:BC116"/>
    <mergeCell ref="A117:BC117"/>
    <mergeCell ref="A118:BC118"/>
    <mergeCell ref="A119:BC119"/>
    <mergeCell ref="A120:BC120"/>
    <mergeCell ref="A121:BC121"/>
    <mergeCell ref="A122:BC122"/>
    <mergeCell ref="A123:BC123"/>
    <mergeCell ref="A124:BC124"/>
    <mergeCell ref="A125:BC125"/>
    <mergeCell ref="A126:BC126"/>
    <mergeCell ref="A127:BC127"/>
    <mergeCell ref="A128:BC128"/>
    <mergeCell ref="A129:BC129"/>
    <mergeCell ref="A130:BC130"/>
    <mergeCell ref="A131:BC131"/>
    <mergeCell ref="A132:BC132"/>
    <mergeCell ref="A133:BC133"/>
    <mergeCell ref="A134:BC134"/>
    <mergeCell ref="A135:BC135"/>
    <mergeCell ref="A136:BC136"/>
    <mergeCell ref="A137:BC137"/>
    <mergeCell ref="A138:BC138"/>
    <mergeCell ref="A139:BC139"/>
    <mergeCell ref="A140:BC140"/>
    <mergeCell ref="A141:BC141"/>
    <mergeCell ref="A142:BC142"/>
    <mergeCell ref="A143:BC143"/>
    <mergeCell ref="A144:BC144"/>
  </mergeCells>
  <conditionalFormatting sqref="B19:B36 L19:L36 V19:V36 AF19:AF36">
    <cfRule type="containsText" dxfId="5" priority="1" operator="containsText" text="✖">
      <formula>NOT(ISERROR(SEARCH(("✖"),(B19))))</formula>
    </cfRule>
  </conditionalFormatting>
  <conditionalFormatting sqref="B19:B36 L19:L36 V19:V36 AF19:AF36">
    <cfRule type="containsText" dxfId="1" priority="2" operator="containsText" text="✔">
      <formula>NOT(ISERROR(SEARCH(("✔"),(B19))))</formula>
    </cfRule>
  </conditionalFormatting>
  <conditionalFormatting sqref="C19:F36 M19:P36 W19:Z36 AG19:AJ36">
    <cfRule type="expression" dxfId="6" priority="3">
      <formula>H19&gt;0</formula>
    </cfRule>
  </conditionalFormatting>
  <conditionalFormatting sqref="C20:F20">
    <cfRule type="expression" dxfId="2" priority="4">
      <formula>H20&gt;0</formula>
    </cfRule>
  </conditionalFormatting>
  <conditionalFormatting sqref="C21:F21">
    <cfRule type="expression" dxfId="2" priority="5">
      <formula>H21&gt;0</formula>
    </cfRule>
  </conditionalFormatting>
  <conditionalFormatting sqref="C22:F22">
    <cfRule type="expression" dxfId="2" priority="6">
      <formula>H22&gt;0</formula>
    </cfRule>
  </conditionalFormatting>
  <conditionalFormatting sqref="C23:F23">
    <cfRule type="expression" dxfId="2" priority="7">
      <formula>H23&gt;0</formula>
    </cfRule>
  </conditionalFormatting>
  <conditionalFormatting sqref="C24:F24">
    <cfRule type="expression" dxfId="2" priority="8">
      <formula>H24&gt;0</formula>
    </cfRule>
  </conditionalFormatting>
  <conditionalFormatting sqref="C25:F25">
    <cfRule type="expression" dxfId="2" priority="9">
      <formula>H25&gt;0</formula>
    </cfRule>
  </conditionalFormatting>
  <conditionalFormatting sqref="C26:F26">
    <cfRule type="expression" dxfId="2" priority="10">
      <formula>H26&gt;0</formula>
    </cfRule>
  </conditionalFormatting>
  <conditionalFormatting sqref="C27:F27">
    <cfRule type="expression" dxfId="2" priority="11">
      <formula>H27&gt;0</formula>
    </cfRule>
  </conditionalFormatting>
  <conditionalFormatting sqref="C28:F28">
    <cfRule type="expression" dxfId="2" priority="12">
      <formula>H28&gt;0</formula>
    </cfRule>
  </conditionalFormatting>
  <conditionalFormatting sqref="C29:F29">
    <cfRule type="expression" dxfId="2" priority="13">
      <formula>H29&gt;0</formula>
    </cfRule>
  </conditionalFormatting>
  <conditionalFormatting sqref="C30:F30">
    <cfRule type="expression" dxfId="2" priority="14">
      <formula>H30&gt;0</formula>
    </cfRule>
  </conditionalFormatting>
  <conditionalFormatting sqref="C31:F31">
    <cfRule type="expression" dxfId="2" priority="15">
      <formula>H31&gt;0</formula>
    </cfRule>
  </conditionalFormatting>
  <conditionalFormatting sqref="C32:F32">
    <cfRule type="expression" dxfId="2" priority="16">
      <formula>H32&gt;0</formula>
    </cfRule>
  </conditionalFormatting>
  <conditionalFormatting sqref="C33:F33">
    <cfRule type="expression" dxfId="2" priority="17">
      <formula>H33&gt;0</formula>
    </cfRule>
  </conditionalFormatting>
  <conditionalFormatting sqref="C34:F34">
    <cfRule type="expression" dxfId="2" priority="18">
      <formula>H34&gt;0</formula>
    </cfRule>
  </conditionalFormatting>
  <conditionalFormatting sqref="C35:F35">
    <cfRule type="expression" dxfId="2" priority="19">
      <formula>H35&gt;0</formula>
    </cfRule>
  </conditionalFormatting>
  <conditionalFormatting sqref="C36:F36">
    <cfRule type="expression" dxfId="2" priority="20">
      <formula>H36&gt;0</formula>
    </cfRule>
  </conditionalFormatting>
  <conditionalFormatting sqref="M19:P19">
    <cfRule type="expression" dxfId="2" priority="21">
      <formula>R19&gt;0</formula>
    </cfRule>
  </conditionalFormatting>
  <conditionalFormatting sqref="M20:P20">
    <cfRule type="expression" dxfId="2" priority="22">
      <formula>R20&gt;0</formula>
    </cfRule>
  </conditionalFormatting>
  <conditionalFormatting sqref="M21:P21">
    <cfRule type="expression" dxfId="2" priority="23">
      <formula>R21&gt;0</formula>
    </cfRule>
  </conditionalFormatting>
  <conditionalFormatting sqref="M22:P22">
    <cfRule type="expression" dxfId="2" priority="24">
      <formula>R22&gt;0</formula>
    </cfRule>
  </conditionalFormatting>
  <conditionalFormatting sqref="M23:P23">
    <cfRule type="expression" dxfId="2" priority="25">
      <formula>R23&gt;0</formula>
    </cfRule>
  </conditionalFormatting>
  <conditionalFormatting sqref="M24:P24">
    <cfRule type="expression" dxfId="2" priority="26">
      <formula>R24&gt;0</formula>
    </cfRule>
  </conditionalFormatting>
  <conditionalFormatting sqref="M25:P25">
    <cfRule type="expression" dxfId="2" priority="27">
      <formula>R25&gt;0</formula>
    </cfRule>
  </conditionalFormatting>
  <conditionalFormatting sqref="M26:P26">
    <cfRule type="expression" dxfId="2" priority="28">
      <formula>R26&gt;0</formula>
    </cfRule>
  </conditionalFormatting>
  <conditionalFormatting sqref="M27:P27">
    <cfRule type="expression" dxfId="2" priority="29">
      <formula>R27&gt;0</formula>
    </cfRule>
  </conditionalFormatting>
  <conditionalFormatting sqref="M28:P28">
    <cfRule type="expression" dxfId="2" priority="30">
      <formula>R28&gt;0</formula>
    </cfRule>
  </conditionalFormatting>
  <conditionalFormatting sqref="M29:P29">
    <cfRule type="expression" dxfId="2" priority="31">
      <formula>R29&gt;0</formula>
    </cfRule>
  </conditionalFormatting>
  <conditionalFormatting sqref="M30:P30">
    <cfRule type="expression" dxfId="2" priority="32">
      <formula>R30&gt;0</formula>
    </cfRule>
  </conditionalFormatting>
  <conditionalFormatting sqref="M31:P31">
    <cfRule type="expression" dxfId="2" priority="33">
      <formula>R31&gt;0</formula>
    </cfRule>
  </conditionalFormatting>
  <conditionalFormatting sqref="M32:P32">
    <cfRule type="expression" dxfId="2" priority="34">
      <formula>R32&gt;0</formula>
    </cfRule>
  </conditionalFormatting>
  <conditionalFormatting sqref="M33:P33">
    <cfRule type="expression" dxfId="2" priority="35">
      <formula>R33&gt;0</formula>
    </cfRule>
  </conditionalFormatting>
  <conditionalFormatting sqref="M34:P34">
    <cfRule type="expression" dxfId="2" priority="36">
      <formula>R34&gt;0</formula>
    </cfRule>
  </conditionalFormatting>
  <conditionalFormatting sqref="M35:P35">
    <cfRule type="expression" dxfId="2" priority="37">
      <formula>R35&gt;0</formula>
    </cfRule>
  </conditionalFormatting>
  <conditionalFormatting sqref="M36:P36">
    <cfRule type="expression" dxfId="2" priority="38">
      <formula>R36&gt;0</formula>
    </cfRule>
  </conditionalFormatting>
  <conditionalFormatting sqref="W19:Z19">
    <cfRule type="expression" dxfId="2" priority="39">
      <formula>AB19&gt;0</formula>
    </cfRule>
  </conditionalFormatting>
  <conditionalFormatting sqref="W20:Z20">
    <cfRule type="expression" dxfId="2" priority="40">
      <formula>AB20&gt;0</formula>
    </cfRule>
  </conditionalFormatting>
  <conditionalFormatting sqref="W21:Z21">
    <cfRule type="expression" dxfId="2" priority="41">
      <formula>AB21&gt;0</formula>
    </cfRule>
  </conditionalFormatting>
  <conditionalFormatting sqref="W22:Z22">
    <cfRule type="expression" dxfId="2" priority="42">
      <formula>AB22&gt;0</formula>
    </cfRule>
  </conditionalFormatting>
  <conditionalFormatting sqref="W23:Z23">
    <cfRule type="expression" dxfId="2" priority="43">
      <formula>AB23&gt;0</formula>
    </cfRule>
  </conditionalFormatting>
  <conditionalFormatting sqref="W24:Z24">
    <cfRule type="expression" dxfId="2" priority="44">
      <formula>AB24&gt;0</formula>
    </cfRule>
  </conditionalFormatting>
  <conditionalFormatting sqref="W25:Z25">
    <cfRule type="expression" dxfId="2" priority="45">
      <formula>AB25&gt;0</formula>
    </cfRule>
  </conditionalFormatting>
  <conditionalFormatting sqref="W26:Z26">
    <cfRule type="expression" dxfId="2" priority="46">
      <formula>AB26&gt;0</formula>
    </cfRule>
  </conditionalFormatting>
  <conditionalFormatting sqref="W27:Z27">
    <cfRule type="expression" dxfId="2" priority="47">
      <formula>AB27&gt;0</formula>
    </cfRule>
  </conditionalFormatting>
  <conditionalFormatting sqref="W28:Z28">
    <cfRule type="expression" dxfId="2" priority="48">
      <formula>AB28&gt;0</formula>
    </cfRule>
  </conditionalFormatting>
  <conditionalFormatting sqref="W29:Z29">
    <cfRule type="expression" dxfId="2" priority="49">
      <formula>AB29&gt;0</formula>
    </cfRule>
  </conditionalFormatting>
  <conditionalFormatting sqref="W30:Z30">
    <cfRule type="expression" dxfId="2" priority="50">
      <formula>AB30&gt;0</formula>
    </cfRule>
  </conditionalFormatting>
  <conditionalFormatting sqref="W31:Z31">
    <cfRule type="expression" dxfId="2" priority="51">
      <formula>AB31&gt;0</formula>
    </cfRule>
  </conditionalFormatting>
  <conditionalFormatting sqref="W32:Z32">
    <cfRule type="expression" dxfId="2" priority="52">
      <formula>AB32&gt;0</formula>
    </cfRule>
  </conditionalFormatting>
  <conditionalFormatting sqref="W33:Z33">
    <cfRule type="expression" dxfId="2" priority="53">
      <formula>AB33&gt;0</formula>
    </cfRule>
  </conditionalFormatting>
  <conditionalFormatting sqref="W34:Z34">
    <cfRule type="expression" dxfId="2" priority="54">
      <formula>AB34&gt;0</formula>
    </cfRule>
  </conditionalFormatting>
  <conditionalFormatting sqref="W35:Z35">
    <cfRule type="expression" dxfId="2" priority="55">
      <formula>AB35&gt;0</formula>
    </cfRule>
  </conditionalFormatting>
  <conditionalFormatting sqref="W36:Z36">
    <cfRule type="expression" dxfId="2" priority="56">
      <formula>AB36&gt;0</formula>
    </cfRule>
  </conditionalFormatting>
  <conditionalFormatting sqref="AG19:AJ19">
    <cfRule type="expression" dxfId="2" priority="57">
      <formula>AL19&gt;0</formula>
    </cfRule>
  </conditionalFormatting>
  <conditionalFormatting sqref="AG20:AJ20">
    <cfRule type="expression" dxfId="2" priority="58">
      <formula>AL20&gt;0</formula>
    </cfRule>
  </conditionalFormatting>
  <conditionalFormatting sqref="AG21:AJ21">
    <cfRule type="expression" dxfId="2" priority="59">
      <formula>AL21&gt;0</formula>
    </cfRule>
  </conditionalFormatting>
  <conditionalFormatting sqref="AG22:AJ22">
    <cfRule type="expression" dxfId="2" priority="60">
      <formula>AL22&gt;0</formula>
    </cfRule>
  </conditionalFormatting>
  <conditionalFormatting sqref="AG23:AJ23">
    <cfRule type="expression" dxfId="2" priority="61">
      <formula>AL23&gt;0</formula>
    </cfRule>
  </conditionalFormatting>
  <conditionalFormatting sqref="AG24:AJ24">
    <cfRule type="expression" dxfId="2" priority="62">
      <formula>AL24&gt;0</formula>
    </cfRule>
  </conditionalFormatting>
  <conditionalFormatting sqref="AG25:AJ25">
    <cfRule type="expression" dxfId="2" priority="63">
      <formula>AL25&gt;0</formula>
    </cfRule>
  </conditionalFormatting>
  <conditionalFormatting sqref="AG26:AJ26">
    <cfRule type="expression" dxfId="2" priority="64">
      <formula>AL26&gt;0</formula>
    </cfRule>
  </conditionalFormatting>
  <conditionalFormatting sqref="AG27:AJ27">
    <cfRule type="expression" dxfId="2" priority="65">
      <formula>AL27&gt;0</formula>
    </cfRule>
  </conditionalFormatting>
  <conditionalFormatting sqref="AG28:AJ28">
    <cfRule type="expression" dxfId="2" priority="66">
      <formula>AL28&gt;0</formula>
    </cfRule>
  </conditionalFormatting>
  <conditionalFormatting sqref="AG29:AJ29">
    <cfRule type="expression" dxfId="2" priority="67">
      <formula>AL29&gt;0</formula>
    </cfRule>
  </conditionalFormatting>
  <conditionalFormatting sqref="AG30:AJ30">
    <cfRule type="expression" dxfId="2" priority="68">
      <formula>AL30&gt;0</formula>
    </cfRule>
  </conditionalFormatting>
  <conditionalFormatting sqref="AG31:AJ31">
    <cfRule type="expression" dxfId="2" priority="69">
      <formula>AL31&gt;0</formula>
    </cfRule>
  </conditionalFormatting>
  <conditionalFormatting sqref="AG32:AJ32">
    <cfRule type="expression" dxfId="2" priority="70">
      <formula>AL32&gt;0</formula>
    </cfRule>
  </conditionalFormatting>
  <conditionalFormatting sqref="AG33:AJ33">
    <cfRule type="expression" dxfId="2" priority="71">
      <formula>AL33&gt;0</formula>
    </cfRule>
  </conditionalFormatting>
  <conditionalFormatting sqref="AG34:AJ34">
    <cfRule type="expression" dxfId="2" priority="72">
      <formula>AL34&gt;0</formula>
    </cfRule>
  </conditionalFormatting>
  <conditionalFormatting sqref="AG35:AJ35">
    <cfRule type="expression" dxfId="2" priority="73">
      <formula>AL35&gt;0</formula>
    </cfRule>
  </conditionalFormatting>
  <conditionalFormatting sqref="AG36:AJ36">
    <cfRule type="expression" dxfId="2" priority="74">
      <formula>AL36&gt;0</formula>
    </cfRule>
  </conditionalFormatting>
  <dataValidations>
    <dataValidation type="list" allowBlank="1" sqref="U49 AO49 BB49 BB59 AO60 R72">
      <formula1>"1,2,3,4,5,6,7,8,9,10"</formula1>
    </dataValidation>
    <dataValidation type="list" allowBlank="1" sqref="AU33 BA33 AU35 BA35 B19:B36 L19:L36 V19:V36 AF19:AF36">
      <formula1>"✖,✔"</formula1>
    </dataValidation>
    <dataValidation type="list" allowBlank="1" sqref="E12">
      <formula1>"간호사,갱 보스,건달,건 몰,건축가,경관,고고학자,곡예사,골동품상,골동품 연구가,과학자,광부,광신자,교수,교주,기술자,기자,깡패,노조 활동가,농부,단독 범죄자,대학생,도둑,도박사,등반가,디자이너,디프로그래머,딜레탕트,떠돌이,리포터,매춘부,맹수사냥꾼,미술가,밀수꾼,밀주업자,바텐더,박물관 큐레이터,배우,벌목꾼,법의학자,변호사,병사,병원 보조원,복서/레슬러,부랑자,부족민,부하 조직원,비서,비행사,사기꾼,사립탐정,사무원,사서,사육사,사진가,사진기자,서적상,선교"&amp;"사,선원,선출직 공무원,성직자,소방관,수병,스턴트맨,스턴트우먼,스파이,신비학자,신사/숙녀,심령학자,심리학자,약사,엔지니어,연구실 조수,연구자,연방 요원,연예인,연주자,외신 기자,운동선수,운전사,웨이터,웨이트리스,위조업자,은행강도,의사,인턴,자객,자연 애호가,작가,잠수부,장교,장물아비,장의사,장인,전속 기사,점장,정신감정사,정신과 의사,정신병원 직원,정신분석가,조련사,조종사,중상급 관리자,집사,카우걸/카우보이,컴퓨터 테크니션,탐광인,탐험가,택시 운전사,판"&amp;"매원,판사,편집자,폭력배,프로그래머,하녀,하인,해커,현상금 사냥꾼,형사,회계사,회사 탐정,ETC"</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55" width="2.5"/>
  </cols>
  <sheetData>
    <row r="1" ht="11.25" customHeight="1">
      <c r="A1" s="1">
        <v>35.0</v>
      </c>
      <c r="B1" s="2"/>
      <c r="C1" s="2"/>
      <c r="D1" s="2"/>
      <c r="E1" s="2"/>
      <c r="F1" s="2"/>
      <c r="G1" s="2"/>
      <c r="H1" s="2"/>
      <c r="I1" s="2"/>
      <c r="J1" s="2"/>
      <c r="K1" s="2"/>
      <c r="L1" s="2"/>
      <c r="M1" s="2"/>
      <c r="N1" s="2"/>
      <c r="O1" s="2"/>
      <c r="P1" s="2"/>
      <c r="Q1" s="2"/>
      <c r="R1" s="2"/>
      <c r="S1" s="2"/>
      <c r="T1" s="2"/>
      <c r="U1" s="2"/>
      <c r="V1" s="2"/>
      <c r="W1" s="2"/>
      <c r="X1" s="2"/>
      <c r="Y1" s="2"/>
      <c r="Z1" s="2"/>
      <c r="AA1" s="2"/>
      <c r="AB1" s="2"/>
      <c r="AC1" s="3"/>
      <c r="AD1" s="3"/>
      <c r="AE1" s="3"/>
      <c r="AF1" s="3"/>
      <c r="AG1" s="3"/>
      <c r="AH1" s="3"/>
      <c r="AI1" s="3"/>
      <c r="AJ1" s="3"/>
      <c r="AK1" s="3"/>
      <c r="AL1" s="3"/>
      <c r="AM1" s="3"/>
      <c r="AN1" s="3"/>
      <c r="AO1" s="3"/>
      <c r="AP1" s="3"/>
      <c r="AQ1" s="3"/>
      <c r="AR1" s="3"/>
      <c r="AS1" s="3"/>
      <c r="AT1" s="3"/>
      <c r="AU1" s="3"/>
      <c r="AV1" s="3"/>
      <c r="AW1" s="3"/>
      <c r="AX1" s="3"/>
      <c r="AY1" s="3"/>
      <c r="AZ1" s="3"/>
      <c r="BA1" s="3"/>
      <c r="BB1" s="3"/>
      <c r="BC1" s="3"/>
    </row>
    <row r="2" ht="9.0" customHeight="1">
      <c r="A2" s="2"/>
      <c r="B2" s="445" t="s">
        <v>0</v>
      </c>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446" t="s">
        <v>1</v>
      </c>
      <c r="AU2" s="5"/>
      <c r="AV2" s="7"/>
      <c r="AW2" s="446" t="s">
        <v>2</v>
      </c>
      <c r="AX2" s="5"/>
      <c r="AY2" s="7"/>
      <c r="AZ2" s="446" t="s">
        <v>3</v>
      </c>
      <c r="BA2" s="5"/>
      <c r="BB2" s="7"/>
      <c r="BC2" s="3"/>
    </row>
    <row r="3" ht="9.0" customHeight="1">
      <c r="A3" s="8"/>
      <c r="B3" s="9"/>
      <c r="AT3" s="10"/>
      <c r="AU3" s="11"/>
      <c r="AV3" s="12"/>
      <c r="AW3" s="10"/>
      <c r="AX3" s="11"/>
      <c r="AY3" s="12"/>
      <c r="AZ3" s="10"/>
      <c r="BA3" s="11"/>
      <c r="BB3" s="12"/>
      <c r="BC3" s="3"/>
    </row>
    <row r="4" ht="9.0" customHeight="1">
      <c r="A4" s="8"/>
      <c r="B4" s="9"/>
      <c r="AT4" s="13"/>
      <c r="AU4" s="5"/>
      <c r="AV4" s="7"/>
      <c r="AW4" s="446" t="s">
        <v>4</v>
      </c>
      <c r="AX4" s="5"/>
      <c r="AY4" s="7"/>
      <c r="AZ4" s="447" t="s">
        <v>5</v>
      </c>
      <c r="BA4" s="5"/>
      <c r="BB4" s="7"/>
      <c r="BC4" s="3"/>
    </row>
    <row r="5" ht="9.0" customHeight="1">
      <c r="A5" s="8"/>
      <c r="B5" s="9"/>
      <c r="AT5" s="9"/>
      <c r="AV5" s="15"/>
      <c r="AW5" s="9"/>
      <c r="AY5" s="15"/>
      <c r="AZ5" s="9"/>
      <c r="BB5" s="15"/>
      <c r="BC5" s="3"/>
    </row>
    <row r="6" ht="9.0" customHeight="1">
      <c r="A6" s="2"/>
      <c r="B6" s="9"/>
      <c r="AT6" s="10"/>
      <c r="AU6" s="11"/>
      <c r="AV6" s="12"/>
      <c r="AW6" s="10"/>
      <c r="AX6" s="11"/>
      <c r="AY6" s="12"/>
      <c r="AZ6" s="10"/>
      <c r="BA6" s="11"/>
      <c r="BB6" s="12"/>
      <c r="BC6" s="2"/>
    </row>
    <row r="7" ht="13.5" customHeight="1">
      <c r="A7" s="16"/>
      <c r="B7" s="17"/>
      <c r="C7" s="17"/>
      <c r="D7" s="17"/>
      <c r="E7" s="17"/>
      <c r="F7" s="17"/>
      <c r="G7" s="17"/>
      <c r="H7" s="17"/>
      <c r="I7" s="17"/>
      <c r="J7" s="17"/>
      <c r="K7" s="17"/>
      <c r="L7" s="17"/>
      <c r="M7" s="17"/>
      <c r="N7" s="17"/>
      <c r="O7" s="18"/>
      <c r="P7" s="18"/>
      <c r="Q7" s="19"/>
      <c r="R7" s="18"/>
      <c r="S7" s="18"/>
      <c r="T7" s="18"/>
      <c r="U7" s="18"/>
      <c r="V7" s="18"/>
      <c r="W7" s="18"/>
      <c r="X7" s="18"/>
      <c r="Y7" s="18"/>
      <c r="Z7" s="18"/>
      <c r="AA7" s="18"/>
      <c r="AB7" s="18"/>
      <c r="AC7" s="18"/>
      <c r="AD7" s="18"/>
      <c r="AE7" s="18"/>
      <c r="AF7" s="18"/>
      <c r="AG7" s="18"/>
      <c r="AH7" s="18"/>
      <c r="AI7" s="18"/>
      <c r="AJ7" s="18"/>
      <c r="AK7" s="18"/>
      <c r="AL7" s="18"/>
      <c r="AM7" s="18"/>
      <c r="AN7" s="18"/>
      <c r="AO7" s="18"/>
      <c r="AP7" s="20"/>
      <c r="AQ7" s="17"/>
      <c r="AR7" s="17"/>
      <c r="AS7" s="17"/>
      <c r="AT7" s="17"/>
      <c r="AU7" s="17"/>
      <c r="AV7" s="17"/>
      <c r="AW7" s="17"/>
      <c r="AX7" s="17"/>
      <c r="AY7" s="17"/>
      <c r="AZ7" s="17"/>
      <c r="BA7" s="17"/>
      <c r="BB7" s="17"/>
      <c r="BC7" s="21"/>
    </row>
    <row r="8" ht="13.5" customHeight="1">
      <c r="A8" s="22"/>
      <c r="B8" s="448" t="s">
        <v>6</v>
      </c>
      <c r="C8" s="24"/>
      <c r="D8" s="24"/>
      <c r="E8" s="24"/>
      <c r="F8" s="24"/>
      <c r="G8" s="24"/>
      <c r="H8" s="24"/>
      <c r="I8" s="24"/>
      <c r="J8" s="24"/>
      <c r="K8" s="24"/>
      <c r="L8" s="24"/>
      <c r="M8" s="24"/>
      <c r="N8" s="24"/>
      <c r="O8" s="24"/>
      <c r="P8" s="25"/>
      <c r="Q8" s="26"/>
      <c r="R8" s="448" t="s">
        <v>7</v>
      </c>
      <c r="S8" s="24"/>
      <c r="T8" s="24"/>
      <c r="U8" s="24"/>
      <c r="V8" s="24"/>
      <c r="W8" s="24"/>
      <c r="X8" s="24"/>
      <c r="Y8" s="24"/>
      <c r="Z8" s="24"/>
      <c r="AA8" s="24"/>
      <c r="AB8" s="24"/>
      <c r="AC8" s="24"/>
      <c r="AD8" s="24"/>
      <c r="AE8" s="24"/>
      <c r="AF8" s="24"/>
      <c r="AG8" s="24"/>
      <c r="AH8" s="24"/>
      <c r="AI8" s="24"/>
      <c r="AJ8" s="24"/>
      <c r="AK8" s="24"/>
      <c r="AL8" s="24"/>
      <c r="AM8" s="24"/>
      <c r="AN8" s="24"/>
      <c r="AO8" s="25"/>
      <c r="AP8" s="27"/>
      <c r="AQ8" s="448" t="s">
        <v>8</v>
      </c>
      <c r="AR8" s="24"/>
      <c r="AS8" s="24"/>
      <c r="AT8" s="24"/>
      <c r="AU8" s="24"/>
      <c r="AV8" s="24"/>
      <c r="AW8" s="24"/>
      <c r="AX8" s="24"/>
      <c r="AY8" s="24"/>
      <c r="AZ8" s="24"/>
      <c r="BA8" s="24"/>
      <c r="BB8" s="25"/>
      <c r="BC8" s="28"/>
    </row>
    <row r="9" ht="13.5" customHeight="1">
      <c r="A9" s="29"/>
      <c r="B9" s="30"/>
      <c r="C9" s="31"/>
      <c r="D9" s="31"/>
      <c r="E9" s="31"/>
      <c r="F9" s="31"/>
      <c r="G9" s="31"/>
      <c r="H9" s="31"/>
      <c r="I9" s="31"/>
      <c r="J9" s="31"/>
      <c r="K9" s="31"/>
      <c r="L9" s="31"/>
      <c r="M9" s="31"/>
      <c r="N9" s="31"/>
      <c r="O9" s="31"/>
      <c r="P9" s="32"/>
      <c r="Q9" s="26"/>
      <c r="R9" s="30"/>
      <c r="S9" s="31"/>
      <c r="T9" s="31"/>
      <c r="U9" s="31"/>
      <c r="V9" s="31"/>
      <c r="W9" s="31"/>
      <c r="X9" s="31"/>
      <c r="Y9" s="31"/>
      <c r="Z9" s="31"/>
      <c r="AA9" s="31"/>
      <c r="AB9" s="31"/>
      <c r="AC9" s="31"/>
      <c r="AD9" s="31"/>
      <c r="AE9" s="31"/>
      <c r="AF9" s="31"/>
      <c r="AG9" s="31"/>
      <c r="AH9" s="31"/>
      <c r="AI9" s="31"/>
      <c r="AJ9" s="31"/>
      <c r="AK9" s="31"/>
      <c r="AL9" s="31"/>
      <c r="AM9" s="31"/>
      <c r="AN9" s="31"/>
      <c r="AO9" s="32"/>
      <c r="AP9" s="27"/>
      <c r="AQ9" s="30"/>
      <c r="AR9" s="31"/>
      <c r="AS9" s="31"/>
      <c r="AT9" s="31"/>
      <c r="AU9" s="31"/>
      <c r="AV9" s="31"/>
      <c r="AW9" s="31"/>
      <c r="AX9" s="31"/>
      <c r="AY9" s="31"/>
      <c r="AZ9" s="31"/>
      <c r="BA9" s="31"/>
      <c r="BB9" s="32"/>
      <c r="BC9" s="28"/>
    </row>
    <row r="10" ht="13.5" customHeight="1">
      <c r="A10" s="22"/>
      <c r="B10" s="449" t="s">
        <v>9</v>
      </c>
      <c r="C10" s="34"/>
      <c r="D10" s="35"/>
      <c r="E10" s="36"/>
      <c r="F10" s="34"/>
      <c r="G10" s="34"/>
      <c r="H10" s="34"/>
      <c r="I10" s="34"/>
      <c r="J10" s="34"/>
      <c r="K10" s="34"/>
      <c r="L10" s="34"/>
      <c r="M10" s="34"/>
      <c r="N10" s="34"/>
      <c r="O10" s="34"/>
      <c r="P10" s="35"/>
      <c r="Q10" s="26"/>
      <c r="R10" s="450" t="s">
        <v>10</v>
      </c>
      <c r="S10" s="24"/>
      <c r="T10" s="24"/>
      <c r="U10" s="25"/>
      <c r="V10" s="38"/>
      <c r="W10" s="25"/>
      <c r="X10" s="451">
        <f>Int(DIVIDE(V10,2))</f>
        <v>0</v>
      </c>
      <c r="Y10" s="35"/>
      <c r="Z10" s="452" t="s">
        <v>11</v>
      </c>
      <c r="AA10" s="24"/>
      <c r="AB10" s="24"/>
      <c r="AC10" s="25"/>
      <c r="AD10" s="38"/>
      <c r="AE10" s="25"/>
      <c r="AF10" s="451">
        <f>Int(DIVIDE(AD10,2))</f>
        <v>0</v>
      </c>
      <c r="AG10" s="35"/>
      <c r="AH10" s="452" t="s">
        <v>12</v>
      </c>
      <c r="AI10" s="24"/>
      <c r="AJ10" s="24"/>
      <c r="AK10" s="25"/>
      <c r="AL10" s="38"/>
      <c r="AM10" s="25"/>
      <c r="AN10" s="451">
        <f>Int(DIVIDE(AL10,2))</f>
        <v>0</v>
      </c>
      <c r="AO10" s="35"/>
      <c r="AP10" s="28"/>
      <c r="AQ10" s="290"/>
      <c r="BB10" s="15"/>
      <c r="BC10" s="3"/>
    </row>
    <row r="11" ht="13.5" customHeight="1">
      <c r="A11" s="22"/>
      <c r="B11" s="449" t="s">
        <v>13</v>
      </c>
      <c r="C11" s="34"/>
      <c r="D11" s="35"/>
      <c r="E11" s="42"/>
      <c r="F11" s="34"/>
      <c r="G11" s="34"/>
      <c r="H11" s="34"/>
      <c r="I11" s="34"/>
      <c r="J11" s="34"/>
      <c r="K11" s="34"/>
      <c r="L11" s="34"/>
      <c r="M11" s="34"/>
      <c r="N11" s="34"/>
      <c r="O11" s="34"/>
      <c r="P11" s="35"/>
      <c r="Q11" s="26"/>
      <c r="R11" s="30"/>
      <c r="S11" s="31"/>
      <c r="T11" s="31"/>
      <c r="U11" s="32"/>
      <c r="V11" s="30"/>
      <c r="W11" s="32"/>
      <c r="X11" s="453">
        <f>int(DIVIDE(V10,5))</f>
        <v>0</v>
      </c>
      <c r="Y11" s="35"/>
      <c r="Z11" s="30"/>
      <c r="AA11" s="31"/>
      <c r="AB11" s="31"/>
      <c r="AC11" s="32"/>
      <c r="AD11" s="30"/>
      <c r="AE11" s="32"/>
      <c r="AF11" s="453">
        <f>int(DIVIDE(AD10,5))</f>
        <v>0</v>
      </c>
      <c r="AG11" s="35"/>
      <c r="AH11" s="30"/>
      <c r="AI11" s="31"/>
      <c r="AJ11" s="31"/>
      <c r="AK11" s="32"/>
      <c r="AL11" s="30"/>
      <c r="AM11" s="32"/>
      <c r="AN11" s="453">
        <f>int(DIVIDE(AL10,5))</f>
        <v>0</v>
      </c>
      <c r="AO11" s="35"/>
      <c r="AP11" s="28"/>
      <c r="AQ11" s="9"/>
      <c r="BB11" s="15"/>
      <c r="BC11" s="2"/>
    </row>
    <row r="12" ht="13.5" customHeight="1">
      <c r="A12" s="22"/>
      <c r="B12" s="454" t="s">
        <v>14</v>
      </c>
      <c r="C12" s="34"/>
      <c r="D12" s="35"/>
      <c r="E12" s="45" t="s">
        <v>164</v>
      </c>
      <c r="J12" s="455" t="s">
        <v>16</v>
      </c>
      <c r="K12" s="35"/>
      <c r="L12" s="36"/>
      <c r="M12" s="34"/>
      <c r="N12" s="34"/>
      <c r="O12" s="34"/>
      <c r="P12" s="35"/>
      <c r="Q12" s="26"/>
      <c r="R12" s="450" t="s">
        <v>17</v>
      </c>
      <c r="S12" s="24"/>
      <c r="T12" s="24"/>
      <c r="U12" s="25"/>
      <c r="V12" s="38"/>
      <c r="W12" s="25"/>
      <c r="X12" s="451">
        <f>Int(DIVIDE(V12,2))</f>
        <v>0</v>
      </c>
      <c r="Y12" s="35"/>
      <c r="Z12" s="450" t="s">
        <v>18</v>
      </c>
      <c r="AA12" s="24"/>
      <c r="AB12" s="24"/>
      <c r="AC12" s="25"/>
      <c r="AD12" s="38"/>
      <c r="AE12" s="25"/>
      <c r="AF12" s="451">
        <f>Int(DIVIDE(AD12,2))</f>
        <v>0</v>
      </c>
      <c r="AG12" s="35"/>
      <c r="AH12" s="452" t="s">
        <v>19</v>
      </c>
      <c r="AI12" s="24"/>
      <c r="AJ12" s="24"/>
      <c r="AK12" s="25"/>
      <c r="AL12" s="38"/>
      <c r="AM12" s="25"/>
      <c r="AN12" s="451">
        <f>Int(DIVIDE(AL12,2))</f>
        <v>0</v>
      </c>
      <c r="AO12" s="35"/>
      <c r="AP12" s="28"/>
      <c r="AQ12" s="9"/>
      <c r="BB12" s="15"/>
      <c r="BC12" s="3"/>
    </row>
    <row r="13" ht="13.5" customHeight="1">
      <c r="A13" s="22"/>
      <c r="B13" s="449" t="s">
        <v>20</v>
      </c>
      <c r="C13" s="34"/>
      <c r="D13" s="35"/>
      <c r="E13" s="47"/>
      <c r="F13" s="34"/>
      <c r="G13" s="34"/>
      <c r="H13" s="34"/>
      <c r="I13" s="35"/>
      <c r="J13" s="456" t="s">
        <v>21</v>
      </c>
      <c r="K13" s="35"/>
      <c r="L13" s="36"/>
      <c r="M13" s="34"/>
      <c r="N13" s="34"/>
      <c r="O13" s="34"/>
      <c r="P13" s="35"/>
      <c r="Q13" s="26"/>
      <c r="R13" s="30"/>
      <c r="S13" s="31"/>
      <c r="T13" s="31"/>
      <c r="U13" s="32"/>
      <c r="V13" s="30"/>
      <c r="W13" s="32"/>
      <c r="X13" s="453">
        <f>int(DIVIDE(V12,5))</f>
        <v>0</v>
      </c>
      <c r="Y13" s="35"/>
      <c r="Z13" s="30"/>
      <c r="AA13" s="31"/>
      <c r="AB13" s="31"/>
      <c r="AC13" s="32"/>
      <c r="AD13" s="30"/>
      <c r="AE13" s="32"/>
      <c r="AF13" s="453">
        <f>int(DIVIDE(AD12,5))</f>
        <v>0</v>
      </c>
      <c r="AG13" s="35"/>
      <c r="AH13" s="30"/>
      <c r="AI13" s="31"/>
      <c r="AJ13" s="31"/>
      <c r="AK13" s="32"/>
      <c r="AL13" s="30"/>
      <c r="AM13" s="32"/>
      <c r="AN13" s="453">
        <f>int(DIVIDE(AL12,5))</f>
        <v>0</v>
      </c>
      <c r="AO13" s="35"/>
      <c r="AP13" s="28"/>
      <c r="AQ13" s="9"/>
      <c r="BB13" s="15"/>
      <c r="BC13" s="3"/>
    </row>
    <row r="14" ht="13.5" customHeight="1">
      <c r="A14" s="22"/>
      <c r="B14" s="449" t="s">
        <v>22</v>
      </c>
      <c r="C14" s="34"/>
      <c r="D14" s="35"/>
      <c r="E14" s="47"/>
      <c r="F14" s="34"/>
      <c r="G14" s="34"/>
      <c r="H14" s="34"/>
      <c r="I14" s="35"/>
      <c r="J14" s="456" t="s">
        <v>23</v>
      </c>
      <c r="K14" s="35"/>
      <c r="L14" s="36"/>
      <c r="M14" s="34"/>
      <c r="N14" s="34"/>
      <c r="O14" s="34"/>
      <c r="P14" s="35"/>
      <c r="Q14" s="26"/>
      <c r="R14" s="450" t="s">
        <v>24</v>
      </c>
      <c r="S14" s="24"/>
      <c r="T14" s="24"/>
      <c r="U14" s="25"/>
      <c r="V14" s="38"/>
      <c r="W14" s="25"/>
      <c r="X14" s="457">
        <f>Int(DIVIDE(V14,2))</f>
        <v>0</v>
      </c>
      <c r="Y14" s="35"/>
      <c r="Z14" s="452" t="s">
        <v>25</v>
      </c>
      <c r="AA14" s="24"/>
      <c r="AB14" s="24"/>
      <c r="AC14" s="25"/>
      <c r="AD14" s="38"/>
      <c r="AE14" s="25"/>
      <c r="AF14" s="457">
        <f>Int(DIVIDE(AD14,2))</f>
        <v>0</v>
      </c>
      <c r="AG14" s="35"/>
      <c r="AH14" s="450" t="s">
        <v>26</v>
      </c>
      <c r="AI14" s="24"/>
      <c r="AJ14" s="24"/>
      <c r="AK14" s="25"/>
      <c r="AL14" s="38"/>
      <c r="AM14" s="25"/>
      <c r="AN14" s="457">
        <f>Int(DIVIDE(AL14,2))</f>
        <v>0</v>
      </c>
      <c r="AO14" s="35"/>
      <c r="AP14" s="28"/>
      <c r="AQ14" s="9"/>
      <c r="BB14" s="15"/>
      <c r="BC14" s="3"/>
    </row>
    <row r="15" ht="13.5" customHeight="1">
      <c r="A15" s="22"/>
      <c r="B15" s="449" t="s">
        <v>27</v>
      </c>
      <c r="C15" s="34"/>
      <c r="D15" s="35"/>
      <c r="E15" s="47"/>
      <c r="F15" s="34"/>
      <c r="G15" s="34"/>
      <c r="H15" s="34"/>
      <c r="I15" s="35"/>
      <c r="J15" s="456" t="s">
        <v>28</v>
      </c>
      <c r="K15" s="35"/>
      <c r="L15" s="36"/>
      <c r="M15" s="34"/>
      <c r="N15" s="34"/>
      <c r="O15" s="34"/>
      <c r="P15" s="35"/>
      <c r="Q15" s="26"/>
      <c r="R15" s="30"/>
      <c r="S15" s="31"/>
      <c r="T15" s="31"/>
      <c r="U15" s="32"/>
      <c r="V15" s="30"/>
      <c r="W15" s="32"/>
      <c r="X15" s="458">
        <f>int(DIVIDE(V14,5))</f>
        <v>0</v>
      </c>
      <c r="Y15" s="35"/>
      <c r="Z15" s="30"/>
      <c r="AA15" s="31"/>
      <c r="AB15" s="31"/>
      <c r="AC15" s="32"/>
      <c r="AD15" s="30"/>
      <c r="AE15" s="32"/>
      <c r="AF15" s="458">
        <f>int(DIVIDE(AD14,5))</f>
        <v>0</v>
      </c>
      <c r="AG15" s="35"/>
      <c r="AH15" s="30"/>
      <c r="AI15" s="31"/>
      <c r="AJ15" s="31"/>
      <c r="AK15" s="32"/>
      <c r="AL15" s="30"/>
      <c r="AM15" s="32"/>
      <c r="AN15" s="458">
        <f>int(DIVIDE(AL14,5))</f>
        <v>0</v>
      </c>
      <c r="AO15" s="35"/>
      <c r="AP15" s="28"/>
      <c r="AQ15" s="9"/>
      <c r="BB15" s="15"/>
      <c r="BC15" s="3"/>
    </row>
    <row r="16" ht="13.5" customHeight="1">
      <c r="A16" s="2"/>
      <c r="B16" s="51"/>
      <c r="C16" s="51"/>
      <c r="D16" s="51"/>
      <c r="E16" s="51"/>
      <c r="F16" s="51"/>
      <c r="G16" s="51"/>
      <c r="H16" s="51"/>
      <c r="I16" s="51"/>
      <c r="J16" s="51"/>
      <c r="K16" s="51"/>
      <c r="L16" s="51"/>
      <c r="M16" s="51"/>
      <c r="N16" s="51"/>
      <c r="O16" s="51"/>
      <c r="P16" s="51"/>
      <c r="Q16" s="52"/>
      <c r="R16" s="51"/>
      <c r="S16" s="51"/>
      <c r="T16" s="51"/>
      <c r="U16" s="51"/>
      <c r="V16" s="51"/>
      <c r="W16" s="51"/>
      <c r="X16" s="51"/>
      <c r="Y16" s="51"/>
      <c r="Z16" s="51"/>
      <c r="AA16" s="51"/>
      <c r="AB16" s="51"/>
      <c r="AC16" s="53"/>
      <c r="AD16" s="53"/>
      <c r="AE16" s="53"/>
      <c r="AF16" s="53"/>
      <c r="AG16" s="53"/>
      <c r="AH16" s="53"/>
      <c r="AI16" s="53"/>
      <c r="AJ16" s="53"/>
      <c r="AK16" s="53"/>
      <c r="AL16" s="53"/>
      <c r="AM16" s="53"/>
      <c r="AN16" s="53"/>
      <c r="AO16" s="53"/>
      <c r="AP16" s="3"/>
      <c r="AQ16" s="9"/>
      <c r="BB16" s="15"/>
      <c r="BC16" s="3"/>
    </row>
    <row r="17" ht="13.5" customHeight="1">
      <c r="A17" s="22"/>
      <c r="B17" s="459" t="s">
        <v>29</v>
      </c>
      <c r="C17" s="5"/>
      <c r="D17" s="5"/>
      <c r="E17" s="5"/>
      <c r="F17" s="5"/>
      <c r="G17" s="5"/>
      <c r="H17" s="5"/>
      <c r="I17" s="5"/>
      <c r="J17" s="5"/>
      <c r="K17" s="5"/>
      <c r="L17" s="5"/>
      <c r="M17" s="5"/>
      <c r="N17" s="55"/>
      <c r="O17" s="460" t="s">
        <v>30</v>
      </c>
      <c r="P17" s="5"/>
      <c r="Q17" s="5"/>
      <c r="R17" s="5"/>
      <c r="S17" s="5"/>
      <c r="T17" s="461">
        <f>IF(E12="간호사", AL12*4,
IF(E12="갱 보스", AL12*2+AD12*2,
IF(E12="건달", AL12*2+MAX(V10*2,AD10*2),
IF(E12="건 몰", AL12*2+AD12*2,
IF(E12="건축가", AL12*4,
IF(E12="경관", AL12*2+MAX(V10*2,AD10*2),
IF(E12="고고학자", AL12*4,
IF(E12="곡예사", AL12*2+AD10*2,
IF(E12="골동품상", AL12*4,
IF(E12="골동품 연구가", AL12*4,
IF(E12="과학자", AL12*4,
IF(E12="광부", AL12*2+MAX(V10*2,AD10*2),
IF(E12="광신자", AL12*2+MAX(AD12*2,AL10*2),
IF(E12="교수", AL12*4,
IF(E12="교주", AL12*2+AD12*2,
IF(E12="기술자", AL12*4,
IF(E12="기자", AL12*4,
IF(E12="깡패", AL12*2+V10*2,
IF(E12="노조 활동가", AL12*4,
IF(E12="농부", AL12*2+MAX(V10*2,AD10*2),
IF(E12="단독 범죄자", AL12*2+MAX(AD10*2,AD12*2),
IF(E12="대학생", AL12*4,
IF(E12="도둑", AL12*2+AD10*2,
IF(E12="도박사", AL12*2+MAX(AD10*2,AD12*2),
IF(E12="등반가", AL12*2+MAX(V10*2,AD10*2),
IF(E12="디자이너", AL12*4,
IF(E12="디프로그래머", AL12*4,
IF(E12="딜레탕트", AL12*2+AD12*2,
IF(E12="떠돌이", AL12*2+MAX(AD10*2,AD12*2),
IF(E12="리포터", AL12*4,
IF(E12="매춘부", AL12*2+AD12*2,
IF(E12="맹수사냥꾼", AL12*2+MAX(V10*2,AD10*2),
IF(E12="미술가", AL12*2+MAX(AD10*2,AL10*2),
IF(E12="밀수꾼", AL12*2+MAX(AD10*2,AD12*2),
IF(E12="밀주업자", AL12*2+V10*2,
IF(E12="바텐더", AL12*2+AD12*2,
IF(E12="박물관 큐레이터", AL12*4,
IF(E12="배우", AL12*2+AD12*2,
IF(E12="벌목꾼", AL12*2+MAX(V10*2,AD10*2),
IF(E12="법의학자", AL12*4,
IF(E12="변호사", AL12*4,
IF(E12="병사", AL12*2+MAX(V10*2,AD10*2),
IF(E12="병원 보조원", AL12*2+V10*2,
IF(E12="복서/레슬러", AL12*2+V10*2,
IF(E12="부랑자", AL12*2+MAX(AD12*2,V10*2,AD10*2),
IF(E12="부족민", AL12*2+MAX(V10*2,AD10*2),
IF(E12="부하 조직원", AL12*2+MAX(V10*2,AD10*2),
IF(E12="비서", AL12*2+MAX(AD10*2,AD12*2),
IF(E12="비숙련공", AL12*2+MAX(V10*2,AD10*2),
IF(E12="비행사", AL12*4,
IF(E12="사립탐정", AL12*2+MAX(V10*2,AD10*2),
IF(E12="사무원", AL12*4,
IF(E12="사서", AL12*4,
IF(E12="사육사", AL12*4,
IF(E12="사진가", AL12*4,
IF(E12="사진기자", AL12*4,
IF(E12="서적상", AL12*4,
IF(E12="선교사", AL12*2+AD12*2,
IF(E12="선원", AL12*2+MAX(V10*2,AD10*2),
IF(E12="선출직 공무원", AL12*2+AD12*2,
IF(E12="성직자", AL12*4,
IF(E12="소방관", AL12*2+MAX(V10*2,AD10*2),
IF(E12="수병", AL12*2+MAX(V10*2,AD10*2),
IF(E12="스턴트맨", AL12*2+MAX(V10*2,AD10*2),
IF(E12="스턴트우먼", AL12*2+MAX(V10*2,AD10*2),
IF(E12="스파이", AL12*2+MAX(AD10*2,AD12*2),
IF(E12="신비학자", AL12*4,
IF(E12="신사/숙녀", AL12*2+AD12*2,
IF(E12="심령학자", AL12*4,
IF(E12="심리학자", AL12*4,
IF(E12="약사", AL12*4,
IF(E12="엔지니어", AL12*4,
IF(E12="연구실 조수", AL12*4,
IF(E12="연구자", AL12*4,
IF(E12="연방 요원", AL12*4,
IF(E12="연예인", AL12*2+AD12*2,
IF(E12="연주자", AL12*2+MAX(AD10*2,AD12*2),
IF(E12="외신 기자", AL12*4,
IF(E12="운동선수", AL12*2+MAX(V10*2,AD10*2),
IF(E12="운전사", AL12*2+MAX(V10*2,AD10*2),
IF(E12="웨이터", AL12*2+MAX(AD10*2,AD12*2),
IF(E12="웨이트리스", AL12*2+MAX(AD10*2,AD12*2),
IF(E12="위조업자", AL12*4,
IF(E12="은행강도", AL12*2+MAX(V10*2,AD10*2),
IF(E12="의사", AL12*4,
IF(E12="인턴", AL12*4,
IF(E12="자객", AL12*2+MAX(V10*2,AD10*2),
IF(E12="자연 애호가", ,
IF(E12="작가", AL12*4,
IF(E12="잠수부", AL12*2+AD10*2,
IF(E12="장교", AL12*2+MAX(V10*2,AD10*2),
IF(E12="장물아비", AL12*2+AD12*2,
IF(E12="장의사", AL12*4,
IF(E12="장인", AL12*2+AD10*2,
IF(E12="전속 기사", AL12*2+AD10*2,
IF(E12="점장", AL12*2+MAX(AD10*2,AD12*2),
IF(E12="정신감정사", AL12*4,
IF(E12="정신과 의사", AL12*4,
IF(E12="정신병원 직원", AL12*2+MAX(V10*2,AD10*2),
IF(E12="정신분석가", AL12*4,
IF(E12="조련사", AL12*2+MAX(AD12*2,AL10*2),
IF(E12="조종사", AL12*2+AD10*2,
IF(E12="중상급 관리자", AL12*4,
IF(E12="집사", AL12*4,
IF(E12="카우걸/카우보이", AL12*2+MAX(V10*2,AD10*2),
IF(E12="컴퓨터 테크니션", AL12*4,
IF(E12="탐광인", AL12*2+MAX(V10*2,AD10*2),
IF(E12="탐험가", AL12*2+MAX(AD12*2,V10*2,AD10*2),
IF(E12="택시 운전사", AL12*2+AD10*2,
IF(E12="판매원", AL12*2+AD12*2,
IF(E12="판사", AL12*4,
IF(E12="편집자", AL12*4,
IF(E12="폭력배", AL12*2+V10*2,
IF(E12="프로그래머", AL12*4,
IF(E12="하녀", AL12*4,
IF(E12="하인", AL12*4,
IF(E12="해커", AL12*4,
IF(E12="현상금 사냥꾼", AL12*2+MAX(V10*2,AD10*2),
IF(E12="형사", AL12*2+MAX(V10*2,AD10*2),
IF(E12="회계사", AL12*4,
IF(E12="ETC", AL12*4,
IF(E12="회사 탐정", AL12*2+MAX(V10*2,AD10*2),"0"))))))))))))))))))))))))))))))))))))))))))))))))))))))))))))))))))))))))))))))))))))))))))))))))))))))))))))))))))))))))))</f>
        <v>0</v>
      </c>
      <c r="U17" s="5"/>
      <c r="V17" s="5"/>
      <c r="W17" s="7"/>
      <c r="X17" s="460" t="s">
        <v>31</v>
      </c>
      <c r="Y17" s="5"/>
      <c r="Z17" s="5"/>
      <c r="AA17" s="5"/>
      <c r="AB17" s="5"/>
      <c r="AC17" s="461">
        <f>(AD14*2)</f>
        <v>0</v>
      </c>
      <c r="AD17" s="5"/>
      <c r="AE17" s="5"/>
      <c r="AF17" s="5"/>
      <c r="AG17" s="7"/>
      <c r="AH17" s="460" t="s">
        <v>32</v>
      </c>
      <c r="AI17" s="5"/>
      <c r="AJ17" s="5"/>
      <c r="AK17" s="5"/>
      <c r="AL17" s="461">
        <f>(SUM(T17,AC17))-(SUM(H19:H36,R19:R36,AB19:AB36,AL19:AL36))+AY61+AB19</f>
        <v>0</v>
      </c>
      <c r="AM17" s="5"/>
      <c r="AN17" s="5"/>
      <c r="AO17" s="7"/>
      <c r="AP17" s="28"/>
      <c r="AQ17" s="9"/>
      <c r="BB17" s="15"/>
      <c r="BC17" s="3"/>
    </row>
    <row r="18" ht="13.5" customHeight="1">
      <c r="A18" s="22"/>
      <c r="B18" s="10"/>
      <c r="C18" s="11"/>
      <c r="D18" s="11"/>
      <c r="E18" s="11"/>
      <c r="F18" s="11"/>
      <c r="G18" s="11"/>
      <c r="H18" s="11"/>
      <c r="I18" s="11"/>
      <c r="J18" s="11"/>
      <c r="K18" s="11"/>
      <c r="L18" s="11"/>
      <c r="M18" s="11"/>
      <c r="N18" s="58"/>
      <c r="O18" s="10"/>
      <c r="P18" s="11"/>
      <c r="Q18" s="11"/>
      <c r="R18" s="11"/>
      <c r="S18" s="11"/>
      <c r="T18" s="59"/>
      <c r="U18" s="11"/>
      <c r="V18" s="11"/>
      <c r="W18" s="12"/>
      <c r="X18" s="10"/>
      <c r="Y18" s="11"/>
      <c r="Z18" s="11"/>
      <c r="AA18" s="11"/>
      <c r="AB18" s="11"/>
      <c r="AC18" s="59"/>
      <c r="AD18" s="11"/>
      <c r="AE18" s="11"/>
      <c r="AF18" s="11"/>
      <c r="AG18" s="12"/>
      <c r="AH18" s="10"/>
      <c r="AI18" s="11"/>
      <c r="AJ18" s="11"/>
      <c r="AK18" s="11"/>
      <c r="AL18" s="59"/>
      <c r="AM18" s="11"/>
      <c r="AN18" s="11"/>
      <c r="AO18" s="12"/>
      <c r="AP18" s="60"/>
      <c r="AQ18" s="9"/>
      <c r="BB18" s="15"/>
      <c r="BC18" s="3"/>
    </row>
    <row r="19" ht="16.5" customHeight="1">
      <c r="A19" s="22"/>
      <c r="B19" s="342" t="s">
        <v>33</v>
      </c>
      <c r="C19" s="462" t="s">
        <v>34</v>
      </c>
      <c r="G19" s="462">
        <v>25.0</v>
      </c>
      <c r="H19" s="404"/>
      <c r="I19" s="463">
        <f t="shared" ref="I19:I36" si="1">SUM(G19,H19)</f>
        <v>25</v>
      </c>
      <c r="J19" s="464">
        <f>int(DIVIDE(I19,2))</f>
        <v>12</v>
      </c>
      <c r="K19" s="465">
        <f t="shared" ref="K19:K36" si="2">int(DIVIDE(I19,5))</f>
        <v>5</v>
      </c>
      <c r="L19" s="342" t="s">
        <v>33</v>
      </c>
      <c r="M19" s="462" t="s">
        <v>35</v>
      </c>
      <c r="Q19" s="462">
        <v>0.0</v>
      </c>
      <c r="R19" s="408"/>
      <c r="S19" s="463">
        <f t="shared" ref="S19:S36" si="3">SUM(Q19,R19)</f>
        <v>0</v>
      </c>
      <c r="T19" s="466">
        <f t="shared" ref="T19:T36" si="4">Int(DIVIDE(S19,2))</f>
        <v>0</v>
      </c>
      <c r="U19" s="467">
        <f t="shared" ref="U19:U36" si="5">int(DIVIDE(S19,5))</f>
        <v>0</v>
      </c>
      <c r="V19" s="342" t="s">
        <v>33</v>
      </c>
      <c r="W19" s="462" t="s">
        <v>36</v>
      </c>
      <c r="AA19" s="462">
        <v>0.0</v>
      </c>
      <c r="AB19" s="411"/>
      <c r="AC19" s="463">
        <f t="shared" ref="AC19:AC36" si="6">SUM(AA19,AB19)</f>
        <v>0</v>
      </c>
      <c r="AD19" s="466">
        <f t="shared" ref="AD19:AD36" si="7">Int(DIVIDE(AC19,2))</f>
        <v>0</v>
      </c>
      <c r="AE19" s="467">
        <f t="shared" ref="AE19:AE36" si="8">int(DIVIDE(AC19,5))</f>
        <v>0</v>
      </c>
      <c r="AF19" s="342" t="s">
        <v>33</v>
      </c>
      <c r="AG19" s="462" t="s">
        <v>37</v>
      </c>
      <c r="AK19" s="468">
        <v>1.0</v>
      </c>
      <c r="AL19" s="413"/>
      <c r="AM19" s="469">
        <f t="shared" ref="AM19:AM36" si="9">SUM(AK19,AL19)</f>
        <v>1</v>
      </c>
      <c r="AN19" s="464">
        <f t="shared" ref="AN19:AN36" si="10">Int(DIVIDE(AM19,2))</f>
        <v>0</v>
      </c>
      <c r="AO19" s="465">
        <f t="shared" ref="AO19:AO36" si="11">int(DIVIDE(AM19,5))</f>
        <v>0</v>
      </c>
      <c r="AP19" s="60"/>
      <c r="AQ19" s="10"/>
      <c r="AR19" s="11"/>
      <c r="AS19" s="11"/>
      <c r="AT19" s="11"/>
      <c r="AU19" s="11"/>
      <c r="AV19" s="11"/>
      <c r="AW19" s="11"/>
      <c r="AX19" s="11"/>
      <c r="AY19" s="11"/>
      <c r="AZ19" s="11"/>
      <c r="BA19" s="11"/>
      <c r="BB19" s="12"/>
      <c r="BC19" s="3"/>
    </row>
    <row r="20" ht="16.5" customHeight="1">
      <c r="A20" s="22"/>
      <c r="B20" s="342" t="s">
        <v>33</v>
      </c>
      <c r="C20" s="462" t="s">
        <v>38</v>
      </c>
      <c r="G20" s="462">
        <v>20.0</v>
      </c>
      <c r="H20" s="408"/>
      <c r="I20" s="463">
        <f t="shared" si="1"/>
        <v>20</v>
      </c>
      <c r="J20" s="464">
        <f t="shared" ref="J20:J22" si="12">Int(DIVIDE(I20,2))</f>
        <v>10</v>
      </c>
      <c r="K20" s="465">
        <f t="shared" si="2"/>
        <v>4</v>
      </c>
      <c r="L20" s="342" t="s">
        <v>33</v>
      </c>
      <c r="M20" s="462" t="s">
        <v>39</v>
      </c>
      <c r="Q20" s="462">
        <v>5.0</v>
      </c>
      <c r="R20" s="413"/>
      <c r="S20" s="463">
        <f t="shared" si="3"/>
        <v>5</v>
      </c>
      <c r="T20" s="466">
        <f t="shared" si="4"/>
        <v>2</v>
      </c>
      <c r="U20" s="467">
        <f t="shared" si="5"/>
        <v>1</v>
      </c>
      <c r="V20" s="356" t="s">
        <v>33</v>
      </c>
      <c r="W20" s="462" t="s">
        <v>40</v>
      </c>
      <c r="AA20" s="462">
        <v>5.0</v>
      </c>
      <c r="AB20" s="408"/>
      <c r="AC20" s="463">
        <f t="shared" si="6"/>
        <v>5</v>
      </c>
      <c r="AD20" s="466">
        <f t="shared" si="7"/>
        <v>2</v>
      </c>
      <c r="AE20" s="467">
        <f t="shared" si="8"/>
        <v>1</v>
      </c>
      <c r="AF20" s="342" t="s">
        <v>33</v>
      </c>
      <c r="AG20" s="462" t="s">
        <v>41</v>
      </c>
      <c r="AK20" s="468">
        <v>30.0</v>
      </c>
      <c r="AL20" s="408"/>
      <c r="AM20" s="469">
        <f t="shared" si="9"/>
        <v>30</v>
      </c>
      <c r="AN20" s="464">
        <f t="shared" si="10"/>
        <v>15</v>
      </c>
      <c r="AO20" s="465">
        <f t="shared" si="11"/>
        <v>6</v>
      </c>
      <c r="AP20" s="28"/>
      <c r="AQ20" s="98"/>
      <c r="AR20" s="98"/>
      <c r="AS20" s="98"/>
      <c r="AT20" s="98"/>
      <c r="AU20" s="98"/>
      <c r="AV20" s="98"/>
      <c r="AW20" s="98"/>
      <c r="AX20" s="98"/>
      <c r="AY20" s="98"/>
      <c r="AZ20" s="98"/>
      <c r="BA20" s="98"/>
      <c r="BB20" s="98"/>
      <c r="BC20" s="3"/>
    </row>
    <row r="21" ht="16.5" customHeight="1">
      <c r="A21" s="22"/>
      <c r="B21" s="342" t="s">
        <v>33</v>
      </c>
      <c r="C21" s="462" t="s">
        <v>42</v>
      </c>
      <c r="G21" s="462">
        <v>20.0</v>
      </c>
      <c r="H21" s="408"/>
      <c r="I21" s="463">
        <f t="shared" si="1"/>
        <v>20</v>
      </c>
      <c r="J21" s="464">
        <f t="shared" si="12"/>
        <v>10</v>
      </c>
      <c r="K21" s="465">
        <f t="shared" si="2"/>
        <v>4</v>
      </c>
      <c r="L21" s="342" t="s">
        <v>33</v>
      </c>
      <c r="M21" s="462" t="s">
        <v>43</v>
      </c>
      <c r="Q21" s="462">
        <v>10.0</v>
      </c>
      <c r="R21" s="413"/>
      <c r="S21" s="463">
        <f t="shared" si="3"/>
        <v>10</v>
      </c>
      <c r="T21" s="466">
        <f t="shared" si="4"/>
        <v>5</v>
      </c>
      <c r="U21" s="467">
        <f t="shared" si="5"/>
        <v>2</v>
      </c>
      <c r="V21" s="342" t="s">
        <v>33</v>
      </c>
      <c r="W21" s="462" t="s">
        <v>44</v>
      </c>
      <c r="AA21" s="462">
        <v>1.0</v>
      </c>
      <c r="AB21" s="413"/>
      <c r="AC21" s="463">
        <f t="shared" si="6"/>
        <v>1</v>
      </c>
      <c r="AD21" s="466">
        <f t="shared" si="7"/>
        <v>0</v>
      </c>
      <c r="AE21" s="467">
        <f t="shared" si="8"/>
        <v>0</v>
      </c>
      <c r="AF21" s="342" t="s">
        <v>33</v>
      </c>
      <c r="AG21" s="462" t="s">
        <v>45</v>
      </c>
      <c r="AK21" s="468">
        <v>10.0</v>
      </c>
      <c r="AL21" s="413"/>
      <c r="AM21" s="469">
        <f t="shared" si="9"/>
        <v>10</v>
      </c>
      <c r="AN21" s="464">
        <f t="shared" si="10"/>
        <v>5</v>
      </c>
      <c r="AO21" s="465">
        <f t="shared" si="11"/>
        <v>2</v>
      </c>
      <c r="AP21" s="99"/>
      <c r="AQ21" s="459" t="s">
        <v>46</v>
      </c>
      <c r="AR21" s="5"/>
      <c r="AS21" s="5"/>
      <c r="AT21" s="5"/>
      <c r="AU21" s="5"/>
      <c r="AV21" s="5"/>
      <c r="AW21" s="5"/>
      <c r="AX21" s="5"/>
      <c r="AY21" s="5"/>
      <c r="AZ21" s="5"/>
      <c r="BA21" s="5"/>
      <c r="BB21" s="7"/>
      <c r="BC21" s="3"/>
    </row>
    <row r="22" ht="16.5" customHeight="1">
      <c r="A22" s="22"/>
      <c r="B22" s="342" t="s">
        <v>33</v>
      </c>
      <c r="C22" s="462" t="s">
        <v>47</v>
      </c>
      <c r="G22" s="462">
        <v>5.0</v>
      </c>
      <c r="H22" s="408"/>
      <c r="I22" s="463">
        <f t="shared" si="1"/>
        <v>5</v>
      </c>
      <c r="J22" s="464">
        <f t="shared" si="12"/>
        <v>2</v>
      </c>
      <c r="K22" s="465">
        <f t="shared" si="2"/>
        <v>1</v>
      </c>
      <c r="L22" s="342" t="s">
        <v>33</v>
      </c>
      <c r="M22" s="470" t="s">
        <v>48</v>
      </c>
      <c r="Q22" s="462">
        <v>1.0</v>
      </c>
      <c r="R22" s="408"/>
      <c r="S22" s="463">
        <f t="shared" si="3"/>
        <v>1</v>
      </c>
      <c r="T22" s="466">
        <f t="shared" si="4"/>
        <v>0</v>
      </c>
      <c r="U22" s="467">
        <f t="shared" si="5"/>
        <v>0</v>
      </c>
      <c r="V22" s="342" t="s">
        <v>33</v>
      </c>
      <c r="W22" s="462" t="s">
        <v>49</v>
      </c>
      <c r="AA22" s="462">
        <v>10.0</v>
      </c>
      <c r="AB22" s="408"/>
      <c r="AC22" s="463">
        <f t="shared" si="6"/>
        <v>10</v>
      </c>
      <c r="AD22" s="466">
        <f t="shared" si="7"/>
        <v>5</v>
      </c>
      <c r="AE22" s="467">
        <f t="shared" si="8"/>
        <v>2</v>
      </c>
      <c r="AF22" s="342" t="s">
        <v>33</v>
      </c>
      <c r="AG22" s="462" t="s">
        <v>50</v>
      </c>
      <c r="AK22" s="468">
        <v>20.0</v>
      </c>
      <c r="AL22" s="408"/>
      <c r="AM22" s="469">
        <f t="shared" si="9"/>
        <v>20</v>
      </c>
      <c r="AN22" s="464">
        <f t="shared" si="10"/>
        <v>10</v>
      </c>
      <c r="AO22" s="465">
        <f t="shared" si="11"/>
        <v>4</v>
      </c>
      <c r="AP22" s="28"/>
      <c r="AQ22" s="10"/>
      <c r="AR22" s="11"/>
      <c r="AS22" s="11"/>
      <c r="AT22" s="11"/>
      <c r="AU22" s="11"/>
      <c r="AV22" s="11"/>
      <c r="AW22" s="11"/>
      <c r="AX22" s="11"/>
      <c r="AY22" s="11"/>
      <c r="AZ22" s="11"/>
      <c r="BA22" s="11"/>
      <c r="BB22" s="12"/>
      <c r="BC22" s="3"/>
    </row>
    <row r="23" ht="16.5" customHeight="1">
      <c r="A23" s="22"/>
      <c r="B23" s="342" t="s">
        <v>33</v>
      </c>
      <c r="C23" s="462" t="s">
        <v>51</v>
      </c>
      <c r="G23" s="462">
        <v>1.0</v>
      </c>
      <c r="H23" s="408"/>
      <c r="I23" s="463">
        <f t="shared" si="1"/>
        <v>1</v>
      </c>
      <c r="J23" s="464">
        <f>int(DIVIDE(I23,2))</f>
        <v>0</v>
      </c>
      <c r="K23" s="465">
        <f t="shared" si="2"/>
        <v>0</v>
      </c>
      <c r="L23" s="342" t="s">
        <v>33</v>
      </c>
      <c r="M23" s="471"/>
      <c r="Q23" s="462"/>
      <c r="R23" s="413"/>
      <c r="S23" s="463">
        <f t="shared" si="3"/>
        <v>0</v>
      </c>
      <c r="T23" s="466">
        <f t="shared" si="4"/>
        <v>0</v>
      </c>
      <c r="U23" s="467">
        <f t="shared" si="5"/>
        <v>0</v>
      </c>
      <c r="V23" s="342" t="s">
        <v>33</v>
      </c>
      <c r="W23" s="462" t="s">
        <v>52</v>
      </c>
      <c r="AA23" s="462">
        <v>15.0</v>
      </c>
      <c r="AB23" s="413"/>
      <c r="AC23" s="463">
        <f t="shared" si="6"/>
        <v>15</v>
      </c>
      <c r="AD23" s="466">
        <f t="shared" si="7"/>
        <v>7</v>
      </c>
      <c r="AE23" s="467">
        <f t="shared" si="8"/>
        <v>3</v>
      </c>
      <c r="AF23" s="342" t="s">
        <v>33</v>
      </c>
      <c r="AG23" s="462" t="s">
        <v>53</v>
      </c>
      <c r="AK23" s="468">
        <v>20.0</v>
      </c>
      <c r="AL23" s="408"/>
      <c r="AM23" s="469">
        <f t="shared" si="9"/>
        <v>20</v>
      </c>
      <c r="AN23" s="464">
        <f t="shared" si="10"/>
        <v>10</v>
      </c>
      <c r="AO23" s="465">
        <f t="shared" si="11"/>
        <v>4</v>
      </c>
      <c r="AP23" s="28"/>
      <c r="AQ23" s="472" t="s">
        <v>54</v>
      </c>
      <c r="AR23" s="105"/>
      <c r="AS23" s="105"/>
      <c r="AT23" s="105"/>
      <c r="AU23" s="105"/>
      <c r="AV23" s="105"/>
      <c r="AW23" s="473">
        <f>if((V10+V14)&lt;=64,-2,if((V10+V14)&lt;=84,-1,if((V10+V14)&lt;=124,0,if((V10+V14)&lt;=164,"+1D4",if((V10+V14)&lt;=204,"+1D6",if((V10+V14)&lt;=284,"+2D6",if((V10+V14)&lt;=20364,"+3D6",if((V10+V14)&lt;=444,"+4D6",if((V10+V14)&lt;=524,"+5D6")))))))))
</f>
        <v>-2</v>
      </c>
      <c r="AX23" s="105"/>
      <c r="AY23" s="105"/>
      <c r="AZ23" s="105"/>
      <c r="BA23" s="105"/>
      <c r="BB23" s="107"/>
      <c r="BC23" s="3"/>
    </row>
    <row r="24" ht="16.5" customHeight="1">
      <c r="A24" s="22"/>
      <c r="B24" s="342" t="s">
        <v>33</v>
      </c>
      <c r="C24" s="462" t="s">
        <v>55</v>
      </c>
      <c r="G24" s="462">
        <v>10.0</v>
      </c>
      <c r="H24" s="408"/>
      <c r="I24" s="463">
        <f t="shared" si="1"/>
        <v>10</v>
      </c>
      <c r="J24" s="464">
        <f t="shared" ref="J24:J26" si="13">Int(DIVIDE(I24,2))</f>
        <v>5</v>
      </c>
      <c r="K24" s="465">
        <f t="shared" si="2"/>
        <v>2</v>
      </c>
      <c r="L24" s="342" t="s">
        <v>33</v>
      </c>
      <c r="M24" s="471"/>
      <c r="Q24" s="462"/>
      <c r="R24" s="413"/>
      <c r="S24" s="463">
        <f t="shared" si="3"/>
        <v>0</v>
      </c>
      <c r="T24" s="466">
        <f t="shared" si="4"/>
        <v>0</v>
      </c>
      <c r="U24" s="467">
        <f t="shared" si="5"/>
        <v>0</v>
      </c>
      <c r="V24" s="342" t="s">
        <v>33</v>
      </c>
      <c r="W24" s="462" t="s">
        <v>56</v>
      </c>
      <c r="AA24" s="462">
        <v>15.0</v>
      </c>
      <c r="AB24" s="408"/>
      <c r="AC24" s="463">
        <f t="shared" si="6"/>
        <v>15</v>
      </c>
      <c r="AD24" s="466">
        <f t="shared" si="7"/>
        <v>7</v>
      </c>
      <c r="AE24" s="467">
        <f t="shared" si="8"/>
        <v>3</v>
      </c>
      <c r="AF24" s="342" t="s">
        <v>33</v>
      </c>
      <c r="AG24" s="462" t="s">
        <v>57</v>
      </c>
      <c r="AK24" s="468">
        <v>20.0</v>
      </c>
      <c r="AL24" s="408"/>
      <c r="AM24" s="469">
        <f t="shared" si="9"/>
        <v>20</v>
      </c>
      <c r="AN24" s="464">
        <f t="shared" si="10"/>
        <v>10</v>
      </c>
      <c r="AO24" s="465">
        <f t="shared" si="11"/>
        <v>4</v>
      </c>
      <c r="AP24" s="28"/>
      <c r="AQ24" s="472" t="s">
        <v>58</v>
      </c>
      <c r="AR24" s="105"/>
      <c r="AS24" s="105"/>
      <c r="AT24" s="105"/>
      <c r="AU24" s="105"/>
      <c r="AV24" s="105"/>
      <c r="AW24" s="473">
        <f>if((V10+V14)&lt;=64,-2,if((V10+V14)&lt;=84,-1,if((V10+V14)&lt;=124,0,if((V10+V14)&lt;=164,"+1",if((V10+V14)&lt;=204,"+2",if((V10+V14)&lt;=284,"+3",if((V10+V14)&lt;=20364,"+4",if((V10+V14)&lt;=444,"+5",if((V10+V14)&lt;=524,"+6")))))))))</f>
        <v>-2</v>
      </c>
      <c r="AX24" s="105"/>
      <c r="AY24" s="105"/>
      <c r="AZ24" s="105"/>
      <c r="BA24" s="105"/>
      <c r="BB24" s="107"/>
      <c r="BC24" s="3"/>
    </row>
    <row r="25" ht="16.5" customHeight="1">
      <c r="A25" s="22"/>
      <c r="B25" s="342" t="s">
        <v>33</v>
      </c>
      <c r="C25" s="462" t="s">
        <v>59</v>
      </c>
      <c r="G25" s="462">
        <v>10.0</v>
      </c>
      <c r="H25" s="413"/>
      <c r="I25" s="463">
        <f t="shared" si="1"/>
        <v>10</v>
      </c>
      <c r="J25" s="464">
        <f t="shared" si="13"/>
        <v>5</v>
      </c>
      <c r="K25" s="465">
        <f t="shared" si="2"/>
        <v>2</v>
      </c>
      <c r="L25" s="342" t="s">
        <v>33</v>
      </c>
      <c r="M25" s="462" t="s">
        <v>60</v>
      </c>
      <c r="Q25" s="462">
        <v>5.0</v>
      </c>
      <c r="R25" s="408"/>
      <c r="S25" s="463">
        <f t="shared" si="3"/>
        <v>5</v>
      </c>
      <c r="T25" s="466">
        <f t="shared" si="4"/>
        <v>2</v>
      </c>
      <c r="U25" s="467">
        <f t="shared" si="5"/>
        <v>1</v>
      </c>
      <c r="V25" s="342" t="s">
        <v>33</v>
      </c>
      <c r="W25" s="462" t="s">
        <v>61</v>
      </c>
      <c r="AA25" s="462">
        <v>5.0</v>
      </c>
      <c r="AB25" s="408"/>
      <c r="AC25" s="463">
        <f t="shared" si="6"/>
        <v>5</v>
      </c>
      <c r="AD25" s="466">
        <f t="shared" si="7"/>
        <v>2</v>
      </c>
      <c r="AE25" s="467">
        <f t="shared" si="8"/>
        <v>1</v>
      </c>
      <c r="AF25" s="342" t="s">
        <v>33</v>
      </c>
      <c r="AG25" s="462" t="s">
        <v>62</v>
      </c>
      <c r="AK25" s="468">
        <f>Int(DIVIDE(AD10,2))</f>
        <v>0</v>
      </c>
      <c r="AL25" s="413"/>
      <c r="AM25" s="469">
        <f t="shared" si="9"/>
        <v>0</v>
      </c>
      <c r="AN25" s="464">
        <f t="shared" si="10"/>
        <v>0</v>
      </c>
      <c r="AO25" s="465">
        <f t="shared" si="11"/>
        <v>0</v>
      </c>
      <c r="AP25" s="60"/>
      <c r="AQ25" s="472" t="s">
        <v>62</v>
      </c>
      <c r="AR25" s="105"/>
      <c r="AS25" s="105"/>
      <c r="AT25" s="105"/>
      <c r="AU25" s="105"/>
      <c r="AV25" s="105"/>
      <c r="AW25" s="473">
        <f>Int(DIVIDE(AD10,2))</f>
        <v>0</v>
      </c>
      <c r="AX25" s="105"/>
      <c r="AY25" s="474">
        <f>int(AW25/2)</f>
        <v>0</v>
      </c>
      <c r="AZ25" s="105"/>
      <c r="BA25" s="475">
        <f>int(AW25/5)</f>
        <v>0</v>
      </c>
      <c r="BB25" s="107"/>
      <c r="BC25" s="3"/>
    </row>
    <row r="26" ht="16.5" customHeight="1">
      <c r="A26" s="22"/>
      <c r="B26" s="342" t="s">
        <v>33</v>
      </c>
      <c r="C26" s="462" t="s">
        <v>63</v>
      </c>
      <c r="G26" s="462">
        <v>20.0</v>
      </c>
      <c r="H26" s="408"/>
      <c r="I26" s="463">
        <f t="shared" si="1"/>
        <v>20</v>
      </c>
      <c r="J26" s="464">
        <f t="shared" si="13"/>
        <v>10</v>
      </c>
      <c r="K26" s="465">
        <f t="shared" si="2"/>
        <v>4</v>
      </c>
      <c r="L26" s="342" t="s">
        <v>33</v>
      </c>
      <c r="M26" s="462" t="s">
        <v>64</v>
      </c>
      <c r="Q26" s="462">
        <v>1.0</v>
      </c>
      <c r="R26" s="413"/>
      <c r="S26" s="463">
        <f t="shared" si="3"/>
        <v>1</v>
      </c>
      <c r="T26" s="466">
        <f t="shared" si="4"/>
        <v>0</v>
      </c>
      <c r="U26" s="467">
        <f t="shared" si="5"/>
        <v>0</v>
      </c>
      <c r="V26" s="342" t="s">
        <v>33</v>
      </c>
      <c r="W26" s="462" t="s">
        <v>65</v>
      </c>
      <c r="AA26" s="462">
        <v>10.0</v>
      </c>
      <c r="AB26" s="408"/>
      <c r="AC26" s="463">
        <f t="shared" si="6"/>
        <v>10</v>
      </c>
      <c r="AD26" s="466">
        <f t="shared" si="7"/>
        <v>5</v>
      </c>
      <c r="AE26" s="467">
        <f t="shared" si="8"/>
        <v>2</v>
      </c>
      <c r="AF26" s="342" t="s">
        <v>33</v>
      </c>
      <c r="AG26" s="462" t="s">
        <v>66</v>
      </c>
      <c r="AK26" s="468">
        <v>5.0</v>
      </c>
      <c r="AL26" s="408"/>
      <c r="AM26" s="469">
        <f t="shared" si="9"/>
        <v>5</v>
      </c>
      <c r="AN26" s="464">
        <f t="shared" si="10"/>
        <v>2</v>
      </c>
      <c r="AO26" s="465">
        <f t="shared" si="11"/>
        <v>1</v>
      </c>
      <c r="AP26" s="60"/>
      <c r="AQ26" s="476" t="s">
        <v>67</v>
      </c>
      <c r="AR26" s="105"/>
      <c r="AS26" s="105"/>
      <c r="AT26" s="105"/>
      <c r="AU26" s="105"/>
      <c r="AV26" s="107"/>
      <c r="AW26" s="477">
        <f>IF(AND(V10&gt;V14,AD10&gt;V14),if(int(divide(L13,10))&gt;=4,12-int(divide(L13,10)),9),if(and(V10&lt;V14,AD10&lt;V14),if(int(divide(L13,10))&gt;=4,10-int(divide(L13,10)),7),if(int(divide(L13,10))&gt;=4,11-int(divide(L13,10)),8)))</f>
        <v>8</v>
      </c>
      <c r="AX26" s="105"/>
      <c r="AY26" s="105"/>
      <c r="AZ26" s="105"/>
      <c r="BA26" s="105"/>
      <c r="BB26" s="107"/>
      <c r="BC26" s="3"/>
    </row>
    <row r="27" ht="16.5" customHeight="1">
      <c r="A27" s="22"/>
      <c r="B27" s="342" t="s">
        <v>33</v>
      </c>
      <c r="C27" s="462" t="s">
        <v>68</v>
      </c>
      <c r="G27" s="462">
        <v>1.0</v>
      </c>
      <c r="H27" s="413"/>
      <c r="I27" s="463">
        <f t="shared" si="1"/>
        <v>1</v>
      </c>
      <c r="J27" s="464">
        <f>int(DIVIDE(I27,2))</f>
        <v>0</v>
      </c>
      <c r="K27" s="465">
        <f t="shared" si="2"/>
        <v>0</v>
      </c>
      <c r="L27" s="342" t="s">
        <v>33</v>
      </c>
      <c r="M27" s="462" t="s">
        <v>69</v>
      </c>
      <c r="Q27" s="462">
        <v>5.0</v>
      </c>
      <c r="R27" s="413"/>
      <c r="S27" s="463">
        <f t="shared" si="3"/>
        <v>5</v>
      </c>
      <c r="T27" s="466">
        <f t="shared" si="4"/>
        <v>2</v>
      </c>
      <c r="U27" s="467">
        <f t="shared" si="5"/>
        <v>1</v>
      </c>
      <c r="V27" s="342" t="s">
        <v>33</v>
      </c>
      <c r="W27" s="471" t="str">
        <f>"모국어"&amp;IF(ISBLANK(L14),"",":"&amp;L14)</f>
        <v>모국어</v>
      </c>
      <c r="AA27" s="462">
        <f>(AL12*1)</f>
        <v>0</v>
      </c>
      <c r="AB27" s="408"/>
      <c r="AC27" s="463">
        <f t="shared" si="6"/>
        <v>0</v>
      </c>
      <c r="AD27" s="466">
        <f t="shared" si="7"/>
        <v>0</v>
      </c>
      <c r="AE27" s="467">
        <f t="shared" si="8"/>
        <v>0</v>
      </c>
      <c r="AF27" s="342" t="s">
        <v>33</v>
      </c>
      <c r="AG27" s="462" t="s">
        <v>70</v>
      </c>
      <c r="AK27" s="468">
        <v>20.0</v>
      </c>
      <c r="AL27" s="413"/>
      <c r="AM27" s="469">
        <f t="shared" si="9"/>
        <v>20</v>
      </c>
      <c r="AN27" s="464">
        <f t="shared" si="10"/>
        <v>10</v>
      </c>
      <c r="AO27" s="465">
        <f t="shared" si="11"/>
        <v>4</v>
      </c>
      <c r="AP27" s="60"/>
      <c r="AQ27" s="478" t="s">
        <v>71</v>
      </c>
      <c r="AR27" s="5"/>
      <c r="AS27" s="5"/>
      <c r="AT27" s="7"/>
      <c r="AU27" s="113"/>
      <c r="AV27" s="5"/>
      <c r="AW27" s="5"/>
      <c r="AX27" s="7"/>
      <c r="AY27" s="479" t="s">
        <v>72</v>
      </c>
      <c r="AZ27" s="105"/>
      <c r="BA27" s="105"/>
      <c r="BB27" s="107"/>
      <c r="BC27" s="3"/>
    </row>
    <row r="28" ht="16.5" customHeight="1">
      <c r="A28" s="22"/>
      <c r="B28" s="342" t="s">
        <v>33</v>
      </c>
      <c r="C28" s="471" t="s">
        <v>73</v>
      </c>
      <c r="G28" s="462">
        <v>1.0</v>
      </c>
      <c r="H28" s="413"/>
      <c r="I28" s="463">
        <f t="shared" si="1"/>
        <v>1</v>
      </c>
      <c r="J28" s="464">
        <f t="shared" ref="J28:J29" si="14">Int(DIVIDE(I28,2))</f>
        <v>0</v>
      </c>
      <c r="K28" s="465">
        <f t="shared" si="2"/>
        <v>0</v>
      </c>
      <c r="L28" s="342" t="s">
        <v>33</v>
      </c>
      <c r="M28" s="462" t="s">
        <v>74</v>
      </c>
      <c r="Q28" s="462">
        <v>1.0</v>
      </c>
      <c r="R28" s="413"/>
      <c r="S28" s="463">
        <f t="shared" si="3"/>
        <v>1</v>
      </c>
      <c r="T28" s="466">
        <f t="shared" si="4"/>
        <v>0</v>
      </c>
      <c r="U28" s="467">
        <f t="shared" si="5"/>
        <v>0</v>
      </c>
      <c r="V28" s="342" t="s">
        <v>33</v>
      </c>
      <c r="W28" s="471" t="s">
        <v>75</v>
      </c>
      <c r="AA28" s="462">
        <v>1.0</v>
      </c>
      <c r="AB28" s="413"/>
      <c r="AC28" s="463">
        <f t="shared" si="6"/>
        <v>1</v>
      </c>
      <c r="AD28" s="466">
        <f t="shared" si="7"/>
        <v>0</v>
      </c>
      <c r="AE28" s="467">
        <f t="shared" si="8"/>
        <v>0</v>
      </c>
      <c r="AF28" s="342" t="s">
        <v>33</v>
      </c>
      <c r="AG28" s="462" t="s">
        <v>76</v>
      </c>
      <c r="AK28" s="468">
        <v>10.0</v>
      </c>
      <c r="AL28" s="408"/>
      <c r="AM28" s="469">
        <f t="shared" si="9"/>
        <v>10</v>
      </c>
      <c r="AN28" s="464">
        <f t="shared" si="10"/>
        <v>5</v>
      </c>
      <c r="AO28" s="465">
        <f t="shared" si="11"/>
        <v>2</v>
      </c>
      <c r="AP28" s="60"/>
      <c r="AQ28" s="10"/>
      <c r="AR28" s="11"/>
      <c r="AS28" s="11"/>
      <c r="AT28" s="12"/>
      <c r="AU28" s="10"/>
      <c r="AV28" s="11"/>
      <c r="AW28" s="11"/>
      <c r="AX28" s="12"/>
      <c r="AY28" s="480">
        <f>Int((V14+V12)/10)</f>
        <v>0</v>
      </c>
      <c r="AZ28" s="105"/>
      <c r="BA28" s="105"/>
      <c r="BB28" s="107"/>
      <c r="BC28" s="3"/>
    </row>
    <row r="29" ht="16.5" customHeight="1">
      <c r="A29" s="22"/>
      <c r="B29" s="342" t="s">
        <v>33</v>
      </c>
      <c r="C29" s="470"/>
      <c r="G29" s="481"/>
      <c r="H29" s="408"/>
      <c r="I29" s="463">
        <f t="shared" si="1"/>
        <v>0</v>
      </c>
      <c r="J29" s="464">
        <f t="shared" si="14"/>
        <v>0</v>
      </c>
      <c r="K29" s="465">
        <f t="shared" si="2"/>
        <v>0</v>
      </c>
      <c r="L29" s="342" t="s">
        <v>33</v>
      </c>
      <c r="M29" s="462" t="s">
        <v>77</v>
      </c>
      <c r="Q29" s="462">
        <v>5.0</v>
      </c>
      <c r="R29" s="413"/>
      <c r="S29" s="463">
        <f t="shared" si="3"/>
        <v>5</v>
      </c>
      <c r="T29" s="466">
        <f t="shared" si="4"/>
        <v>2</v>
      </c>
      <c r="U29" s="467">
        <f t="shared" si="5"/>
        <v>1</v>
      </c>
      <c r="V29" s="342" t="s">
        <v>33</v>
      </c>
      <c r="W29" s="471"/>
      <c r="AA29" s="462"/>
      <c r="AB29" s="413"/>
      <c r="AC29" s="463">
        <f t="shared" si="6"/>
        <v>0</v>
      </c>
      <c r="AD29" s="466">
        <f t="shared" si="7"/>
        <v>0</v>
      </c>
      <c r="AE29" s="467">
        <f t="shared" si="8"/>
        <v>0</v>
      </c>
      <c r="AF29" s="342" t="s">
        <v>33</v>
      </c>
      <c r="AG29" s="462" t="s">
        <v>78</v>
      </c>
      <c r="AK29" s="468">
        <v>1.0</v>
      </c>
      <c r="AL29" s="413"/>
      <c r="AM29" s="469">
        <f t="shared" si="9"/>
        <v>1</v>
      </c>
      <c r="AN29" s="464">
        <f t="shared" si="10"/>
        <v>0</v>
      </c>
      <c r="AO29" s="465">
        <f t="shared" si="11"/>
        <v>0</v>
      </c>
      <c r="AP29" s="28"/>
      <c r="AQ29" s="478" t="s">
        <v>79</v>
      </c>
      <c r="AR29" s="5"/>
      <c r="AS29" s="5"/>
      <c r="AT29" s="7"/>
      <c r="AU29" s="113"/>
      <c r="AV29" s="5"/>
      <c r="AW29" s="5"/>
      <c r="AX29" s="7"/>
      <c r="AY29" s="479" t="s">
        <v>80</v>
      </c>
      <c r="AZ29" s="105"/>
      <c r="BA29" s="105"/>
      <c r="BB29" s="107"/>
      <c r="BC29" s="3"/>
    </row>
    <row r="30" ht="16.5" customHeight="1">
      <c r="A30" s="22"/>
      <c r="B30" s="342" t="s">
        <v>33</v>
      </c>
      <c r="C30" s="462" t="s">
        <v>81</v>
      </c>
      <c r="G30" s="468">
        <v>10.0</v>
      </c>
      <c r="H30" s="413"/>
      <c r="I30" s="463">
        <f t="shared" si="1"/>
        <v>10</v>
      </c>
      <c r="J30" s="464">
        <f>int(DIVIDE(I30,2))</f>
        <v>5</v>
      </c>
      <c r="K30" s="465">
        <f t="shared" si="2"/>
        <v>2</v>
      </c>
      <c r="L30" s="342" t="s">
        <v>33</v>
      </c>
      <c r="M30" s="462" t="s">
        <v>82</v>
      </c>
      <c r="Q30" s="462">
        <v>5.0</v>
      </c>
      <c r="R30" s="408"/>
      <c r="S30" s="463">
        <f t="shared" si="3"/>
        <v>5</v>
      </c>
      <c r="T30" s="466">
        <f t="shared" si="4"/>
        <v>2</v>
      </c>
      <c r="U30" s="467">
        <f t="shared" si="5"/>
        <v>1</v>
      </c>
      <c r="V30" s="342" t="s">
        <v>33</v>
      </c>
      <c r="W30" s="462" t="s">
        <v>83</v>
      </c>
      <c r="AA30" s="468">
        <v>20.0</v>
      </c>
      <c r="AB30" s="408"/>
      <c r="AC30" s="469">
        <f t="shared" si="6"/>
        <v>20</v>
      </c>
      <c r="AD30" s="464">
        <f t="shared" si="7"/>
        <v>10</v>
      </c>
      <c r="AE30" s="465">
        <f t="shared" si="8"/>
        <v>4</v>
      </c>
      <c r="AF30" s="342" t="s">
        <v>33</v>
      </c>
      <c r="AG30" s="471" t="s">
        <v>84</v>
      </c>
      <c r="AK30" s="468">
        <v>20.0</v>
      </c>
      <c r="AL30" s="413"/>
      <c r="AM30" s="463">
        <f t="shared" si="9"/>
        <v>20</v>
      </c>
      <c r="AN30" s="466">
        <f t="shared" si="10"/>
        <v>10</v>
      </c>
      <c r="AO30" s="467">
        <f t="shared" si="11"/>
        <v>4</v>
      </c>
      <c r="AP30" s="28"/>
      <c r="AQ30" s="10"/>
      <c r="AR30" s="11"/>
      <c r="AS30" s="11"/>
      <c r="AT30" s="12"/>
      <c r="AU30" s="10"/>
      <c r="AV30" s="11"/>
      <c r="AW30" s="11"/>
      <c r="AX30" s="12"/>
      <c r="AY30" s="480">
        <f>int(AL10/5)</f>
        <v>0</v>
      </c>
      <c r="AZ30" s="105"/>
      <c r="BA30" s="105"/>
      <c r="BB30" s="107"/>
      <c r="BC30" s="3"/>
    </row>
    <row r="31" ht="16.5" customHeight="1">
      <c r="A31" s="22"/>
      <c r="B31" s="342" t="s">
        <v>33</v>
      </c>
      <c r="C31" s="462" t="s">
        <v>85</v>
      </c>
      <c r="G31" s="468">
        <v>10.0</v>
      </c>
      <c r="H31" s="413"/>
      <c r="I31" s="463">
        <f t="shared" si="1"/>
        <v>10</v>
      </c>
      <c r="J31" s="464">
        <f t="shared" ref="J31:J36" si="15">Int(DIVIDE(I31,2))</f>
        <v>5</v>
      </c>
      <c r="K31" s="465">
        <f t="shared" si="2"/>
        <v>2</v>
      </c>
      <c r="L31" s="342" t="s">
        <v>33</v>
      </c>
      <c r="M31" s="462"/>
      <c r="Q31" s="462"/>
      <c r="R31" s="413"/>
      <c r="S31" s="463">
        <f t="shared" si="3"/>
        <v>0</v>
      </c>
      <c r="T31" s="466">
        <f t="shared" si="4"/>
        <v>0</v>
      </c>
      <c r="U31" s="467">
        <f t="shared" si="5"/>
        <v>0</v>
      </c>
      <c r="V31" s="342" t="s">
        <v>33</v>
      </c>
      <c r="W31" s="471" t="s">
        <v>86</v>
      </c>
      <c r="AA31" s="468">
        <v>25.0</v>
      </c>
      <c r="AB31" s="408"/>
      <c r="AC31" s="469">
        <f t="shared" si="6"/>
        <v>25</v>
      </c>
      <c r="AD31" s="464">
        <f t="shared" si="7"/>
        <v>12</v>
      </c>
      <c r="AE31" s="465">
        <f t="shared" si="8"/>
        <v>5</v>
      </c>
      <c r="AF31" s="342" t="s">
        <v>33</v>
      </c>
      <c r="AG31" s="471" t="s">
        <v>87</v>
      </c>
      <c r="AK31" s="468">
        <v>25.0</v>
      </c>
      <c r="AL31" s="413"/>
      <c r="AM31" s="463">
        <f t="shared" si="9"/>
        <v>25</v>
      </c>
      <c r="AN31" s="466">
        <f t="shared" si="10"/>
        <v>12</v>
      </c>
      <c r="AO31" s="467">
        <f t="shared" si="11"/>
        <v>5</v>
      </c>
      <c r="AP31" s="28"/>
      <c r="AQ31" s="478" t="s">
        <v>88</v>
      </c>
      <c r="AR31" s="5"/>
      <c r="AS31" s="5"/>
      <c r="AT31" s="7"/>
      <c r="AU31" s="113"/>
      <c r="AV31" s="5"/>
      <c r="AW31" s="5"/>
      <c r="AX31" s="7"/>
      <c r="AY31" s="479" t="s">
        <v>89</v>
      </c>
      <c r="AZ31" s="107"/>
      <c r="BA31" s="479" t="s">
        <v>90</v>
      </c>
      <c r="BB31" s="107"/>
      <c r="BC31" s="3"/>
    </row>
    <row r="32" ht="16.5" customHeight="1">
      <c r="A32" s="22"/>
      <c r="B32" s="342" t="s">
        <v>33</v>
      </c>
      <c r="C32" s="462" t="s">
        <v>91</v>
      </c>
      <c r="G32" s="468">
        <v>5.0</v>
      </c>
      <c r="H32" s="408"/>
      <c r="I32" s="463">
        <f t="shared" si="1"/>
        <v>5</v>
      </c>
      <c r="J32" s="464">
        <f t="shared" si="15"/>
        <v>2</v>
      </c>
      <c r="K32" s="465">
        <f t="shared" si="2"/>
        <v>1</v>
      </c>
      <c r="L32" s="342" t="s">
        <v>33</v>
      </c>
      <c r="M32" s="482" t="s">
        <v>92</v>
      </c>
      <c r="Q32" s="468">
        <v>1.0</v>
      </c>
      <c r="R32" s="413"/>
      <c r="S32" s="463">
        <f t="shared" si="3"/>
        <v>1</v>
      </c>
      <c r="T32" s="466">
        <f t="shared" si="4"/>
        <v>0</v>
      </c>
      <c r="U32" s="467">
        <f t="shared" si="5"/>
        <v>0</v>
      </c>
      <c r="V32" s="342" t="s">
        <v>33</v>
      </c>
      <c r="W32" s="471" t="s">
        <v>93</v>
      </c>
      <c r="AA32" s="468">
        <v>20.0</v>
      </c>
      <c r="AB32" s="413"/>
      <c r="AC32" s="469">
        <f t="shared" si="6"/>
        <v>20</v>
      </c>
      <c r="AD32" s="464">
        <f t="shared" si="7"/>
        <v>10</v>
      </c>
      <c r="AE32" s="465">
        <f t="shared" si="8"/>
        <v>4</v>
      </c>
      <c r="AF32" s="342" t="s">
        <v>33</v>
      </c>
      <c r="AG32" s="471" t="s">
        <v>94</v>
      </c>
      <c r="AK32" s="468">
        <v>15.0</v>
      </c>
      <c r="AL32" s="413"/>
      <c r="AM32" s="463">
        <f t="shared" si="9"/>
        <v>15</v>
      </c>
      <c r="AN32" s="466">
        <f t="shared" si="10"/>
        <v>7</v>
      </c>
      <c r="AO32" s="467">
        <f t="shared" si="11"/>
        <v>3</v>
      </c>
      <c r="AP32" s="28"/>
      <c r="AQ32" s="10"/>
      <c r="AR32" s="11"/>
      <c r="AS32" s="11"/>
      <c r="AT32" s="12"/>
      <c r="AU32" s="10"/>
      <c r="AV32" s="11"/>
      <c r="AW32" s="11"/>
      <c r="AX32" s="12"/>
      <c r="AY32" s="480" t="str">
        <f>IF(AL10=0,"자동",MIN(AL10,BA32))</f>
        <v>자동</v>
      </c>
      <c r="AZ32" s="107"/>
      <c r="BA32" s="480">
        <f>99-AB19</f>
        <v>99</v>
      </c>
      <c r="BB32" s="107"/>
      <c r="BC32" s="3"/>
    </row>
    <row r="33" ht="16.5" customHeight="1">
      <c r="A33" s="22"/>
      <c r="B33" s="342" t="s">
        <v>33</v>
      </c>
      <c r="C33" s="462" t="s">
        <v>165</v>
      </c>
      <c r="G33" s="462">
        <v>5.0</v>
      </c>
      <c r="H33" s="413"/>
      <c r="I33" s="463">
        <f t="shared" si="1"/>
        <v>5</v>
      </c>
      <c r="J33" s="464">
        <f t="shared" si="15"/>
        <v>2</v>
      </c>
      <c r="K33" s="465">
        <f t="shared" si="2"/>
        <v>1</v>
      </c>
      <c r="L33" s="342" t="s">
        <v>33</v>
      </c>
      <c r="M33" s="482" t="s">
        <v>95</v>
      </c>
      <c r="Q33" s="468">
        <v>5.0</v>
      </c>
      <c r="R33" s="413"/>
      <c r="S33" s="463">
        <f t="shared" si="3"/>
        <v>5</v>
      </c>
      <c r="T33" s="466">
        <f t="shared" si="4"/>
        <v>2</v>
      </c>
      <c r="U33" s="467">
        <f t="shared" si="5"/>
        <v>1</v>
      </c>
      <c r="V33" s="342" t="s">
        <v>33</v>
      </c>
      <c r="W33" s="471" t="s">
        <v>96</v>
      </c>
      <c r="AA33" s="468">
        <v>15.0</v>
      </c>
      <c r="AB33" s="413"/>
      <c r="AC33" s="469">
        <f t="shared" si="6"/>
        <v>15</v>
      </c>
      <c r="AD33" s="464">
        <f t="shared" si="7"/>
        <v>7</v>
      </c>
      <c r="AE33" s="465">
        <f t="shared" si="8"/>
        <v>3</v>
      </c>
      <c r="AF33" s="342" t="s">
        <v>33</v>
      </c>
      <c r="AG33" s="471" t="s">
        <v>97</v>
      </c>
      <c r="AK33" s="468">
        <v>10.0</v>
      </c>
      <c r="AL33" s="413"/>
      <c r="AM33" s="463">
        <f t="shared" si="9"/>
        <v>10</v>
      </c>
      <c r="AN33" s="466">
        <f t="shared" si="10"/>
        <v>5</v>
      </c>
      <c r="AO33" s="467">
        <f t="shared" si="11"/>
        <v>2</v>
      </c>
      <c r="AP33" s="28"/>
      <c r="AQ33" s="128" t="s">
        <v>98</v>
      </c>
      <c r="AR33" s="5"/>
      <c r="AS33" s="5"/>
      <c r="AT33" s="7"/>
      <c r="AU33" s="129" t="s">
        <v>33</v>
      </c>
      <c r="AV33" s="7"/>
      <c r="AW33" s="130" t="s">
        <v>99</v>
      </c>
      <c r="AX33" s="5"/>
      <c r="AY33" s="5"/>
      <c r="AZ33" s="7"/>
      <c r="BA33" s="131" t="s">
        <v>33</v>
      </c>
      <c r="BB33" s="7"/>
      <c r="BC33" s="3"/>
    </row>
    <row r="34" ht="16.5" customHeight="1">
      <c r="A34" s="22"/>
      <c r="B34" s="342" t="s">
        <v>33</v>
      </c>
      <c r="C34" s="462"/>
      <c r="G34" s="462"/>
      <c r="H34" s="413"/>
      <c r="I34" s="463">
        <f t="shared" si="1"/>
        <v>0</v>
      </c>
      <c r="J34" s="464">
        <f t="shared" si="15"/>
        <v>0</v>
      </c>
      <c r="K34" s="465">
        <f t="shared" si="2"/>
        <v>0</v>
      </c>
      <c r="L34" s="483" t="s">
        <v>33</v>
      </c>
      <c r="M34" s="482" t="s">
        <v>100</v>
      </c>
      <c r="Q34" s="468">
        <v>1.0</v>
      </c>
      <c r="R34" s="413"/>
      <c r="S34" s="463">
        <f t="shared" si="3"/>
        <v>1</v>
      </c>
      <c r="T34" s="466">
        <f t="shared" si="4"/>
        <v>0</v>
      </c>
      <c r="U34" s="467">
        <f t="shared" si="5"/>
        <v>0</v>
      </c>
      <c r="V34" s="342" t="s">
        <v>33</v>
      </c>
      <c r="W34" s="471" t="s">
        <v>101</v>
      </c>
      <c r="AA34" s="468">
        <v>20.0</v>
      </c>
      <c r="AB34" s="413"/>
      <c r="AC34" s="469">
        <f t="shared" si="6"/>
        <v>20</v>
      </c>
      <c r="AD34" s="464">
        <f t="shared" si="7"/>
        <v>10</v>
      </c>
      <c r="AE34" s="465">
        <f t="shared" si="8"/>
        <v>4</v>
      </c>
      <c r="AF34" s="342" t="s">
        <v>33</v>
      </c>
      <c r="AG34" s="471" t="s">
        <v>102</v>
      </c>
      <c r="AK34" s="468">
        <v>15.0</v>
      </c>
      <c r="AL34" s="413"/>
      <c r="AM34" s="463">
        <f t="shared" si="9"/>
        <v>15</v>
      </c>
      <c r="AN34" s="466">
        <f t="shared" si="10"/>
        <v>7</v>
      </c>
      <c r="AO34" s="467">
        <f t="shared" si="11"/>
        <v>3</v>
      </c>
      <c r="AP34" s="28"/>
      <c r="AQ34" s="10"/>
      <c r="AR34" s="11"/>
      <c r="AS34" s="11"/>
      <c r="AT34" s="12"/>
      <c r="AU34" s="10"/>
      <c r="AV34" s="12"/>
      <c r="AW34" s="10"/>
      <c r="AX34" s="11"/>
      <c r="AY34" s="11"/>
      <c r="AZ34" s="12"/>
      <c r="BA34" s="10"/>
      <c r="BB34" s="12"/>
      <c r="BC34" s="3"/>
    </row>
    <row r="35" ht="16.5" customHeight="1">
      <c r="A35" s="22"/>
      <c r="B35" s="342" t="s">
        <v>33</v>
      </c>
      <c r="C35" s="482" t="s">
        <v>103</v>
      </c>
      <c r="G35" s="462">
        <v>1.0</v>
      </c>
      <c r="H35" s="413"/>
      <c r="I35" s="463">
        <f t="shared" si="1"/>
        <v>1</v>
      </c>
      <c r="J35" s="464">
        <f t="shared" si="15"/>
        <v>0</v>
      </c>
      <c r="K35" s="465">
        <f t="shared" si="2"/>
        <v>0</v>
      </c>
      <c r="L35" s="342" t="s">
        <v>33</v>
      </c>
      <c r="M35" s="482" t="s">
        <v>104</v>
      </c>
      <c r="Q35" s="468">
        <v>1.0</v>
      </c>
      <c r="R35" s="413"/>
      <c r="S35" s="463">
        <f t="shared" si="3"/>
        <v>1</v>
      </c>
      <c r="T35" s="466">
        <f t="shared" si="4"/>
        <v>0</v>
      </c>
      <c r="U35" s="467">
        <f t="shared" si="5"/>
        <v>0</v>
      </c>
      <c r="V35" s="342" t="s">
        <v>33</v>
      </c>
      <c r="W35" s="471" t="s">
        <v>105</v>
      </c>
      <c r="AA35" s="468">
        <v>5.0</v>
      </c>
      <c r="AB35" s="413"/>
      <c r="AC35" s="469">
        <f t="shared" si="6"/>
        <v>5</v>
      </c>
      <c r="AD35" s="464">
        <f t="shared" si="7"/>
        <v>2</v>
      </c>
      <c r="AE35" s="465">
        <f t="shared" si="8"/>
        <v>1</v>
      </c>
      <c r="AF35" s="342" t="s">
        <v>33</v>
      </c>
      <c r="AG35" s="471" t="s">
        <v>106</v>
      </c>
      <c r="AK35" s="468">
        <v>10.0</v>
      </c>
      <c r="AL35" s="413"/>
      <c r="AM35" s="469">
        <f t="shared" si="9"/>
        <v>10</v>
      </c>
      <c r="AN35" s="464">
        <f t="shared" si="10"/>
        <v>5</v>
      </c>
      <c r="AO35" s="465">
        <f t="shared" si="11"/>
        <v>2</v>
      </c>
      <c r="AP35" s="28"/>
      <c r="AQ35" s="133" t="s">
        <v>107</v>
      </c>
      <c r="AR35" s="5"/>
      <c r="AS35" s="5"/>
      <c r="AT35" s="7"/>
      <c r="AU35" s="134" t="s">
        <v>33</v>
      </c>
      <c r="AV35" s="7"/>
      <c r="AW35" s="135" t="s">
        <v>108</v>
      </c>
      <c r="AX35" s="5"/>
      <c r="AY35" s="5"/>
      <c r="AZ35" s="7"/>
      <c r="BA35" s="136" t="s">
        <v>33</v>
      </c>
      <c r="BB35" s="7"/>
      <c r="BC35" s="3"/>
    </row>
    <row r="36" ht="16.5" customHeight="1">
      <c r="A36" s="22"/>
      <c r="B36" s="342" t="s">
        <v>33</v>
      </c>
      <c r="C36" s="482" t="s">
        <v>109</v>
      </c>
      <c r="G36" s="462">
        <v>1.0</v>
      </c>
      <c r="H36" s="413"/>
      <c r="I36" s="463">
        <f t="shared" si="1"/>
        <v>1</v>
      </c>
      <c r="J36" s="464">
        <f t="shared" si="15"/>
        <v>0</v>
      </c>
      <c r="K36" s="465">
        <f t="shared" si="2"/>
        <v>0</v>
      </c>
      <c r="L36" s="342" t="s">
        <v>33</v>
      </c>
      <c r="M36" s="482" t="s">
        <v>110</v>
      </c>
      <c r="Q36" s="468">
        <v>1.0</v>
      </c>
      <c r="R36" s="413"/>
      <c r="S36" s="463">
        <f t="shared" si="3"/>
        <v>1</v>
      </c>
      <c r="T36" s="466">
        <f t="shared" si="4"/>
        <v>0</v>
      </c>
      <c r="U36" s="467">
        <f t="shared" si="5"/>
        <v>0</v>
      </c>
      <c r="V36" s="342" t="s">
        <v>33</v>
      </c>
      <c r="W36" s="462" t="s">
        <v>111</v>
      </c>
      <c r="AA36" s="462">
        <v>10.0</v>
      </c>
      <c r="AB36" s="413"/>
      <c r="AC36" s="463">
        <f t="shared" si="6"/>
        <v>10</v>
      </c>
      <c r="AD36" s="466">
        <f t="shared" si="7"/>
        <v>5</v>
      </c>
      <c r="AE36" s="467">
        <f t="shared" si="8"/>
        <v>2</v>
      </c>
      <c r="AF36" s="342" t="s">
        <v>33</v>
      </c>
      <c r="AG36" s="462" t="s">
        <v>112</v>
      </c>
      <c r="AK36" s="468">
        <v>10.0</v>
      </c>
      <c r="AL36" s="413"/>
      <c r="AM36" s="469">
        <f t="shared" si="9"/>
        <v>10</v>
      </c>
      <c r="AN36" s="464">
        <f t="shared" si="10"/>
        <v>5</v>
      </c>
      <c r="AO36" s="465">
        <f t="shared" si="11"/>
        <v>2</v>
      </c>
      <c r="AP36" s="28"/>
      <c r="AQ36" s="10"/>
      <c r="AR36" s="11"/>
      <c r="AS36" s="11"/>
      <c r="AT36" s="12"/>
      <c r="AU36" s="10"/>
      <c r="AV36" s="12"/>
      <c r="AW36" s="10"/>
      <c r="AX36" s="11"/>
      <c r="AY36" s="11"/>
      <c r="AZ36" s="12"/>
      <c r="BA36" s="10"/>
      <c r="BB36" s="12"/>
      <c r="BC36" s="3"/>
    </row>
    <row r="37" ht="15.0" customHeight="1">
      <c r="A37" s="2"/>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3"/>
      <c r="AD37" s="53"/>
      <c r="AE37" s="53"/>
      <c r="AF37" s="53"/>
      <c r="AG37" s="53"/>
      <c r="AH37" s="53"/>
      <c r="AI37" s="53"/>
      <c r="AJ37" s="53"/>
      <c r="AK37" s="53"/>
      <c r="AL37" s="53"/>
      <c r="AM37" s="53"/>
      <c r="AN37" s="53"/>
      <c r="AO37" s="53"/>
      <c r="AP37" s="3"/>
      <c r="AQ37" s="8"/>
      <c r="AR37" s="8"/>
      <c r="AS37" s="8"/>
      <c r="AT37" s="8"/>
      <c r="AU37" s="8"/>
      <c r="AV37" s="8"/>
      <c r="AW37" s="8"/>
      <c r="AX37" s="8"/>
      <c r="AY37" s="8"/>
      <c r="AZ37" s="8"/>
      <c r="BA37" s="8"/>
      <c r="BB37" s="8"/>
      <c r="BC37" s="3"/>
    </row>
    <row r="38" ht="13.5" customHeight="1">
      <c r="A38" s="22"/>
      <c r="B38" s="484" t="s">
        <v>113</v>
      </c>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5"/>
      <c r="AP38" s="28"/>
      <c r="AQ38" s="485" t="s">
        <v>15</v>
      </c>
      <c r="AR38" s="5"/>
      <c r="AS38" s="5"/>
      <c r="AT38" s="5"/>
      <c r="AU38" s="5"/>
      <c r="AV38" s="5"/>
      <c r="AW38" s="5"/>
      <c r="AX38" s="5"/>
      <c r="AY38" s="5"/>
      <c r="AZ38" s="5"/>
      <c r="BA38" s="5"/>
      <c r="BB38" s="7"/>
      <c r="BC38" s="3"/>
    </row>
    <row r="39" ht="13.5" customHeight="1">
      <c r="A39" s="22"/>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2"/>
      <c r="AP39" s="28"/>
      <c r="AQ39" s="10"/>
      <c r="AR39" s="11"/>
      <c r="AS39" s="11"/>
      <c r="AT39" s="11"/>
      <c r="AU39" s="11"/>
      <c r="AV39" s="11"/>
      <c r="AW39" s="11"/>
      <c r="AX39" s="11"/>
      <c r="AY39" s="11"/>
      <c r="AZ39" s="11"/>
      <c r="BA39" s="11"/>
      <c r="BB39" s="12"/>
      <c r="BC39" s="3"/>
    </row>
    <row r="40" ht="13.5" customHeight="1">
      <c r="A40" s="22"/>
      <c r="B40" s="486" t="s">
        <v>113</v>
      </c>
      <c r="C40" s="34"/>
      <c r="D40" s="34"/>
      <c r="E40" s="34"/>
      <c r="F40" s="34"/>
      <c r="G40" s="34"/>
      <c r="H40" s="34"/>
      <c r="I40" s="35"/>
      <c r="J40" s="486" t="s">
        <v>114</v>
      </c>
      <c r="K40" s="34"/>
      <c r="L40" s="35"/>
      <c r="M40" s="486" t="s">
        <v>115</v>
      </c>
      <c r="N40" s="34"/>
      <c r="O40" s="35"/>
      <c r="P40" s="486" t="s">
        <v>116</v>
      </c>
      <c r="Q40" s="34"/>
      <c r="R40" s="35"/>
      <c r="S40" s="486" t="s">
        <v>117</v>
      </c>
      <c r="T40" s="34"/>
      <c r="U40" s="34"/>
      <c r="V40" s="34"/>
      <c r="W40" s="34"/>
      <c r="X40" s="35"/>
      <c r="Y40" s="486" t="s">
        <v>118</v>
      </c>
      <c r="Z40" s="34"/>
      <c r="AA40" s="34"/>
      <c r="AB40" s="35"/>
      <c r="AC40" s="486" t="s">
        <v>119</v>
      </c>
      <c r="AD40" s="34"/>
      <c r="AE40" s="34"/>
      <c r="AF40" s="34"/>
      <c r="AG40" s="35"/>
      <c r="AH40" s="486" t="s">
        <v>120</v>
      </c>
      <c r="AI40" s="34"/>
      <c r="AJ40" s="34"/>
      <c r="AK40" s="35"/>
      <c r="AL40" s="486" t="s">
        <v>121</v>
      </c>
      <c r="AM40" s="34"/>
      <c r="AN40" s="34"/>
      <c r="AO40" s="35"/>
      <c r="AP40" s="28"/>
      <c r="AQ40" s="156"/>
      <c r="AR40" s="157"/>
      <c r="AS40" s="157"/>
      <c r="AT40" s="157"/>
      <c r="AU40" s="157"/>
      <c r="AV40" s="157"/>
      <c r="AW40" s="157"/>
      <c r="AX40" s="157"/>
      <c r="AY40" s="157"/>
      <c r="AZ40" s="157"/>
      <c r="BA40" s="157"/>
      <c r="BB40" s="158"/>
      <c r="BC40" s="3"/>
    </row>
    <row r="41" ht="13.5" customHeight="1">
      <c r="A41" s="2"/>
      <c r="B41" s="159" t="s">
        <v>122</v>
      </c>
      <c r="I41" s="160"/>
      <c r="J41" s="161">
        <v>25.0</v>
      </c>
      <c r="M41" s="161">
        <f t="shared" ref="M41:M47" si="16">Int(DIVIDE(J41,2))</f>
        <v>12</v>
      </c>
      <c r="O41" s="160"/>
      <c r="P41" s="161">
        <f t="shared" ref="P41:P47" si="17">Int(DIVIDE(J41,5))</f>
        <v>5</v>
      </c>
      <c r="R41" s="160"/>
      <c r="S41" s="162" t="s">
        <v>123</v>
      </c>
      <c r="X41" s="160"/>
      <c r="Y41" s="161" t="s">
        <v>124</v>
      </c>
      <c r="AB41" s="160"/>
      <c r="AC41" s="161">
        <v>1.0</v>
      </c>
      <c r="AG41" s="160"/>
      <c r="AH41" s="161" t="s">
        <v>124</v>
      </c>
      <c r="AK41" s="160"/>
      <c r="AL41" s="161" t="s">
        <v>124</v>
      </c>
      <c r="AO41" s="15"/>
      <c r="AP41" s="3"/>
      <c r="AQ41" s="163" t="str">
        <f>IF(S19=0,"무일푼, 노숙.",(IF(AND(1&lt;=S19,10&gt;S19),"가난, 최소한의 재산만 소유.",IF(AND(10&lt;=S19,50&gt;S19),"보통, 적당히 안락한 생활.",(IF(AND(50&lt;=S19,90&gt;S19),"부유, 약간의 사치 가능.",(IF(AND(90&lt;=S19,99&gt;S19),"자산가, 막대한 부와 사치.",(IF(S19=99,"갑부, 돈은 문제가 되지 않는 수준."))))))))))</f>
        <v>무일푼, 노숙.</v>
      </c>
      <c r="AR41" s="164"/>
      <c r="AS41" s="164"/>
      <c r="AT41" s="164"/>
      <c r="AU41" s="164"/>
      <c r="AV41" s="164"/>
      <c r="AW41" s="164"/>
      <c r="AX41" s="164"/>
      <c r="AY41" s="164"/>
      <c r="AZ41" s="164"/>
      <c r="BA41" s="164"/>
      <c r="BB41" s="165"/>
      <c r="BC41" s="3"/>
    </row>
    <row r="42" ht="13.5" customHeight="1">
      <c r="A42" s="22"/>
      <c r="B42" s="166"/>
      <c r="C42" s="167"/>
      <c r="D42" s="167"/>
      <c r="E42" s="167"/>
      <c r="F42" s="167"/>
      <c r="G42" s="167"/>
      <c r="H42" s="167"/>
      <c r="I42" s="168"/>
      <c r="J42" s="169"/>
      <c r="K42" s="167"/>
      <c r="L42" s="168"/>
      <c r="M42" s="170">
        <f t="shared" si="16"/>
        <v>0</v>
      </c>
      <c r="N42" s="167"/>
      <c r="O42" s="168"/>
      <c r="P42" s="170">
        <f t="shared" si="17"/>
        <v>0</v>
      </c>
      <c r="Q42" s="167"/>
      <c r="R42" s="168"/>
      <c r="S42" s="171"/>
      <c r="T42" s="167"/>
      <c r="U42" s="167"/>
      <c r="V42" s="167"/>
      <c r="W42" s="167"/>
      <c r="X42" s="168"/>
      <c r="Y42" s="169"/>
      <c r="Z42" s="167"/>
      <c r="AA42" s="167"/>
      <c r="AB42" s="168"/>
      <c r="AC42" s="169"/>
      <c r="AD42" s="167"/>
      <c r="AE42" s="167"/>
      <c r="AF42" s="167"/>
      <c r="AG42" s="168"/>
      <c r="AH42" s="169"/>
      <c r="AI42" s="167"/>
      <c r="AJ42" s="167"/>
      <c r="AK42" s="168"/>
      <c r="AL42" s="169"/>
      <c r="AM42" s="167"/>
      <c r="AN42" s="167"/>
      <c r="AO42" s="172"/>
      <c r="AP42" s="28"/>
      <c r="AQ42" s="163" t="str">
        <f>IF(V10=0,"서있거나 컵을 들 힘조차 없음.",(IF(AND(1&lt;=V10,30&gt;V10),"힘없고 허약한 사람.",IF(AND(30&lt;=V10,70&gt;V10),"평균적 근력의 소유자.",(IF(AND(70&lt;=V10,85&gt;V10),"근력이 좋은 사람.",(IF(AND(85&lt;=V10,99&gt;V10),"보기 드물게 강한 사람.",(IF(V10=99,"인간의 한계에 다다른 강한 근력."))))))))))</f>
        <v>서있거나 컵을 들 힘조차 없음.</v>
      </c>
      <c r="AR42" s="164"/>
      <c r="AS42" s="164"/>
      <c r="AT42" s="164"/>
      <c r="AU42" s="164"/>
      <c r="AV42" s="164"/>
      <c r="AW42" s="164"/>
      <c r="AX42" s="164"/>
      <c r="AY42" s="164"/>
      <c r="AZ42" s="164"/>
      <c r="BA42" s="164"/>
      <c r="BB42" s="165"/>
      <c r="BC42" s="3"/>
    </row>
    <row r="43" ht="13.5" customHeight="1">
      <c r="A43" s="22"/>
      <c r="B43" s="173"/>
      <c r="C43" s="167"/>
      <c r="D43" s="167"/>
      <c r="E43" s="167"/>
      <c r="F43" s="167"/>
      <c r="G43" s="167"/>
      <c r="H43" s="167"/>
      <c r="I43" s="168"/>
      <c r="J43" s="169"/>
      <c r="K43" s="167"/>
      <c r="L43" s="168"/>
      <c r="M43" s="170">
        <f t="shared" si="16"/>
        <v>0</v>
      </c>
      <c r="N43" s="167"/>
      <c r="O43" s="168"/>
      <c r="P43" s="170">
        <f t="shared" si="17"/>
        <v>0</v>
      </c>
      <c r="Q43" s="167"/>
      <c r="R43" s="168"/>
      <c r="S43" s="169"/>
      <c r="T43" s="167"/>
      <c r="U43" s="167"/>
      <c r="V43" s="167"/>
      <c r="W43" s="167"/>
      <c r="X43" s="168"/>
      <c r="Y43" s="169"/>
      <c r="Z43" s="167"/>
      <c r="AA43" s="167"/>
      <c r="AB43" s="168"/>
      <c r="AC43" s="169"/>
      <c r="AD43" s="167"/>
      <c r="AE43" s="167"/>
      <c r="AF43" s="167"/>
      <c r="AG43" s="168"/>
      <c r="AH43" s="169"/>
      <c r="AI43" s="167"/>
      <c r="AJ43" s="167"/>
      <c r="AK43" s="168"/>
      <c r="AL43" s="169"/>
      <c r="AM43" s="167"/>
      <c r="AN43" s="167"/>
      <c r="AO43" s="172"/>
      <c r="AP43" s="28"/>
      <c r="AQ43" s="163" t="str">
        <f>IF(V12=0,"산 송장.",(IF(AND(1&lt;=V12,10&gt;V12),"병자. 혼자 움직일 수 없음.",(IF(AND(10&lt;=V12,30&gt;V12),"건강 나쁨. 면역력이 아주 약하다.",IF(AND(30&lt;=V12,70&gt;V12),"평균적으로 건강한 사람.",(IF(AND(70&lt;=V12,99&gt;V12),"잔병치레 없는 수준의 건강함.",(IF(V12=99,"철의 인간, 엄청나게 건강."))))))))))</f>
        <v>산 송장.</v>
      </c>
      <c r="AR43" s="164"/>
      <c r="AS43" s="164"/>
      <c r="AT43" s="164"/>
      <c r="AU43" s="164"/>
      <c r="AV43" s="164"/>
      <c r="AW43" s="164"/>
      <c r="AX43" s="164"/>
      <c r="AY43" s="164"/>
      <c r="AZ43" s="164"/>
      <c r="BA43" s="164"/>
      <c r="BB43" s="165"/>
      <c r="BC43" s="3"/>
    </row>
    <row r="44" ht="13.5" customHeight="1">
      <c r="A44" s="22"/>
      <c r="B44" s="173"/>
      <c r="C44" s="167"/>
      <c r="D44" s="167"/>
      <c r="E44" s="167"/>
      <c r="F44" s="167"/>
      <c r="G44" s="167"/>
      <c r="H44" s="167"/>
      <c r="I44" s="168"/>
      <c r="J44" s="169"/>
      <c r="K44" s="167"/>
      <c r="L44" s="168"/>
      <c r="M44" s="174">
        <f t="shared" si="16"/>
        <v>0</v>
      </c>
      <c r="N44" s="167"/>
      <c r="O44" s="168"/>
      <c r="P44" s="174">
        <f t="shared" si="17"/>
        <v>0</v>
      </c>
      <c r="Q44" s="167"/>
      <c r="R44" s="168"/>
      <c r="S44" s="169"/>
      <c r="T44" s="167"/>
      <c r="U44" s="167"/>
      <c r="V44" s="167"/>
      <c r="W44" s="167"/>
      <c r="X44" s="168"/>
      <c r="Y44" s="169"/>
      <c r="Z44" s="167"/>
      <c r="AA44" s="167"/>
      <c r="AB44" s="168"/>
      <c r="AC44" s="169"/>
      <c r="AD44" s="167"/>
      <c r="AE44" s="167"/>
      <c r="AF44" s="167"/>
      <c r="AG44" s="168"/>
      <c r="AH44" s="169"/>
      <c r="AI44" s="167"/>
      <c r="AJ44" s="167"/>
      <c r="AK44" s="168"/>
      <c r="AL44" s="169"/>
      <c r="AM44" s="167"/>
      <c r="AN44" s="167"/>
      <c r="AO44" s="172"/>
      <c r="AP44" s="28"/>
      <c r="AQ44" s="163" t="str">
        <f>IF(AL12=0,"갓난아기 수준의 교육.",(IF(AND(1&lt;=AL12,30&gt;AL12),"제대로 된 교육을 받지 못했다.",IF(AND(30&lt;=AL12,70&gt;AL12),"평균적인 수준의 교육을 받음.",(IF(AND(70&lt;=AL12,85&gt;AL12),"대졸 수준 이상의 교육을 받음.",(IF(AND(85&lt;=AL12,99&gt;AL12),"교육받은 분야의 전문가.",(IF(AL12=99,"세계적으로 저명한 엘리트."))))))))))</f>
        <v>갓난아기 수준의 교육.</v>
      </c>
      <c r="AR44" s="164"/>
      <c r="AS44" s="164"/>
      <c r="AT44" s="164"/>
      <c r="AU44" s="164"/>
      <c r="AV44" s="164"/>
      <c r="AW44" s="164"/>
      <c r="AX44" s="164"/>
      <c r="AY44" s="164"/>
      <c r="AZ44" s="164"/>
      <c r="BA44" s="164"/>
      <c r="BB44" s="165"/>
      <c r="BC44" s="3"/>
    </row>
    <row r="45" ht="13.5" customHeight="1">
      <c r="A45" s="22"/>
      <c r="B45" s="173"/>
      <c r="C45" s="167"/>
      <c r="D45" s="167"/>
      <c r="E45" s="167"/>
      <c r="F45" s="167"/>
      <c r="G45" s="167"/>
      <c r="H45" s="167"/>
      <c r="I45" s="168"/>
      <c r="J45" s="169"/>
      <c r="K45" s="167"/>
      <c r="L45" s="168"/>
      <c r="M45" s="174">
        <f t="shared" si="16"/>
        <v>0</v>
      </c>
      <c r="N45" s="167"/>
      <c r="O45" s="168"/>
      <c r="P45" s="174">
        <f t="shared" si="17"/>
        <v>0</v>
      </c>
      <c r="Q45" s="167"/>
      <c r="R45" s="168"/>
      <c r="S45" s="169"/>
      <c r="T45" s="167"/>
      <c r="U45" s="167"/>
      <c r="V45" s="167"/>
      <c r="W45" s="167"/>
      <c r="X45" s="168"/>
      <c r="Y45" s="169"/>
      <c r="Z45" s="167"/>
      <c r="AA45" s="167"/>
      <c r="AB45" s="168"/>
      <c r="AC45" s="169"/>
      <c r="AD45" s="167"/>
      <c r="AE45" s="167"/>
      <c r="AF45" s="167"/>
      <c r="AG45" s="168"/>
      <c r="AH45" s="169"/>
      <c r="AI45" s="167"/>
      <c r="AJ45" s="167"/>
      <c r="AK45" s="168"/>
      <c r="AL45" s="169"/>
      <c r="AM45" s="167"/>
      <c r="AN45" s="167"/>
      <c r="AO45" s="172"/>
      <c r="AP45" s="28"/>
      <c r="AQ45" s="163" t="str">
        <f>IF(AD10=0,"도움이 없이는 움직일 수 없다.",(IF(AND(1&lt;=AD10,30&gt;AD10),"느리고 덤벙대며 둔하다.",IF(AND(30&lt;=AD10,70&gt;AD10),"일반 사람의 민첩성.",(IF(AND(70&lt;=AD10,85&gt;AD10),"민첩하고 반응속도가 빠른 사람.",(IF(AND(85&lt;=AD10,99&gt;AD10),"국가대표 체조 선수 수준의 민첩성.",(IF(AD10=99,"세계 최고 민첩성의 소유자."))))))))))</f>
        <v>도움이 없이는 움직일 수 없다.</v>
      </c>
      <c r="AR45" s="164"/>
      <c r="AS45" s="164"/>
      <c r="AT45" s="164"/>
      <c r="AU45" s="164"/>
      <c r="AV45" s="164"/>
      <c r="AW45" s="164"/>
      <c r="AX45" s="164"/>
      <c r="AY45" s="164"/>
      <c r="AZ45" s="164"/>
      <c r="BA45" s="164"/>
      <c r="BB45" s="165"/>
      <c r="BC45" s="3"/>
    </row>
    <row r="46" ht="13.5" customHeight="1">
      <c r="A46" s="22"/>
      <c r="B46" s="173"/>
      <c r="C46" s="167"/>
      <c r="D46" s="167"/>
      <c r="E46" s="167"/>
      <c r="F46" s="167"/>
      <c r="G46" s="167"/>
      <c r="H46" s="167"/>
      <c r="I46" s="168"/>
      <c r="J46" s="169"/>
      <c r="K46" s="167"/>
      <c r="L46" s="168"/>
      <c r="M46" s="174">
        <f t="shared" si="16"/>
        <v>0</v>
      </c>
      <c r="N46" s="167"/>
      <c r="O46" s="168"/>
      <c r="P46" s="174">
        <f t="shared" si="17"/>
        <v>0</v>
      </c>
      <c r="Q46" s="167"/>
      <c r="R46" s="168"/>
      <c r="S46" s="169"/>
      <c r="T46" s="167"/>
      <c r="U46" s="167"/>
      <c r="V46" s="167"/>
      <c r="W46" s="167"/>
      <c r="X46" s="168"/>
      <c r="Y46" s="169"/>
      <c r="Z46" s="167"/>
      <c r="AA46" s="167"/>
      <c r="AB46" s="168"/>
      <c r="AC46" s="169"/>
      <c r="AD46" s="167"/>
      <c r="AE46" s="167"/>
      <c r="AF46" s="167"/>
      <c r="AG46" s="168"/>
      <c r="AH46" s="169"/>
      <c r="AI46" s="167"/>
      <c r="AJ46" s="167"/>
      <c r="AK46" s="168"/>
      <c r="AL46" s="169"/>
      <c r="AM46" s="167"/>
      <c r="AN46" s="167"/>
      <c r="AO46" s="172"/>
      <c r="AP46" s="28"/>
      <c r="AQ46" s="163" t="str">
        <f>IF(AD14=0,"주변의 아무 것도 이해하지 못함.",(IF(AND(1&lt;=AD14,30&gt;AD14),"배우는 것이 느림, 기초적 학습만 가능.",IF(AND(30&lt;=AD14,70&gt;AD14),"보통 사람의 아이큐.",(IF(AND(70&lt;=AD14,85&gt;AD14),"재치가 있고 머리회전이 빠르다.",(IF(AND(85&lt;=AD14,99&gt;AD14),"머리가 좋아 다양한 지식을 가지고 있다.",(IF(AD14=99,"아인슈타인 수준의 두뇌."))))))))))</f>
        <v>주변의 아무 것도 이해하지 못함.</v>
      </c>
      <c r="AR46" s="164"/>
      <c r="AS46" s="164"/>
      <c r="AT46" s="164"/>
      <c r="AU46" s="164"/>
      <c r="AV46" s="164"/>
      <c r="AW46" s="164"/>
      <c r="AX46" s="164"/>
      <c r="AY46" s="164"/>
      <c r="AZ46" s="164"/>
      <c r="BA46" s="164"/>
      <c r="BB46" s="165"/>
      <c r="BC46" s="3"/>
    </row>
    <row r="47" ht="13.5" customHeight="1">
      <c r="A47" s="22"/>
      <c r="B47" s="175"/>
      <c r="C47" s="176"/>
      <c r="D47" s="176"/>
      <c r="E47" s="176"/>
      <c r="F47" s="176"/>
      <c r="G47" s="176"/>
      <c r="H47" s="176"/>
      <c r="I47" s="177"/>
      <c r="J47" s="178"/>
      <c r="K47" s="176"/>
      <c r="L47" s="177"/>
      <c r="M47" s="179">
        <f t="shared" si="16"/>
        <v>0</v>
      </c>
      <c r="N47" s="176"/>
      <c r="O47" s="177"/>
      <c r="P47" s="179">
        <f t="shared" si="17"/>
        <v>0</v>
      </c>
      <c r="Q47" s="176"/>
      <c r="R47" s="177"/>
      <c r="S47" s="178"/>
      <c r="T47" s="176"/>
      <c r="U47" s="176"/>
      <c r="V47" s="176"/>
      <c r="W47" s="176"/>
      <c r="X47" s="177"/>
      <c r="Y47" s="178"/>
      <c r="Z47" s="176"/>
      <c r="AA47" s="176"/>
      <c r="AB47" s="177"/>
      <c r="AC47" s="178"/>
      <c r="AD47" s="176"/>
      <c r="AE47" s="176"/>
      <c r="AF47" s="176"/>
      <c r="AG47" s="177"/>
      <c r="AH47" s="178"/>
      <c r="AI47" s="176"/>
      <c r="AJ47" s="176"/>
      <c r="AK47" s="177"/>
      <c r="AL47" s="178"/>
      <c r="AM47" s="176"/>
      <c r="AN47" s="176"/>
      <c r="AO47" s="180"/>
      <c r="AP47" s="28"/>
      <c r="AQ47" s="163" t="str">
        <f>IF(AL10=0,"어떠한 의지도 의욕도 없는 사람.",(IF(AND(1&lt;=AL10,30&gt;AL10),"의지가 약하고 남들에게 곧잘 휘둘림.",IF(AND(30&lt;=AL10,70&gt;AL10),"보통 사람의 의지를 가졌다.",(IF(AND(70&lt;=AL10,85&gt;AL10),"의지가 강한 사람.",(IF(AND(85&lt;=AL10,99&gt;AL10),"아주 높은 정신력, 영적 감이 있을 수도.",(IF(AL10=99,"철의 의지. 이세계와 깊게 연관됨."))))))))))</f>
        <v>어떠한 의지도 의욕도 없는 사람.</v>
      </c>
      <c r="AR47" s="164"/>
      <c r="AS47" s="164"/>
      <c r="AT47" s="164"/>
      <c r="AU47" s="164"/>
      <c r="AV47" s="164"/>
      <c r="AW47" s="164"/>
      <c r="AX47" s="164"/>
      <c r="AY47" s="164"/>
      <c r="AZ47" s="164"/>
      <c r="BA47" s="164"/>
      <c r="BB47" s="165"/>
      <c r="BC47" s="3"/>
    </row>
    <row r="48" ht="13.5" customHeight="1">
      <c r="A48" s="22"/>
      <c r="B48" s="484" t="s">
        <v>125</v>
      </c>
      <c r="C48" s="24"/>
      <c r="D48" s="24"/>
      <c r="E48" s="24"/>
      <c r="F48" s="24"/>
      <c r="G48" s="24"/>
      <c r="H48" s="24"/>
      <c r="I48" s="24"/>
      <c r="J48" s="24"/>
      <c r="K48" s="24"/>
      <c r="L48" s="24"/>
      <c r="M48" s="24"/>
      <c r="N48" s="24"/>
      <c r="O48" s="24"/>
      <c r="P48" s="24"/>
      <c r="Q48" s="24"/>
      <c r="R48" s="24"/>
      <c r="S48" s="24"/>
      <c r="T48" s="24"/>
      <c r="U48" s="487"/>
      <c r="V48" s="488" t="s">
        <v>126</v>
      </c>
      <c r="W48" s="24"/>
      <c r="X48" s="24"/>
      <c r="Y48" s="24"/>
      <c r="Z48" s="24"/>
      <c r="AA48" s="24"/>
      <c r="AB48" s="24"/>
      <c r="AC48" s="24"/>
      <c r="AD48" s="24"/>
      <c r="AE48" s="24"/>
      <c r="AF48" s="24"/>
      <c r="AG48" s="24"/>
      <c r="AH48" s="24"/>
      <c r="AI48" s="24"/>
      <c r="AJ48" s="24"/>
      <c r="AK48" s="24"/>
      <c r="AL48" s="24"/>
      <c r="AM48" s="24"/>
      <c r="AN48" s="24"/>
      <c r="AO48" s="487"/>
      <c r="AP48" s="28"/>
      <c r="AQ48" s="184"/>
      <c r="AR48" s="185"/>
      <c r="AS48" s="185"/>
      <c r="AT48" s="185"/>
      <c r="AU48" s="185"/>
      <c r="AV48" s="185"/>
      <c r="AW48" s="185"/>
      <c r="AX48" s="185"/>
      <c r="AY48" s="185"/>
      <c r="AZ48" s="185"/>
      <c r="BA48" s="185"/>
      <c r="BB48" s="186"/>
      <c r="BC48" s="3"/>
    </row>
    <row r="49" ht="13.5" customHeight="1">
      <c r="A49" s="22"/>
      <c r="B49" s="30"/>
      <c r="C49" s="31"/>
      <c r="D49" s="31"/>
      <c r="E49" s="31"/>
      <c r="F49" s="31"/>
      <c r="G49" s="31"/>
      <c r="H49" s="31"/>
      <c r="I49" s="31"/>
      <c r="J49" s="31"/>
      <c r="K49" s="31"/>
      <c r="L49" s="31"/>
      <c r="M49" s="31"/>
      <c r="N49" s="31"/>
      <c r="O49" s="31"/>
      <c r="P49" s="31"/>
      <c r="Q49" s="31"/>
      <c r="R49" s="31"/>
      <c r="S49" s="31"/>
      <c r="T49" s="31"/>
      <c r="U49" s="189"/>
      <c r="V49" s="188"/>
      <c r="W49" s="31"/>
      <c r="X49" s="31"/>
      <c r="Y49" s="31"/>
      <c r="Z49" s="31"/>
      <c r="AA49" s="31"/>
      <c r="AB49" s="31"/>
      <c r="AC49" s="31"/>
      <c r="AD49" s="31"/>
      <c r="AE49" s="31"/>
      <c r="AF49" s="31"/>
      <c r="AG49" s="31"/>
      <c r="AH49" s="31"/>
      <c r="AI49" s="31"/>
      <c r="AJ49" s="31"/>
      <c r="AK49" s="31"/>
      <c r="AL49" s="31"/>
      <c r="AM49" s="31"/>
      <c r="AN49" s="31"/>
      <c r="AO49" s="189"/>
      <c r="AP49" s="28"/>
      <c r="AQ49" s="489" t="s">
        <v>127</v>
      </c>
      <c r="AR49" s="294"/>
      <c r="AS49" s="294"/>
      <c r="AT49" s="294"/>
      <c r="AU49" s="294"/>
      <c r="AV49" s="294"/>
      <c r="AW49" s="294"/>
      <c r="AX49" s="294"/>
      <c r="AY49" s="294"/>
      <c r="AZ49" s="294"/>
      <c r="BA49" s="294"/>
      <c r="BB49" s="295"/>
      <c r="BC49" s="3"/>
    </row>
    <row r="50" ht="64.5" customHeight="1">
      <c r="A50" s="22"/>
      <c r="B50" s="296" t="str">
        <f>if(or(U49&gt;10,U49&lt;0),"",
if(U49=1,"가장 높은 기능과 관련된 물건",
if(U49=2,"직업에 필수적인 물건",
if(U49=3,"어린 시절 추억의 물건",
if(U49=4,"중요한 사람의 유품",
if(U49=5,"중요한 사람에게서 받은 물건",
if(U49=6,"수집품",
if(U49=7,"출처가 불분명한 물건",
if(U49=8,"스포츠용품",
if(U49=9,"무기",
if(U49=10,"아끼는 동물",
"")))))))))))</f>
        <v/>
      </c>
      <c r="C50" s="5"/>
      <c r="D50" s="5"/>
      <c r="E50" s="5"/>
      <c r="F50" s="297"/>
      <c r="G50" s="298"/>
      <c r="H50" s="5"/>
      <c r="I50" s="5"/>
      <c r="J50" s="5"/>
      <c r="K50" s="297"/>
      <c r="L50" s="298"/>
      <c r="M50" s="5"/>
      <c r="N50" s="5"/>
      <c r="O50" s="5"/>
      <c r="P50" s="297"/>
      <c r="Q50" s="298"/>
      <c r="R50" s="5"/>
      <c r="S50" s="5"/>
      <c r="T50" s="5"/>
      <c r="U50" s="299"/>
      <c r="V50" s="300" t="str">
        <f>if(or(AO49&gt;10,AO49&lt;0),"잘못된 숫자를 넣으셨습니다.",
if(AO49=1,"부모",
if(AO49=2,"조부모",
if(AO49=3,"형제자매",
if(AO49=4,"자식",
if(AO49=5,"파트너",
if(AO49=6,"존경하는 스승",
if(AO49=7,"친구",
if(AO49=8,"유명인, 우상, 영웅",
if(AO49=9,"동료 탐사자",
if(AO49=10,"NPC",
"")))))))))))</f>
        <v/>
      </c>
      <c r="W50" s="5"/>
      <c r="X50" s="5"/>
      <c r="Y50" s="5"/>
      <c r="Z50" s="297"/>
      <c r="AA50" s="301"/>
      <c r="AB50" s="5"/>
      <c r="AC50" s="5"/>
      <c r="AD50" s="5"/>
      <c r="AE50" s="297"/>
      <c r="AF50" s="301"/>
      <c r="AG50" s="5"/>
      <c r="AH50" s="5"/>
      <c r="AI50" s="5"/>
      <c r="AJ50" s="297"/>
      <c r="AK50" s="301"/>
      <c r="AL50" s="5"/>
      <c r="AM50" s="5"/>
      <c r="AN50" s="5"/>
      <c r="AO50" s="7"/>
      <c r="AP50" s="28"/>
      <c r="AQ50" s="9"/>
      <c r="BB50" s="302"/>
      <c r="BC50" s="3"/>
    </row>
    <row r="51" ht="8.25" customHeight="1">
      <c r="A51" s="22"/>
      <c r="B51" s="303"/>
      <c r="C51" s="304"/>
      <c r="D51" s="304"/>
      <c r="E51" s="304"/>
      <c r="F51" s="305"/>
      <c r="G51" s="306"/>
      <c r="H51" s="304"/>
      <c r="I51" s="304"/>
      <c r="J51" s="304"/>
      <c r="K51" s="305"/>
      <c r="L51" s="306"/>
      <c r="M51" s="304"/>
      <c r="N51" s="304"/>
      <c r="O51" s="304"/>
      <c r="P51" s="305"/>
      <c r="Q51" s="306"/>
      <c r="R51" s="304"/>
      <c r="S51" s="304"/>
      <c r="T51" s="304"/>
      <c r="U51" s="307"/>
      <c r="V51" s="304"/>
      <c r="W51" s="304"/>
      <c r="X51" s="304"/>
      <c r="Y51" s="304"/>
      <c r="Z51" s="305"/>
      <c r="AA51" s="306"/>
      <c r="AB51" s="304"/>
      <c r="AC51" s="304"/>
      <c r="AD51" s="304"/>
      <c r="AE51" s="305"/>
      <c r="AF51" s="306"/>
      <c r="AG51" s="304"/>
      <c r="AH51" s="304"/>
      <c r="AI51" s="304"/>
      <c r="AJ51" s="305"/>
      <c r="AK51" s="306"/>
      <c r="AL51" s="304"/>
      <c r="AM51" s="304"/>
      <c r="AN51" s="304"/>
      <c r="AO51" s="308"/>
      <c r="AP51" s="28"/>
      <c r="AQ51" s="9"/>
      <c r="BB51" s="302"/>
      <c r="BC51" s="3"/>
    </row>
    <row r="52" ht="26.25" customHeight="1">
      <c r="A52" s="22"/>
      <c r="B52" s="309"/>
      <c r="C52" s="310"/>
      <c r="D52" s="310"/>
      <c r="E52" s="310"/>
      <c r="F52" s="311"/>
      <c r="G52" s="312"/>
      <c r="H52" s="310"/>
      <c r="I52" s="310"/>
      <c r="J52" s="310"/>
      <c r="K52" s="311"/>
      <c r="L52" s="312"/>
      <c r="M52" s="310"/>
      <c r="N52" s="310"/>
      <c r="O52" s="310"/>
      <c r="P52" s="311"/>
      <c r="Q52" s="312"/>
      <c r="R52" s="310"/>
      <c r="S52" s="310"/>
      <c r="T52" s="310"/>
      <c r="U52" s="313"/>
      <c r="V52" s="314"/>
      <c r="W52" s="310"/>
      <c r="X52" s="310"/>
      <c r="Y52" s="310"/>
      <c r="Z52" s="311"/>
      <c r="AA52" s="315"/>
      <c r="AB52" s="310"/>
      <c r="AC52" s="310"/>
      <c r="AD52" s="310"/>
      <c r="AE52" s="311"/>
      <c r="AF52" s="315"/>
      <c r="AG52" s="310"/>
      <c r="AH52" s="310"/>
      <c r="AI52" s="310"/>
      <c r="AJ52" s="311"/>
      <c r="AK52" s="315"/>
      <c r="AL52" s="310"/>
      <c r="AM52" s="310"/>
      <c r="AN52" s="310"/>
      <c r="AO52" s="316"/>
      <c r="AP52" s="28"/>
      <c r="AQ52" s="9"/>
      <c r="BB52" s="302"/>
      <c r="BC52" s="3"/>
    </row>
    <row r="53" ht="49.5" customHeight="1">
      <c r="A53" s="22"/>
      <c r="B53" s="303"/>
      <c r="C53" s="304"/>
      <c r="D53" s="304"/>
      <c r="E53" s="304"/>
      <c r="F53" s="305"/>
      <c r="G53" s="306"/>
      <c r="H53" s="304"/>
      <c r="I53" s="304"/>
      <c r="J53" s="304"/>
      <c r="K53" s="305"/>
      <c r="L53" s="306"/>
      <c r="M53" s="304"/>
      <c r="N53" s="304"/>
      <c r="O53" s="304"/>
      <c r="P53" s="305"/>
      <c r="Q53" s="306"/>
      <c r="R53" s="304"/>
      <c r="S53" s="304"/>
      <c r="T53" s="304"/>
      <c r="U53" s="307"/>
      <c r="V53" s="304"/>
      <c r="W53" s="304"/>
      <c r="X53" s="304"/>
      <c r="Y53" s="304"/>
      <c r="Z53" s="305"/>
      <c r="AA53" s="306"/>
      <c r="AB53" s="304"/>
      <c r="AC53" s="304"/>
      <c r="AD53" s="304"/>
      <c r="AE53" s="305"/>
      <c r="AF53" s="306"/>
      <c r="AG53" s="304"/>
      <c r="AH53" s="304"/>
      <c r="AI53" s="304"/>
      <c r="AJ53" s="305"/>
      <c r="AK53" s="306"/>
      <c r="AL53" s="304"/>
      <c r="AM53" s="304"/>
      <c r="AN53" s="304"/>
      <c r="AO53" s="308"/>
      <c r="AP53" s="28"/>
      <c r="AQ53" s="9"/>
      <c r="BB53" s="302"/>
      <c r="BC53" s="3"/>
    </row>
    <row r="54" ht="47.25" customHeight="1">
      <c r="A54" s="22"/>
      <c r="B54" s="309"/>
      <c r="C54" s="310"/>
      <c r="D54" s="310"/>
      <c r="E54" s="310"/>
      <c r="F54" s="311"/>
      <c r="G54" s="312"/>
      <c r="H54" s="310"/>
      <c r="I54" s="310"/>
      <c r="J54" s="310"/>
      <c r="K54" s="311"/>
      <c r="L54" s="312"/>
      <c r="M54" s="310"/>
      <c r="N54" s="310"/>
      <c r="O54" s="310"/>
      <c r="P54" s="311"/>
      <c r="Q54" s="312"/>
      <c r="R54" s="310"/>
      <c r="S54" s="310"/>
      <c r="T54" s="310"/>
      <c r="U54" s="313"/>
      <c r="V54" s="314"/>
      <c r="W54" s="310"/>
      <c r="X54" s="310"/>
      <c r="Y54" s="310"/>
      <c r="Z54" s="311"/>
      <c r="AA54" s="315"/>
      <c r="AB54" s="310"/>
      <c r="AC54" s="310"/>
      <c r="AD54" s="310"/>
      <c r="AE54" s="311"/>
      <c r="AF54" s="315"/>
      <c r="AG54" s="310"/>
      <c r="AH54" s="310"/>
      <c r="AI54" s="310"/>
      <c r="AJ54" s="311"/>
      <c r="AK54" s="315"/>
      <c r="AL54" s="310"/>
      <c r="AM54" s="310"/>
      <c r="AN54" s="310"/>
      <c r="AO54" s="316"/>
      <c r="AP54" s="28"/>
      <c r="AQ54" s="10"/>
      <c r="AR54" s="11"/>
      <c r="AS54" s="11"/>
      <c r="AT54" s="11"/>
      <c r="AU54" s="11"/>
      <c r="AV54" s="11"/>
      <c r="AW54" s="11"/>
      <c r="AX54" s="11"/>
      <c r="AY54" s="11"/>
      <c r="AZ54" s="11"/>
      <c r="BA54" s="11"/>
      <c r="BB54" s="317"/>
      <c r="BC54" s="3"/>
    </row>
    <row r="55" ht="30.75" customHeight="1">
      <c r="A55" s="22"/>
      <c r="B55" s="303"/>
      <c r="C55" s="304"/>
      <c r="D55" s="304"/>
      <c r="E55" s="304"/>
      <c r="F55" s="305"/>
      <c r="G55" s="306"/>
      <c r="H55" s="304"/>
      <c r="I55" s="304"/>
      <c r="J55" s="304"/>
      <c r="K55" s="305"/>
      <c r="L55" s="306"/>
      <c r="M55" s="304"/>
      <c r="N55" s="304"/>
      <c r="O55" s="304"/>
      <c r="P55" s="305"/>
      <c r="Q55" s="306"/>
      <c r="R55" s="304"/>
      <c r="S55" s="304"/>
      <c r="T55" s="304"/>
      <c r="U55" s="307"/>
      <c r="V55" s="304"/>
      <c r="W55" s="304"/>
      <c r="X55" s="304"/>
      <c r="Y55" s="304"/>
      <c r="Z55" s="305"/>
      <c r="AA55" s="306"/>
      <c r="AB55" s="304"/>
      <c r="AC55" s="304"/>
      <c r="AD55" s="304"/>
      <c r="AE55" s="305"/>
      <c r="AF55" s="306"/>
      <c r="AG55" s="304"/>
      <c r="AH55" s="304"/>
      <c r="AI55" s="304"/>
      <c r="AJ55" s="305"/>
      <c r="AK55" s="306"/>
      <c r="AL55" s="304"/>
      <c r="AM55" s="304"/>
      <c r="AN55" s="304"/>
      <c r="AO55" s="308"/>
      <c r="AP55" s="28"/>
      <c r="AQ55" s="318" t="str">
        <f>if(or(BB49&gt;10,BB49&lt;0),"잘못된 숫자를 넣으셨습니다.",
if(BB49=1,"인심이 좋습니다.",
if(BB49=2,"동물의 친구입니다.",
if(BB49=3,"몽상가입니다.",
if(BB49=4,"쾌락주의자입니다.",
if(BB49=5,"과감한 승부사입니다.",
if(BB49=6,"유능한 요리사입니다.",
if(BB49=7,"바람둥이입니다.",
if(BB49=8,"충직합니다.",
if(BB49=9,"평판이 좋습니다.",
if(BB49=10,"야심가입니다.", "당신의 성격은 무엇인가요?")))))))))))</f>
        <v>당신의 성격은 무엇인가요?</v>
      </c>
      <c r="AR55" s="294"/>
      <c r="AS55" s="294"/>
      <c r="AT55" s="294"/>
      <c r="AU55" s="294"/>
      <c r="AV55" s="294"/>
      <c r="AW55" s="294"/>
      <c r="AX55" s="294"/>
      <c r="AY55" s="294"/>
      <c r="AZ55" s="294"/>
      <c r="BA55" s="294"/>
      <c r="BB55" s="294"/>
      <c r="BC55" s="3"/>
    </row>
    <row r="56" ht="22.5" customHeight="1">
      <c r="A56" s="22"/>
      <c r="B56" s="309"/>
      <c r="C56" s="310"/>
      <c r="D56" s="310"/>
      <c r="E56" s="310"/>
      <c r="F56" s="311"/>
      <c r="G56" s="312"/>
      <c r="H56" s="310"/>
      <c r="I56" s="310"/>
      <c r="J56" s="310"/>
      <c r="K56" s="311"/>
      <c r="L56" s="312"/>
      <c r="M56" s="310"/>
      <c r="N56" s="310"/>
      <c r="O56" s="310"/>
      <c r="P56" s="311"/>
      <c r="Q56" s="312"/>
      <c r="R56" s="310"/>
      <c r="S56" s="310"/>
      <c r="T56" s="310"/>
      <c r="U56" s="313"/>
      <c r="V56" s="314"/>
      <c r="W56" s="310"/>
      <c r="X56" s="310"/>
      <c r="Y56" s="310"/>
      <c r="Z56" s="311"/>
      <c r="AA56" s="315"/>
      <c r="AB56" s="310"/>
      <c r="AC56" s="310"/>
      <c r="AD56" s="310"/>
      <c r="AE56" s="311"/>
      <c r="AF56" s="315"/>
      <c r="AG56" s="310"/>
      <c r="AH56" s="310"/>
      <c r="AI56" s="310"/>
      <c r="AJ56" s="311"/>
      <c r="AK56" s="315"/>
      <c r="AL56" s="310"/>
      <c r="AM56" s="310"/>
      <c r="AN56" s="310"/>
      <c r="AO56" s="316"/>
      <c r="AP56" s="28"/>
      <c r="AQ56" s="9"/>
      <c r="BC56" s="3"/>
    </row>
    <row r="57" ht="62.25" customHeight="1">
      <c r="A57" s="22"/>
      <c r="B57" s="303"/>
      <c r="C57" s="304"/>
      <c r="D57" s="304"/>
      <c r="E57" s="304"/>
      <c r="F57" s="305"/>
      <c r="G57" s="306"/>
      <c r="H57" s="304"/>
      <c r="I57" s="304"/>
      <c r="J57" s="304"/>
      <c r="K57" s="305"/>
      <c r="L57" s="306"/>
      <c r="M57" s="304"/>
      <c r="N57" s="304"/>
      <c r="O57" s="304"/>
      <c r="P57" s="305"/>
      <c r="Q57" s="306"/>
      <c r="R57" s="304"/>
      <c r="S57" s="304"/>
      <c r="T57" s="304"/>
      <c r="U57" s="307"/>
      <c r="V57" s="304"/>
      <c r="W57" s="304"/>
      <c r="X57" s="304"/>
      <c r="Y57" s="304"/>
      <c r="Z57" s="305"/>
      <c r="AA57" s="306"/>
      <c r="AB57" s="304"/>
      <c r="AC57" s="304"/>
      <c r="AD57" s="304"/>
      <c r="AE57" s="305"/>
      <c r="AF57" s="306"/>
      <c r="AG57" s="304"/>
      <c r="AH57" s="304"/>
      <c r="AI57" s="304"/>
      <c r="AJ57" s="305"/>
      <c r="AK57" s="306"/>
      <c r="AL57" s="304"/>
      <c r="AM57" s="304"/>
      <c r="AN57" s="304"/>
      <c r="AO57" s="308"/>
      <c r="AP57" s="28"/>
      <c r="AQ57" s="9"/>
      <c r="BC57" s="3"/>
    </row>
    <row r="58" ht="61.5" customHeight="1">
      <c r="A58" s="22"/>
      <c r="B58" s="309"/>
      <c r="C58" s="310"/>
      <c r="D58" s="310"/>
      <c r="E58" s="310"/>
      <c r="F58" s="311"/>
      <c r="G58" s="312"/>
      <c r="H58" s="310"/>
      <c r="I58" s="310"/>
      <c r="J58" s="310"/>
      <c r="K58" s="311"/>
      <c r="L58" s="312"/>
      <c r="M58" s="310"/>
      <c r="N58" s="310"/>
      <c r="O58" s="310"/>
      <c r="P58" s="311"/>
      <c r="Q58" s="312"/>
      <c r="R58" s="310"/>
      <c r="S58" s="310"/>
      <c r="T58" s="310"/>
      <c r="U58" s="313"/>
      <c r="V58" s="314"/>
      <c r="W58" s="310"/>
      <c r="X58" s="310"/>
      <c r="Y58" s="310"/>
      <c r="Z58" s="311"/>
      <c r="AA58" s="315"/>
      <c r="AB58" s="310"/>
      <c r="AC58" s="310"/>
      <c r="AD58" s="310"/>
      <c r="AE58" s="311"/>
      <c r="AF58" s="315"/>
      <c r="AG58" s="310"/>
      <c r="AH58" s="310"/>
      <c r="AI58" s="310"/>
      <c r="AJ58" s="311"/>
      <c r="AK58" s="315"/>
      <c r="AL58" s="310"/>
      <c r="AM58" s="310"/>
      <c r="AN58" s="310"/>
      <c r="AO58" s="316"/>
      <c r="AP58" s="28"/>
      <c r="AQ58" s="10"/>
      <c r="AR58" s="11"/>
      <c r="AS58" s="11"/>
      <c r="AT58" s="11"/>
      <c r="AU58" s="11"/>
      <c r="AV58" s="11"/>
      <c r="AW58" s="11"/>
      <c r="AX58" s="11"/>
      <c r="AY58" s="11"/>
      <c r="AZ58" s="11"/>
      <c r="BA58" s="11"/>
      <c r="BB58" s="11"/>
      <c r="BC58" s="3"/>
    </row>
    <row r="59" ht="13.5" customHeight="1">
      <c r="A59" s="22"/>
      <c r="B59" s="303"/>
      <c r="C59" s="304"/>
      <c r="D59" s="304"/>
      <c r="E59" s="304"/>
      <c r="F59" s="305"/>
      <c r="G59" s="306"/>
      <c r="H59" s="304"/>
      <c r="I59" s="304"/>
      <c r="J59" s="304"/>
      <c r="K59" s="305"/>
      <c r="L59" s="306"/>
      <c r="M59" s="304"/>
      <c r="N59" s="304"/>
      <c r="O59" s="304"/>
      <c r="P59" s="305"/>
      <c r="Q59" s="306"/>
      <c r="R59" s="304"/>
      <c r="S59" s="304"/>
      <c r="T59" s="304"/>
      <c r="U59" s="307"/>
      <c r="V59" s="11"/>
      <c r="W59" s="11"/>
      <c r="X59" s="11"/>
      <c r="Y59" s="11"/>
      <c r="Z59" s="319"/>
      <c r="AA59" s="320"/>
      <c r="AB59" s="11"/>
      <c r="AC59" s="11"/>
      <c r="AD59" s="11"/>
      <c r="AE59" s="319"/>
      <c r="AF59" s="320"/>
      <c r="AG59" s="11"/>
      <c r="AH59" s="11"/>
      <c r="AI59" s="11"/>
      <c r="AJ59" s="319"/>
      <c r="AK59" s="320"/>
      <c r="AL59" s="11"/>
      <c r="AM59" s="11"/>
      <c r="AN59" s="11"/>
      <c r="AO59" s="12"/>
      <c r="AP59" s="28"/>
      <c r="AQ59" s="490" t="s">
        <v>128</v>
      </c>
      <c r="AR59" s="105"/>
      <c r="AS59" s="105"/>
      <c r="AT59" s="105"/>
      <c r="AU59" s="105"/>
      <c r="AV59" s="105"/>
      <c r="AW59" s="105"/>
      <c r="AX59" s="105"/>
      <c r="AY59" s="105"/>
      <c r="AZ59" s="105"/>
      <c r="BA59" s="105"/>
      <c r="BB59" s="191"/>
      <c r="BC59" s="3"/>
    </row>
    <row r="60" ht="13.5" customHeight="1">
      <c r="A60" s="22"/>
      <c r="B60" s="309"/>
      <c r="C60" s="310"/>
      <c r="D60" s="310"/>
      <c r="E60" s="310"/>
      <c r="F60" s="311"/>
      <c r="G60" s="315"/>
      <c r="H60" s="310"/>
      <c r="I60" s="310"/>
      <c r="J60" s="310"/>
      <c r="K60" s="311"/>
      <c r="L60" s="315"/>
      <c r="M60" s="310"/>
      <c r="N60" s="310"/>
      <c r="O60" s="310"/>
      <c r="P60" s="311"/>
      <c r="Q60" s="315"/>
      <c r="R60" s="310"/>
      <c r="S60" s="310"/>
      <c r="T60" s="310"/>
      <c r="U60" s="313"/>
      <c r="V60" s="491" t="s">
        <v>129</v>
      </c>
      <c r="W60" s="105"/>
      <c r="X60" s="105"/>
      <c r="Y60" s="105"/>
      <c r="Z60" s="105"/>
      <c r="AA60" s="105"/>
      <c r="AB60" s="105"/>
      <c r="AC60" s="105"/>
      <c r="AD60" s="105"/>
      <c r="AE60" s="105"/>
      <c r="AF60" s="105"/>
      <c r="AG60" s="105"/>
      <c r="AH60" s="105"/>
      <c r="AI60" s="105"/>
      <c r="AJ60" s="105"/>
      <c r="AK60" s="105"/>
      <c r="AL60" s="105"/>
      <c r="AM60" s="105"/>
      <c r="AN60" s="107"/>
      <c r="AO60" s="211"/>
      <c r="AP60" s="28"/>
      <c r="AQ60" s="212" t="str">
        <f>if(or(BB59&gt;10,BB59&lt;0),"잘못된 숫자를 넣으셨습니다.",
if(BB59=1,"숭배하고 기도하는 초월적인 존재가 있습니다.",
if(BB59=2,"인류는 종교 없이도 잘 살 수 있습니다.",
if(BB59=3,"과학이 모든 것의 해답입니다.",
if(BB59=4,"운명을 극적으로 믿습니다.",
if(BB59=5,"사회단체 또는 비밀 단체에 소속되어 있습니다.",
if(BB59=6,"사회에 뿌리 뽑아야 할 악이 있습니다.",
if(BB59=7,"오컬트를 믿습니다.",
if(BB59=8,"세상만사에 관심이 많습니다.",
if(BB59=9,"돈이 권력이고 세속적인 욕심이 강합니다.",
if(BB59=10,"운동가 또는 활동가로 활약하고 있습니다.",
"당신의 사상이나 신념은 무엇인가요?")))))))))))</f>
        <v>당신의 사상이나 신념은 무엇인가요?</v>
      </c>
      <c r="AR60" s="185"/>
      <c r="AS60" s="185"/>
      <c r="AT60" s="185"/>
      <c r="AU60" s="185"/>
      <c r="AV60" s="185"/>
      <c r="AW60" s="185"/>
      <c r="AX60" s="185"/>
      <c r="AY60" s="185"/>
      <c r="AZ60" s="185"/>
      <c r="BA60" s="185"/>
      <c r="BB60" s="185"/>
      <c r="BC60" s="3"/>
    </row>
    <row r="61" ht="56.25" customHeight="1">
      <c r="A61" s="22"/>
      <c r="B61" s="10"/>
      <c r="C61" s="11"/>
      <c r="D61" s="11"/>
      <c r="E61" s="11"/>
      <c r="F61" s="319"/>
      <c r="G61" s="320"/>
      <c r="H61" s="11"/>
      <c r="I61" s="11"/>
      <c r="J61" s="11"/>
      <c r="K61" s="319"/>
      <c r="L61" s="320"/>
      <c r="M61" s="11"/>
      <c r="N61" s="11"/>
      <c r="O61" s="11"/>
      <c r="P61" s="319"/>
      <c r="Q61" s="320"/>
      <c r="R61" s="11"/>
      <c r="S61" s="11"/>
      <c r="T61" s="11"/>
      <c r="U61" s="322"/>
      <c r="V61" s="323" t="str">
        <f>if(or(AO60&gt;10,AO60&lt;0),"잘못된 숫자를 넣으셨습니다.",
if(AO60=1,"갚을 은혜가 있습니다.",
if(AO60=2,"배운 것이 있습니다.",
if(AO60=3,"삶에 의미를 주었습니다.",
if(AO60=4,"잘못한 것이 있어서 속죄하려고 합니다.",
if(AO60=5,"공유한 경험이 있습니다.",
if(AO60=6,"인정을 받고 싶습니다.",
if(AO60=7,"동경하고 숭배합니다.",
if(AO60=8,"회한(두고두고 후회함)이 있습니다.",
if(AO60=9,"자신이 그 사람보다 나은 인간임을 증명하고 싶습니다.",
if(AO60=10,"해를 끼친 사람에게 복수하고 싶습니다.",
"왜 그 사람을 중요하게 여기시나요?")))))))))))</f>
        <v>왜 그 사람을 중요하게 여기시나요?</v>
      </c>
      <c r="W61" s="105"/>
      <c r="X61" s="105"/>
      <c r="Y61" s="105"/>
      <c r="Z61" s="105"/>
      <c r="AA61" s="105"/>
      <c r="AB61" s="105"/>
      <c r="AC61" s="105"/>
      <c r="AD61" s="105"/>
      <c r="AE61" s="105"/>
      <c r="AF61" s="105"/>
      <c r="AG61" s="105"/>
      <c r="AH61" s="105"/>
      <c r="AI61" s="105"/>
      <c r="AJ61" s="105"/>
      <c r="AK61" s="105"/>
      <c r="AL61" s="105"/>
      <c r="AM61" s="105"/>
      <c r="AN61" s="105"/>
      <c r="AO61" s="107"/>
      <c r="AP61" s="28"/>
      <c r="AQ61" s="492" t="s">
        <v>130</v>
      </c>
      <c r="AR61" s="105"/>
      <c r="AS61" s="105"/>
      <c r="AT61" s="105"/>
      <c r="AU61" s="105"/>
      <c r="AV61" s="105"/>
      <c r="AW61" s="105"/>
      <c r="AX61" s="107"/>
      <c r="AY61" s="324"/>
      <c r="AZ61" s="105"/>
      <c r="BA61" s="105"/>
      <c r="BB61" s="107"/>
      <c r="BC61" s="3"/>
    </row>
    <row r="62" ht="13.5" customHeight="1">
      <c r="A62" s="2"/>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3"/>
      <c r="AD62" s="53"/>
      <c r="AE62" s="53"/>
      <c r="AF62" s="53"/>
      <c r="AG62" s="53"/>
      <c r="AH62" s="53"/>
      <c r="AI62" s="53"/>
      <c r="AJ62" s="53"/>
      <c r="AK62" s="53"/>
      <c r="AL62" s="53"/>
      <c r="AM62" s="53"/>
      <c r="AN62" s="53"/>
      <c r="AO62" s="53"/>
      <c r="AP62" s="218"/>
      <c r="AQ62" s="218"/>
      <c r="AR62" s="218"/>
      <c r="AS62" s="218"/>
      <c r="AT62" s="218"/>
      <c r="AU62" s="218"/>
      <c r="AV62" s="218"/>
      <c r="AW62" s="218"/>
      <c r="AX62" s="218"/>
      <c r="AY62" s="218"/>
      <c r="AZ62" s="218"/>
      <c r="BA62" s="218"/>
      <c r="BB62" s="218"/>
      <c r="BC62" s="3"/>
    </row>
    <row r="63" ht="15.75" customHeight="1">
      <c r="A63" s="219"/>
      <c r="B63" s="493" t="s">
        <v>131</v>
      </c>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5"/>
      <c r="BC63" s="221"/>
    </row>
    <row r="64" ht="15.75" customHeight="1">
      <c r="A64" s="219"/>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2"/>
      <c r="BC64" s="221"/>
    </row>
    <row r="65" ht="15.75" customHeight="1">
      <c r="A65" s="219"/>
      <c r="B65" s="494" t="s">
        <v>132</v>
      </c>
      <c r="C65" s="24"/>
      <c r="D65" s="24"/>
      <c r="E65" s="24"/>
      <c r="F65" s="24"/>
      <c r="G65" s="24"/>
      <c r="H65" s="24"/>
      <c r="I65" s="24"/>
      <c r="J65" s="24"/>
      <c r="K65" s="24"/>
      <c r="L65" s="24"/>
      <c r="M65" s="24"/>
      <c r="N65" s="24"/>
      <c r="O65" s="24"/>
      <c r="P65" s="24"/>
      <c r="Q65" s="24"/>
      <c r="R65" s="25"/>
      <c r="S65" s="495" t="s">
        <v>127</v>
      </c>
      <c r="T65" s="24"/>
      <c r="U65" s="24"/>
      <c r="V65" s="24"/>
      <c r="W65" s="24"/>
      <c r="X65" s="24"/>
      <c r="Y65" s="24"/>
      <c r="Z65" s="24"/>
      <c r="AA65" s="24"/>
      <c r="AB65" s="24"/>
      <c r="AC65" s="24"/>
      <c r="AD65" s="24"/>
      <c r="AE65" s="24"/>
      <c r="AF65" s="24"/>
      <c r="AG65" s="24"/>
      <c r="AH65" s="24"/>
      <c r="AI65" s="25"/>
      <c r="AJ65" s="494" t="s">
        <v>133</v>
      </c>
      <c r="AK65" s="24"/>
      <c r="AL65" s="24"/>
      <c r="AM65" s="24"/>
      <c r="AN65" s="24"/>
      <c r="AO65" s="24"/>
      <c r="AP65" s="24"/>
      <c r="AQ65" s="24"/>
      <c r="AR65" s="24"/>
      <c r="AS65" s="24"/>
      <c r="AT65" s="24"/>
      <c r="AU65" s="24"/>
      <c r="AV65" s="24"/>
      <c r="AW65" s="24"/>
      <c r="AX65" s="24"/>
      <c r="AY65" s="24"/>
      <c r="AZ65" s="24"/>
      <c r="BA65" s="24"/>
      <c r="BB65" s="25"/>
      <c r="BC65" s="221"/>
    </row>
    <row r="66" ht="15.75" customHeight="1">
      <c r="A66" s="219"/>
      <c r="B66" s="224"/>
      <c r="C66" s="5"/>
      <c r="D66" s="5"/>
      <c r="E66" s="5"/>
      <c r="F66" s="5"/>
      <c r="G66" s="5"/>
      <c r="H66" s="5"/>
      <c r="I66" s="5"/>
      <c r="J66" s="5"/>
      <c r="K66" s="5"/>
      <c r="L66" s="5"/>
      <c r="M66" s="5"/>
      <c r="N66" s="5"/>
      <c r="O66" s="5"/>
      <c r="P66" s="5"/>
      <c r="Q66" s="5"/>
      <c r="R66" s="7"/>
      <c r="S66" s="224"/>
      <c r="T66" s="5"/>
      <c r="U66" s="5"/>
      <c r="V66" s="5"/>
      <c r="W66" s="5"/>
      <c r="X66" s="5"/>
      <c r="Y66" s="5"/>
      <c r="Z66" s="5"/>
      <c r="AA66" s="5"/>
      <c r="AB66" s="5"/>
      <c r="AC66" s="5"/>
      <c r="AD66" s="5"/>
      <c r="AE66" s="5"/>
      <c r="AF66" s="5"/>
      <c r="AG66" s="5"/>
      <c r="AH66" s="5"/>
      <c r="AI66" s="7"/>
      <c r="AJ66" s="224"/>
      <c r="AK66" s="5"/>
      <c r="AL66" s="5"/>
      <c r="AM66" s="5"/>
      <c r="AN66" s="5"/>
      <c r="AO66" s="5"/>
      <c r="AP66" s="5"/>
      <c r="AQ66" s="5"/>
      <c r="AR66" s="5"/>
      <c r="AS66" s="5"/>
      <c r="AT66" s="5"/>
      <c r="AU66" s="5"/>
      <c r="AV66" s="5"/>
      <c r="AW66" s="5"/>
      <c r="AX66" s="5"/>
      <c r="AY66" s="5"/>
      <c r="AZ66" s="5"/>
      <c r="BA66" s="5"/>
      <c r="BB66" s="225"/>
      <c r="BC66" s="226"/>
    </row>
    <row r="67" ht="135.0" customHeight="1">
      <c r="A67" s="219"/>
      <c r="B67" s="9"/>
      <c r="R67" s="15"/>
      <c r="S67" s="9"/>
      <c r="AI67" s="15"/>
      <c r="AJ67" s="9"/>
      <c r="BB67" s="209"/>
      <c r="BC67" s="226"/>
    </row>
    <row r="68" ht="15.75" customHeight="1">
      <c r="A68" s="219"/>
      <c r="B68" s="9"/>
      <c r="R68" s="15"/>
      <c r="S68" s="9"/>
      <c r="AI68" s="15"/>
      <c r="AJ68" s="9"/>
      <c r="BB68" s="209"/>
      <c r="BC68" s="226"/>
    </row>
    <row r="69" ht="15.75" customHeight="1">
      <c r="A69" s="219"/>
      <c r="B69" s="9"/>
      <c r="R69" s="15"/>
      <c r="S69" s="9"/>
      <c r="AI69" s="15"/>
      <c r="AJ69" s="9"/>
      <c r="BB69" s="209"/>
      <c r="BC69" s="226"/>
    </row>
    <row r="70" ht="15.75" customHeight="1">
      <c r="A70" s="219"/>
      <c r="B70" s="10"/>
      <c r="C70" s="11"/>
      <c r="D70" s="11"/>
      <c r="E70" s="11"/>
      <c r="F70" s="11"/>
      <c r="G70" s="11"/>
      <c r="H70" s="11"/>
      <c r="I70" s="11"/>
      <c r="J70" s="11"/>
      <c r="K70" s="11"/>
      <c r="L70" s="11"/>
      <c r="M70" s="11"/>
      <c r="N70" s="11"/>
      <c r="O70" s="11"/>
      <c r="P70" s="11"/>
      <c r="Q70" s="11"/>
      <c r="R70" s="12"/>
      <c r="S70" s="10"/>
      <c r="T70" s="11"/>
      <c r="U70" s="11"/>
      <c r="V70" s="11"/>
      <c r="W70" s="11"/>
      <c r="X70" s="11"/>
      <c r="Y70" s="11"/>
      <c r="Z70" s="11"/>
      <c r="AA70" s="11"/>
      <c r="AB70" s="11"/>
      <c r="AC70" s="11"/>
      <c r="AD70" s="11"/>
      <c r="AE70" s="11"/>
      <c r="AF70" s="11"/>
      <c r="AG70" s="11"/>
      <c r="AH70" s="11"/>
      <c r="AI70" s="12"/>
      <c r="AJ70" s="9"/>
      <c r="BB70" s="209"/>
      <c r="BC70" s="226"/>
    </row>
    <row r="71" ht="15.75" customHeight="1">
      <c r="A71" s="219"/>
      <c r="B71" s="496" t="s">
        <v>134</v>
      </c>
      <c r="C71" s="5"/>
      <c r="D71" s="5"/>
      <c r="E71" s="5"/>
      <c r="F71" s="5"/>
      <c r="G71" s="5"/>
      <c r="H71" s="5"/>
      <c r="I71" s="5"/>
      <c r="J71" s="5"/>
      <c r="K71" s="5"/>
      <c r="L71" s="5"/>
      <c r="M71" s="5"/>
      <c r="N71" s="5"/>
      <c r="O71" s="5"/>
      <c r="P71" s="5"/>
      <c r="Q71" s="7"/>
      <c r="R71" s="497"/>
      <c r="S71" s="498" t="s">
        <v>135</v>
      </c>
      <c r="T71" s="5"/>
      <c r="U71" s="5"/>
      <c r="V71" s="7"/>
      <c r="W71" s="498" t="s">
        <v>136</v>
      </c>
      <c r="X71" s="5"/>
      <c r="Y71" s="5"/>
      <c r="Z71" s="7"/>
      <c r="AA71" s="498" t="s">
        <v>137</v>
      </c>
      <c r="AB71" s="5"/>
      <c r="AC71" s="5"/>
      <c r="AD71" s="7"/>
      <c r="AE71" s="498" t="s">
        <v>138</v>
      </c>
      <c r="AF71" s="5"/>
      <c r="AG71" s="5"/>
      <c r="AH71" s="5"/>
      <c r="AI71" s="7"/>
      <c r="AJ71" s="9"/>
      <c r="BB71" s="209"/>
      <c r="BC71" s="226"/>
    </row>
    <row r="72" ht="15.75" customHeight="1">
      <c r="A72" s="219"/>
      <c r="B72" s="10"/>
      <c r="C72" s="11"/>
      <c r="D72" s="11"/>
      <c r="E72" s="11"/>
      <c r="F72" s="11"/>
      <c r="G72" s="11"/>
      <c r="H72" s="11"/>
      <c r="I72" s="11"/>
      <c r="J72" s="11"/>
      <c r="K72" s="11"/>
      <c r="L72" s="11"/>
      <c r="M72" s="11"/>
      <c r="N72" s="11"/>
      <c r="O72" s="11"/>
      <c r="P72" s="11"/>
      <c r="Q72" s="12"/>
      <c r="R72" s="230"/>
      <c r="S72" s="10"/>
      <c r="T72" s="11"/>
      <c r="U72" s="11"/>
      <c r="V72" s="12"/>
      <c r="W72" s="10"/>
      <c r="X72" s="11"/>
      <c r="Y72" s="11"/>
      <c r="Z72" s="12"/>
      <c r="AA72" s="10"/>
      <c r="AB72" s="11"/>
      <c r="AC72" s="11"/>
      <c r="AD72" s="12"/>
      <c r="AE72" s="10"/>
      <c r="AF72" s="11"/>
      <c r="AG72" s="11"/>
      <c r="AH72" s="11"/>
      <c r="AI72" s="12"/>
      <c r="AJ72" s="9"/>
      <c r="BB72" s="209"/>
      <c r="BC72" s="226"/>
    </row>
    <row r="73" ht="15.75" customHeight="1">
      <c r="A73" s="219"/>
      <c r="B73" s="231" t="str">
        <f>if(or(R72&gt;10,R72&lt;0),"잘못된 숫자를 넣으셨습니다.",
if(R72=1,"배움의 장소",
if(R72=2,"고향",
if(R72=3,"첫사랑을 만난 곳",
if(R72=4,"조용한 명상의 장소",
if(R72=5,"사교의 장소",
if(R72=6,"사상 또는 신앙과 관련된 장소",
if(R72=7,"중요한 사람의 무덤",
if(R72=8,"가족의 집",
if(R72=9,"가장 행복했던 시간을 보낸 곳",
if(R72=10,"직장",
"당신에게 의미있었던 장소는 어딘가요?")))))))))))</f>
        <v>당신에게 의미있었던 장소는 어딘가요?</v>
      </c>
      <c r="C73" s="105"/>
      <c r="D73" s="105"/>
      <c r="E73" s="105"/>
      <c r="F73" s="105"/>
      <c r="G73" s="105"/>
      <c r="H73" s="105"/>
      <c r="I73" s="105"/>
      <c r="J73" s="105"/>
      <c r="K73" s="105"/>
      <c r="L73" s="105"/>
      <c r="M73" s="105"/>
      <c r="N73" s="105"/>
      <c r="O73" s="105"/>
      <c r="P73" s="105"/>
      <c r="Q73" s="105"/>
      <c r="R73" s="107"/>
      <c r="S73" s="231" t="str">
        <f>R19</f>
        <v/>
      </c>
      <c r="T73" s="105"/>
      <c r="U73" s="105"/>
      <c r="V73" s="107"/>
      <c r="W73" s="232">
        <f>if((R19)&lt;=0,(10*1.3),if((R19)&lt;=9,(40*1.3),if((R19)&lt;=49,(200*1.3),if((R19)&lt;=89,(1000*1.3),if((R19)&lt;=98,(5000*1.3),100000)))))</f>
        <v>13</v>
      </c>
      <c r="X73" s="105"/>
      <c r="Y73" s="105"/>
      <c r="Z73" s="107"/>
      <c r="AA73" s="232">
        <f>if((R19)&lt;=0,(10*1.3),if((R19)&lt;=9,(R19*20*1.3),if((R19)&lt;=49,(R19*40*1.3),if((R19)&lt;=89,(R19*100*1.3),if((R19)&lt;=98,(R19*400*1.3),(1000000*1.3))))))</f>
        <v>13</v>
      </c>
      <c r="AB73" s="105"/>
      <c r="AC73" s="105"/>
      <c r="AD73" s="107"/>
      <c r="AE73" s="232" t="str">
        <f>if((R19)&lt;=0,"None",if((R19)&lt;=9,(R19*200*1.3),if((R19)&lt;=49,(R19*1000*1.3),if((R19)&lt;=89,(R19*10000*1.3),if((R19)&lt;=98,(R19*40000*1.3),"$100000000+")))))</f>
        <v>None</v>
      </c>
      <c r="AF73" s="105"/>
      <c r="AG73" s="105"/>
      <c r="AH73" s="105"/>
      <c r="AI73" s="107"/>
      <c r="AJ73" s="188"/>
      <c r="AK73" s="31"/>
      <c r="AL73" s="31"/>
      <c r="AM73" s="31"/>
      <c r="AN73" s="31"/>
      <c r="AO73" s="31"/>
      <c r="AP73" s="31"/>
      <c r="AQ73" s="31"/>
      <c r="AR73" s="31"/>
      <c r="AS73" s="31"/>
      <c r="AT73" s="31"/>
      <c r="AU73" s="31"/>
      <c r="AV73" s="31"/>
      <c r="AW73" s="31"/>
      <c r="AX73" s="31"/>
      <c r="AY73" s="31"/>
      <c r="AZ73" s="31"/>
      <c r="BA73" s="31"/>
      <c r="BB73" s="32"/>
      <c r="BC73" s="226"/>
    </row>
    <row r="74" ht="15.75" customHeight="1">
      <c r="A74" s="234"/>
      <c r="B74" s="235"/>
      <c r="C74" s="235"/>
      <c r="D74" s="235"/>
      <c r="E74" s="235"/>
      <c r="F74" s="235"/>
      <c r="G74" s="235"/>
      <c r="H74" s="235"/>
      <c r="I74" s="235"/>
      <c r="J74" s="235"/>
      <c r="K74" s="235"/>
      <c r="L74" s="235"/>
      <c r="M74" s="235"/>
      <c r="N74" s="235"/>
      <c r="O74" s="235"/>
      <c r="P74" s="235"/>
      <c r="Q74" s="235"/>
      <c r="R74" s="235"/>
      <c r="S74" s="235"/>
      <c r="T74" s="235"/>
      <c r="U74" s="235"/>
      <c r="V74" s="235"/>
      <c r="W74" s="235"/>
      <c r="X74" s="235"/>
      <c r="Y74" s="235"/>
      <c r="Z74" s="235"/>
      <c r="AA74" s="235"/>
      <c r="AB74" s="235"/>
      <c r="AC74" s="235"/>
      <c r="AD74" s="235"/>
      <c r="AE74" s="235"/>
      <c r="AF74" s="235"/>
      <c r="AG74" s="235"/>
      <c r="AH74" s="235"/>
      <c r="AI74" s="235"/>
      <c r="AJ74" s="236"/>
      <c r="AK74" s="237"/>
      <c r="AL74" s="238"/>
      <c r="AM74" s="237"/>
      <c r="AN74" s="237"/>
      <c r="AO74" s="237"/>
      <c r="AP74" s="237"/>
      <c r="AQ74" s="237"/>
      <c r="AR74" s="237"/>
      <c r="AS74" s="237"/>
      <c r="AT74" s="237"/>
      <c r="AU74" s="237"/>
      <c r="AV74" s="237"/>
      <c r="AW74" s="237"/>
      <c r="AX74" s="237"/>
      <c r="AY74" s="237"/>
      <c r="AZ74" s="237"/>
      <c r="BA74" s="237"/>
      <c r="BB74" s="237"/>
      <c r="BC74" s="239"/>
    </row>
    <row r="75" ht="15.75" customHeight="1">
      <c r="A75" s="240"/>
      <c r="B75" s="241" t="s">
        <v>139</v>
      </c>
      <c r="C75" s="24"/>
      <c r="D75" s="24"/>
      <c r="E75" s="24"/>
      <c r="F75" s="24"/>
      <c r="G75" s="24"/>
      <c r="H75" s="24"/>
      <c r="I75" s="24"/>
      <c r="J75" s="24"/>
      <c r="K75" s="24"/>
      <c r="L75" s="24"/>
      <c r="M75" s="25"/>
      <c r="N75" s="242" t="s">
        <v>140</v>
      </c>
      <c r="O75" s="24"/>
      <c r="P75" s="24"/>
      <c r="Q75" s="24"/>
      <c r="R75" s="24"/>
      <c r="S75" s="24"/>
      <c r="T75" s="24"/>
      <c r="U75" s="24"/>
      <c r="V75" s="24"/>
      <c r="W75" s="24"/>
      <c r="X75" s="24"/>
      <c r="Y75" s="25"/>
      <c r="Z75" s="242" t="s">
        <v>141</v>
      </c>
      <c r="AA75" s="24"/>
      <c r="AB75" s="24"/>
      <c r="AC75" s="24"/>
      <c r="AD75" s="24"/>
      <c r="AE75" s="24"/>
      <c r="AF75" s="24"/>
      <c r="AG75" s="24"/>
      <c r="AH75" s="24"/>
      <c r="AI75" s="24"/>
      <c r="AJ75" s="24"/>
      <c r="AK75" s="25"/>
      <c r="AL75" s="242" t="s">
        <v>142</v>
      </c>
      <c r="AM75" s="24"/>
      <c r="AN75" s="24"/>
      <c r="AO75" s="24"/>
      <c r="AP75" s="24"/>
      <c r="AQ75" s="24"/>
      <c r="AR75" s="24"/>
      <c r="AS75" s="24"/>
      <c r="AT75" s="24"/>
      <c r="AU75" s="24"/>
      <c r="AV75" s="24"/>
      <c r="AW75" s="25"/>
      <c r="AX75" s="243"/>
      <c r="AY75" s="244" t="s">
        <v>143</v>
      </c>
      <c r="AZ75" s="24"/>
      <c r="BA75" s="24"/>
      <c r="BB75" s="25"/>
      <c r="BC75" s="245"/>
    </row>
    <row r="76" ht="15.75" customHeight="1">
      <c r="A76" s="246"/>
      <c r="B76" s="247"/>
      <c r="C76" s="11"/>
      <c r="D76" s="11"/>
      <c r="E76" s="11"/>
      <c r="F76" s="11"/>
      <c r="G76" s="11"/>
      <c r="H76" s="11"/>
      <c r="I76" s="11"/>
      <c r="J76" s="11"/>
      <c r="K76" s="11"/>
      <c r="L76" s="11"/>
      <c r="M76" s="248"/>
      <c r="N76" s="10"/>
      <c r="O76" s="11"/>
      <c r="P76" s="11"/>
      <c r="Q76" s="11"/>
      <c r="R76" s="11"/>
      <c r="S76" s="11"/>
      <c r="T76" s="11"/>
      <c r="U76" s="11"/>
      <c r="V76" s="11"/>
      <c r="W76" s="11"/>
      <c r="X76" s="11"/>
      <c r="Y76" s="248"/>
      <c r="Z76" s="10"/>
      <c r="AA76" s="11"/>
      <c r="AB76" s="11"/>
      <c r="AC76" s="11"/>
      <c r="AD76" s="11"/>
      <c r="AE76" s="11"/>
      <c r="AF76" s="11"/>
      <c r="AG76" s="11"/>
      <c r="AH76" s="11"/>
      <c r="AI76" s="11"/>
      <c r="AJ76" s="11"/>
      <c r="AK76" s="248"/>
      <c r="AL76" s="10"/>
      <c r="AM76" s="11"/>
      <c r="AN76" s="11"/>
      <c r="AO76" s="11"/>
      <c r="AP76" s="11"/>
      <c r="AQ76" s="11"/>
      <c r="AR76" s="11"/>
      <c r="AS76" s="11"/>
      <c r="AT76" s="11"/>
      <c r="AU76" s="11"/>
      <c r="AV76" s="11"/>
      <c r="AW76" s="248"/>
      <c r="AX76" s="249"/>
      <c r="AY76" s="250"/>
      <c r="BB76" s="209"/>
      <c r="BC76" s="251"/>
    </row>
    <row r="77" ht="15.75" customHeight="1">
      <c r="A77" s="252"/>
      <c r="B77" s="257"/>
      <c r="C77" s="5"/>
      <c r="D77" s="5"/>
      <c r="E77" s="5"/>
      <c r="F77" s="5"/>
      <c r="G77" s="5"/>
      <c r="H77" s="5"/>
      <c r="I77" s="5"/>
      <c r="J77" s="5"/>
      <c r="K77" s="5"/>
      <c r="L77" s="5"/>
      <c r="M77" s="225"/>
      <c r="N77" s="254"/>
      <c r="O77" s="5"/>
      <c r="P77" s="5"/>
      <c r="Q77" s="5"/>
      <c r="R77" s="5"/>
      <c r="S77" s="5"/>
      <c r="T77" s="5"/>
      <c r="U77" s="5"/>
      <c r="V77" s="5"/>
      <c r="W77" s="5"/>
      <c r="X77" s="5"/>
      <c r="Y77" s="225"/>
      <c r="Z77" s="254"/>
      <c r="AA77" s="5"/>
      <c r="AB77" s="5"/>
      <c r="AC77" s="5"/>
      <c r="AD77" s="5"/>
      <c r="AE77" s="5"/>
      <c r="AF77" s="5"/>
      <c r="AG77" s="5"/>
      <c r="AH77" s="5"/>
      <c r="AI77" s="5"/>
      <c r="AJ77" s="5"/>
      <c r="AK77" s="225"/>
      <c r="AL77" s="254"/>
      <c r="AM77" s="5"/>
      <c r="AN77" s="5"/>
      <c r="AO77" s="5"/>
      <c r="AP77" s="5"/>
      <c r="AQ77" s="5"/>
      <c r="AR77" s="5"/>
      <c r="AS77" s="5"/>
      <c r="AT77" s="5"/>
      <c r="AU77" s="5"/>
      <c r="AV77" s="5"/>
      <c r="AW77" s="225"/>
      <c r="AX77" s="256"/>
      <c r="AY77" s="257"/>
      <c r="AZ77" s="5"/>
      <c r="BA77" s="5"/>
      <c r="BB77" s="225"/>
      <c r="BC77" s="258"/>
    </row>
    <row r="78" ht="15.75" customHeight="1">
      <c r="A78" s="259"/>
      <c r="B78" s="250"/>
      <c r="M78" s="209"/>
      <c r="N78" s="260"/>
      <c r="Y78" s="209"/>
      <c r="Z78" s="260"/>
      <c r="AK78" s="209"/>
      <c r="AL78" s="260"/>
      <c r="AW78" s="209"/>
      <c r="AX78" s="256"/>
      <c r="AY78" s="250"/>
      <c r="BB78" s="209"/>
      <c r="BC78" s="258"/>
    </row>
    <row r="79" ht="15.75" customHeight="1">
      <c r="A79" s="259"/>
      <c r="B79" s="250"/>
      <c r="M79" s="209"/>
      <c r="N79" s="260"/>
      <c r="Y79" s="209"/>
      <c r="Z79" s="260"/>
      <c r="AK79" s="209"/>
      <c r="AL79" s="260"/>
      <c r="AW79" s="209"/>
      <c r="AX79" s="256"/>
      <c r="AY79" s="250"/>
      <c r="BB79" s="209"/>
      <c r="BC79" s="258"/>
    </row>
    <row r="80" ht="15.75" customHeight="1">
      <c r="A80" s="259"/>
      <c r="B80" s="30"/>
      <c r="C80" s="31"/>
      <c r="D80" s="31"/>
      <c r="E80" s="31"/>
      <c r="F80" s="31"/>
      <c r="G80" s="31"/>
      <c r="H80" s="31"/>
      <c r="I80" s="31"/>
      <c r="J80" s="31"/>
      <c r="K80" s="31"/>
      <c r="L80" s="31"/>
      <c r="M80" s="32"/>
      <c r="N80" s="261"/>
      <c r="O80" s="31"/>
      <c r="P80" s="31"/>
      <c r="Q80" s="31"/>
      <c r="R80" s="31"/>
      <c r="S80" s="31"/>
      <c r="T80" s="31"/>
      <c r="U80" s="31"/>
      <c r="V80" s="31"/>
      <c r="W80" s="31"/>
      <c r="X80" s="31"/>
      <c r="Y80" s="32"/>
      <c r="Z80" s="261"/>
      <c r="AA80" s="31"/>
      <c r="AB80" s="31"/>
      <c r="AC80" s="31"/>
      <c r="AD80" s="31"/>
      <c r="AE80" s="31"/>
      <c r="AF80" s="31"/>
      <c r="AG80" s="31"/>
      <c r="AH80" s="31"/>
      <c r="AI80" s="31"/>
      <c r="AJ80" s="31"/>
      <c r="AK80" s="32"/>
      <c r="AL80" s="261"/>
      <c r="AM80" s="31"/>
      <c r="AN80" s="31"/>
      <c r="AO80" s="31"/>
      <c r="AP80" s="31"/>
      <c r="AQ80" s="31"/>
      <c r="AR80" s="31"/>
      <c r="AS80" s="31"/>
      <c r="AT80" s="31"/>
      <c r="AU80" s="31"/>
      <c r="AV80" s="31"/>
      <c r="AW80" s="32"/>
      <c r="AX80" s="262"/>
      <c r="AY80" s="30"/>
      <c r="AZ80" s="31"/>
      <c r="BA80" s="31"/>
      <c r="BB80" s="32"/>
      <c r="BC80" s="258"/>
    </row>
    <row r="81" ht="15.75" customHeight="1">
      <c r="A81" s="263"/>
      <c r="B81" s="264"/>
      <c r="C81" s="265"/>
      <c r="D81" s="265"/>
      <c r="E81" s="265"/>
      <c r="F81" s="265"/>
      <c r="G81" s="265"/>
      <c r="H81" s="265"/>
      <c r="I81" s="265"/>
      <c r="J81" s="265"/>
      <c r="K81" s="265"/>
      <c r="L81" s="265"/>
      <c r="M81" s="265"/>
      <c r="N81" s="265"/>
      <c r="O81" s="265"/>
      <c r="P81" s="265"/>
      <c r="Q81" s="265"/>
      <c r="R81" s="265"/>
      <c r="S81" s="265"/>
      <c r="T81" s="265"/>
      <c r="U81" s="265"/>
      <c r="V81" s="265"/>
      <c r="W81" s="265"/>
      <c r="X81" s="265"/>
      <c r="Y81" s="265"/>
      <c r="Z81" s="265"/>
      <c r="AA81" s="265"/>
      <c r="AB81" s="265"/>
      <c r="AC81" s="265"/>
      <c r="AD81" s="265"/>
      <c r="AE81" s="265"/>
      <c r="AF81" s="265"/>
      <c r="AG81" s="265"/>
      <c r="AH81" s="265"/>
      <c r="AI81" s="265"/>
      <c r="AJ81" s="265"/>
      <c r="AK81" s="265"/>
      <c r="AL81" s="266"/>
      <c r="AM81" s="265"/>
      <c r="AN81" s="265"/>
      <c r="AO81" s="265"/>
      <c r="AP81" s="265"/>
      <c r="AQ81" s="265"/>
      <c r="AR81" s="265"/>
      <c r="AS81" s="265"/>
      <c r="AT81" s="265"/>
      <c r="AU81" s="265"/>
      <c r="AV81" s="265"/>
      <c r="AW81" s="265"/>
      <c r="AX81" s="265"/>
      <c r="AY81" s="265"/>
      <c r="AZ81" s="265"/>
      <c r="BA81" s="265"/>
      <c r="BB81" s="265"/>
      <c r="BC81" s="267"/>
    </row>
    <row r="82" ht="15.75" customHeight="1">
      <c r="A82" s="268"/>
      <c r="B82" s="269" t="s">
        <v>144</v>
      </c>
      <c r="C82" s="24"/>
      <c r="D82" s="24"/>
      <c r="E82" s="270"/>
      <c r="F82" s="271" t="s">
        <v>145</v>
      </c>
      <c r="G82" s="24"/>
      <c r="H82" s="24"/>
      <c r="I82" s="270"/>
      <c r="J82" s="272" t="s">
        <v>146</v>
      </c>
      <c r="K82" s="24"/>
      <c r="L82" s="24"/>
      <c r="M82" s="270"/>
      <c r="N82" s="272" t="s">
        <v>147</v>
      </c>
      <c r="O82" s="24"/>
      <c r="P82" s="24"/>
      <c r="Q82" s="270"/>
      <c r="R82" s="271" t="s">
        <v>148</v>
      </c>
      <c r="S82" s="24"/>
      <c r="T82" s="24"/>
      <c r="U82" s="24"/>
      <c r="V82" s="271" t="s">
        <v>149</v>
      </c>
      <c r="W82" s="24"/>
      <c r="X82" s="24"/>
      <c r="Y82" s="24"/>
      <c r="Z82" s="273" t="s">
        <v>150</v>
      </c>
      <c r="AA82" s="24"/>
      <c r="AB82" s="24"/>
      <c r="AC82" s="24"/>
      <c r="AD82" s="274" t="s">
        <v>151</v>
      </c>
      <c r="AE82" s="24"/>
      <c r="AF82" s="24"/>
      <c r="AG82" s="270"/>
      <c r="AH82" s="271"/>
      <c r="AI82" s="24"/>
      <c r="AJ82" s="24"/>
      <c r="AK82" s="270"/>
      <c r="AL82" s="271"/>
      <c r="AM82" s="24"/>
      <c r="AN82" s="24"/>
      <c r="AO82" s="270"/>
      <c r="AP82" s="273"/>
      <c r="AQ82" s="24"/>
      <c r="AR82" s="24"/>
      <c r="AS82" s="270"/>
      <c r="AT82" s="271"/>
      <c r="AU82" s="24"/>
      <c r="AV82" s="24"/>
      <c r="AW82" s="270"/>
      <c r="AX82" s="271"/>
      <c r="AY82" s="24"/>
      <c r="AZ82" s="24"/>
      <c r="BA82" s="24"/>
      <c r="BB82" s="25"/>
      <c r="BC82" s="268"/>
    </row>
    <row r="83" ht="15.75" customHeight="1">
      <c r="A83" s="268"/>
      <c r="B83" s="30"/>
      <c r="C83" s="31"/>
      <c r="D83" s="31"/>
      <c r="E83" s="275"/>
      <c r="F83" s="188"/>
      <c r="G83" s="31"/>
      <c r="H83" s="31"/>
      <c r="I83" s="275"/>
      <c r="J83" s="188"/>
      <c r="K83" s="31"/>
      <c r="L83" s="31"/>
      <c r="M83" s="275"/>
      <c r="N83" s="188"/>
      <c r="O83" s="31"/>
      <c r="P83" s="31"/>
      <c r="Q83" s="275"/>
      <c r="R83" s="188"/>
      <c r="S83" s="31"/>
      <c r="T83" s="31"/>
      <c r="U83" s="31"/>
      <c r="V83" s="188"/>
      <c r="W83" s="31"/>
      <c r="X83" s="31"/>
      <c r="Y83" s="31"/>
      <c r="Z83" s="188"/>
      <c r="AA83" s="31"/>
      <c r="AB83" s="31"/>
      <c r="AC83" s="31"/>
      <c r="AD83" s="188"/>
      <c r="AE83" s="31"/>
      <c r="AF83" s="31"/>
      <c r="AG83" s="275"/>
      <c r="AH83" s="188"/>
      <c r="AI83" s="31"/>
      <c r="AJ83" s="31"/>
      <c r="AK83" s="275"/>
      <c r="AL83" s="188"/>
      <c r="AM83" s="31"/>
      <c r="AN83" s="31"/>
      <c r="AO83" s="275"/>
      <c r="AP83" s="188"/>
      <c r="AQ83" s="31"/>
      <c r="AR83" s="31"/>
      <c r="AS83" s="275"/>
      <c r="AT83" s="188"/>
      <c r="AU83" s="31"/>
      <c r="AV83" s="31"/>
      <c r="AW83" s="275"/>
      <c r="AX83" s="188"/>
      <c r="AY83" s="31"/>
      <c r="AZ83" s="31"/>
      <c r="BA83" s="31"/>
      <c r="BB83" s="32"/>
      <c r="BC83" s="268"/>
    </row>
    <row r="84" ht="15.75" customHeight="1">
      <c r="A84" s="268"/>
      <c r="B84" s="276" t="s">
        <v>152</v>
      </c>
      <c r="E84" s="15"/>
      <c r="F84" s="277" t="s">
        <v>153</v>
      </c>
      <c r="I84" s="15"/>
      <c r="J84" s="278" t="s">
        <v>154</v>
      </c>
      <c r="M84" s="15"/>
      <c r="N84" s="278" t="s">
        <v>155</v>
      </c>
      <c r="Q84" s="15"/>
      <c r="R84" s="279" t="s">
        <v>156</v>
      </c>
      <c r="V84" s="279" t="s">
        <v>157</v>
      </c>
      <c r="Z84" s="278" t="s">
        <v>158</v>
      </c>
      <c r="AD84" s="280" t="s">
        <v>159</v>
      </c>
      <c r="AG84" s="15"/>
      <c r="AH84" s="279"/>
      <c r="AK84" s="15"/>
      <c r="AL84" s="279"/>
      <c r="AO84" s="15"/>
      <c r="AP84" s="278"/>
      <c r="AS84" s="15"/>
      <c r="AT84" s="279"/>
      <c r="AW84" s="15"/>
      <c r="AX84" s="279"/>
      <c r="BB84" s="209"/>
      <c r="BC84" s="268"/>
    </row>
    <row r="85" ht="15.75" customHeight="1">
      <c r="A85" s="268"/>
      <c r="B85" s="250"/>
      <c r="E85" s="15"/>
      <c r="F85" s="9"/>
      <c r="I85" s="15"/>
      <c r="J85" s="9"/>
      <c r="M85" s="15"/>
      <c r="N85" s="9"/>
      <c r="Q85" s="15"/>
      <c r="R85" s="9"/>
      <c r="V85" s="9"/>
      <c r="Z85" s="9"/>
      <c r="AD85" s="9"/>
      <c r="AG85" s="15"/>
      <c r="AH85" s="9"/>
      <c r="AK85" s="15"/>
      <c r="AL85" s="9"/>
      <c r="AO85" s="15"/>
      <c r="AP85" s="9"/>
      <c r="AS85" s="15"/>
      <c r="AT85" s="9"/>
      <c r="AW85" s="15"/>
      <c r="AX85" s="9"/>
      <c r="BB85" s="209"/>
      <c r="BC85" s="268"/>
    </row>
    <row r="86" ht="15.75" customHeight="1">
      <c r="A86" s="268"/>
      <c r="B86" s="250"/>
      <c r="E86" s="15"/>
      <c r="F86" s="9"/>
      <c r="I86" s="15"/>
      <c r="J86" s="9"/>
      <c r="M86" s="15"/>
      <c r="N86" s="9"/>
      <c r="Q86" s="15"/>
      <c r="R86" s="9"/>
      <c r="V86" s="9"/>
      <c r="Z86" s="9"/>
      <c r="AD86" s="9"/>
      <c r="AG86" s="15"/>
      <c r="AH86" s="9"/>
      <c r="AK86" s="15"/>
      <c r="AL86" s="9"/>
      <c r="AO86" s="15"/>
      <c r="AP86" s="9"/>
      <c r="AS86" s="15"/>
      <c r="AT86" s="9"/>
      <c r="AW86" s="15"/>
      <c r="AX86" s="9"/>
      <c r="BB86" s="209"/>
      <c r="BC86" s="268"/>
    </row>
    <row r="87" ht="15.75" customHeight="1">
      <c r="A87" s="281"/>
      <c r="B87" s="30"/>
      <c r="C87" s="31"/>
      <c r="D87" s="31"/>
      <c r="E87" s="275"/>
      <c r="F87" s="188"/>
      <c r="G87" s="31"/>
      <c r="H87" s="31"/>
      <c r="I87" s="275"/>
      <c r="J87" s="188"/>
      <c r="K87" s="31"/>
      <c r="L87" s="31"/>
      <c r="M87" s="275"/>
      <c r="N87" s="188"/>
      <c r="O87" s="31"/>
      <c r="P87" s="31"/>
      <c r="Q87" s="275"/>
      <c r="R87" s="9"/>
      <c r="V87" s="9"/>
      <c r="Z87" s="9"/>
      <c r="AD87" s="188"/>
      <c r="AE87" s="31"/>
      <c r="AF87" s="31"/>
      <c r="AG87" s="275"/>
      <c r="AH87" s="188"/>
      <c r="AI87" s="31"/>
      <c r="AJ87" s="31"/>
      <c r="AK87" s="275"/>
      <c r="AL87" s="188"/>
      <c r="AM87" s="31"/>
      <c r="AN87" s="31"/>
      <c r="AO87" s="275"/>
      <c r="AP87" s="188"/>
      <c r="AQ87" s="31"/>
      <c r="AR87" s="31"/>
      <c r="AS87" s="275"/>
      <c r="AT87" s="188"/>
      <c r="AU87" s="31"/>
      <c r="AV87" s="31"/>
      <c r="AW87" s="275"/>
      <c r="AX87" s="188"/>
      <c r="AY87" s="31"/>
      <c r="AZ87" s="31"/>
      <c r="BA87" s="31"/>
      <c r="BB87" s="32"/>
      <c r="BC87" s="268"/>
    </row>
    <row r="88" ht="15.75" customHeight="1" collapsed="1">
      <c r="A88" s="282"/>
      <c r="B88" s="265"/>
      <c r="C88" s="265"/>
      <c r="D88" s="265"/>
      <c r="E88" s="265"/>
      <c r="F88" s="265"/>
      <c r="G88" s="265"/>
      <c r="H88" s="265"/>
      <c r="I88" s="265"/>
      <c r="J88" s="265"/>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65"/>
      <c r="AK88" s="265"/>
      <c r="AL88" s="265"/>
      <c r="AM88" s="265"/>
      <c r="AN88" s="265"/>
      <c r="AO88" s="265"/>
      <c r="AP88" s="265"/>
      <c r="AQ88" s="265"/>
      <c r="AR88" s="265"/>
      <c r="AS88" s="265"/>
      <c r="AT88" s="265"/>
      <c r="AU88" s="265"/>
      <c r="AV88" s="265"/>
      <c r="AW88" s="265"/>
      <c r="AX88" s="284" t="s">
        <v>160</v>
      </c>
      <c r="BB88" s="209"/>
      <c r="BC88" s="285"/>
    </row>
    <row r="89" ht="15.75" hidden="1" customHeight="1" outlineLevel="1">
      <c r="A89" s="287" t="str">
        <f t="shared" ref="A89:A106" si="18">concatenate("cc&lt;=",I19," ",C19)</f>
        <v>cc&lt;=25 관찰력</v>
      </c>
    </row>
    <row r="90" ht="15.75" hidden="1" customHeight="1" outlineLevel="1">
      <c r="A90" s="287" t="str">
        <f t="shared" si="18"/>
        <v>cc&lt;=20 듣기</v>
      </c>
    </row>
    <row r="91" ht="15.75" hidden="1" customHeight="1" outlineLevel="1">
      <c r="A91" s="287" t="str">
        <f t="shared" si="18"/>
        <v>cc&lt;=20 자료조사</v>
      </c>
    </row>
    <row r="92" ht="15.75" hidden="1" customHeight="1" outlineLevel="1">
      <c r="A92" s="287" t="str">
        <f t="shared" si="18"/>
        <v>cc&lt;=5 컴퓨터 사용</v>
      </c>
    </row>
    <row r="93" ht="15.75" hidden="1" customHeight="1" outlineLevel="1">
      <c r="A93" s="287" t="str">
        <f t="shared" si="18"/>
        <v>cc&lt;=1 전자기기</v>
      </c>
    </row>
    <row r="94" ht="15.75" hidden="1" customHeight="1" outlineLevel="1">
      <c r="A94" s="287" t="str">
        <f t="shared" si="18"/>
        <v>cc&lt;=10 전기수리</v>
      </c>
    </row>
    <row r="95" ht="15.75" hidden="1" customHeight="1" outlineLevel="1">
      <c r="A95" s="287" t="str">
        <f t="shared" si="18"/>
        <v>cc&lt;=10 기계수리</v>
      </c>
    </row>
    <row r="96" ht="15.75" hidden="1" customHeight="1" outlineLevel="1">
      <c r="A96" s="287" t="str">
        <f t="shared" si="18"/>
        <v>cc&lt;=20 자동차 운전</v>
      </c>
    </row>
    <row r="97" ht="15.75" hidden="1" customHeight="1" outlineLevel="1">
      <c r="A97" s="287" t="str">
        <f t="shared" si="18"/>
        <v>cc&lt;=1 중장비 조작</v>
      </c>
    </row>
    <row r="98" ht="15.75" hidden="1" customHeight="1" outlineLevel="1">
      <c r="A98" s="287" t="str">
        <f t="shared" si="18"/>
        <v>cc&lt;=1 파일럿()</v>
      </c>
    </row>
    <row r="99" ht="15.75" hidden="1" customHeight="1" outlineLevel="1">
      <c r="A99" s="287" t="str">
        <f t="shared" si="18"/>
        <v>cc&lt;=0 </v>
      </c>
    </row>
    <row r="100" ht="15.75" hidden="1" customHeight="1" outlineLevel="1">
      <c r="A100" s="287" t="str">
        <f t="shared" si="18"/>
        <v>cc&lt;=10 항법</v>
      </c>
    </row>
    <row r="101" ht="15.75" hidden="1" customHeight="1" outlineLevel="1">
      <c r="A101" s="287" t="str">
        <f t="shared" si="18"/>
        <v>cc&lt;=10 추적</v>
      </c>
    </row>
    <row r="102" ht="15.75" hidden="1" customHeight="1" outlineLevel="1">
      <c r="A102" s="287" t="str">
        <f t="shared" si="18"/>
        <v>cc&lt;=5 승마</v>
      </c>
    </row>
    <row r="103" ht="15.75" hidden="1" customHeight="1" outlineLevel="1">
      <c r="A103" s="287" t="str">
        <f t="shared" si="18"/>
        <v>cc&lt;=5 조련</v>
      </c>
    </row>
    <row r="104" ht="15.75" hidden="1" customHeight="1" outlineLevel="1">
      <c r="A104" s="287" t="str">
        <f t="shared" si="18"/>
        <v>cc&lt;=0 </v>
      </c>
    </row>
    <row r="105" ht="15.75" hidden="1" customHeight="1" outlineLevel="1">
      <c r="A105" s="287" t="str">
        <f t="shared" si="18"/>
        <v>cc&lt;=1 폭파</v>
      </c>
    </row>
    <row r="106" ht="15.75" hidden="1" customHeight="1" outlineLevel="1">
      <c r="A106" s="287" t="str">
        <f t="shared" si="18"/>
        <v>cc&lt;=1 포격</v>
      </c>
    </row>
    <row r="107" ht="15.75" hidden="1" customHeight="1" outlineLevel="1">
      <c r="A107" s="287" t="str">
        <f t="shared" ref="A107:A124" si="19">concatenate("cc&lt;=",S19," ",M19)</f>
        <v>cc&lt;=0 재력</v>
      </c>
    </row>
    <row r="108" ht="15.75" hidden="1" customHeight="1" outlineLevel="1">
      <c r="A108" s="287" t="str">
        <f t="shared" si="19"/>
        <v>cc&lt;=5 회계</v>
      </c>
    </row>
    <row r="109" ht="15.75" hidden="1" customHeight="1" outlineLevel="1">
      <c r="A109" s="287" t="str">
        <f t="shared" si="19"/>
        <v>cc&lt;=10 자연</v>
      </c>
    </row>
    <row r="110" ht="15.75" hidden="1" customHeight="1" outlineLevel="1">
      <c r="A110" s="287" t="str">
        <f t="shared" si="19"/>
        <v>cc&lt;=1 과학()</v>
      </c>
    </row>
    <row r="111" ht="15.75" hidden="1" customHeight="1" outlineLevel="1">
      <c r="A111" s="287" t="str">
        <f t="shared" si="19"/>
        <v>cc&lt;=0 </v>
      </c>
    </row>
    <row r="112" ht="15.75" hidden="1" customHeight="1" outlineLevel="1">
      <c r="A112" s="287" t="str">
        <f t="shared" si="19"/>
        <v>cc&lt;=0 </v>
      </c>
    </row>
    <row r="113" ht="15.75" hidden="1" customHeight="1" outlineLevel="1">
      <c r="A113" s="287" t="str">
        <f t="shared" si="19"/>
        <v>cc&lt;=5 법률</v>
      </c>
    </row>
    <row r="114" ht="15.75" hidden="1" customHeight="1" outlineLevel="1">
      <c r="A114" s="287" t="str">
        <f t="shared" si="19"/>
        <v>cc&lt;=1 인류학</v>
      </c>
    </row>
    <row r="115" ht="15.75" hidden="1" customHeight="1" outlineLevel="1">
      <c r="A115" s="287" t="str">
        <f t="shared" si="19"/>
        <v>cc&lt;=5 역사</v>
      </c>
    </row>
    <row r="116" ht="15.75" hidden="1" customHeight="1" outlineLevel="1">
      <c r="A116" s="287" t="str">
        <f t="shared" si="19"/>
        <v>cc&lt;=1 고고학</v>
      </c>
    </row>
    <row r="117" ht="15.75" hidden="1" customHeight="1" outlineLevel="1">
      <c r="A117" s="287" t="str">
        <f t="shared" si="19"/>
        <v>cc&lt;=5 감정</v>
      </c>
    </row>
    <row r="118" ht="15.75" hidden="1" customHeight="1" outlineLevel="1">
      <c r="A118" s="287" t="str">
        <f t="shared" si="19"/>
        <v>cc&lt;=5 예술/공예</v>
      </c>
    </row>
    <row r="119" ht="15.75" hidden="1" customHeight="1" outlineLevel="1">
      <c r="A119" s="287" t="str">
        <f t="shared" si="19"/>
        <v>cc&lt;=0 </v>
      </c>
    </row>
    <row r="120" ht="15.75" hidden="1" customHeight="1" outlineLevel="1">
      <c r="A120" s="287" t="str">
        <f t="shared" si="19"/>
        <v>cc&lt;=1 독순술</v>
      </c>
    </row>
    <row r="121" ht="15.75" hidden="1" customHeight="1" outlineLevel="1">
      <c r="A121" s="287" t="str">
        <f t="shared" si="19"/>
        <v>cc&lt;=5 동물 다루기</v>
      </c>
    </row>
    <row r="122" ht="15.75" hidden="1" customHeight="1" outlineLevel="1">
      <c r="A122" s="287" t="str">
        <f t="shared" si="19"/>
        <v>cc&lt;=1 잠수</v>
      </c>
    </row>
    <row r="123" ht="15.75" hidden="1" customHeight="1" outlineLevel="1">
      <c r="A123" s="287" t="str">
        <f t="shared" si="19"/>
        <v>cc&lt;=1 최면술</v>
      </c>
    </row>
    <row r="124" ht="15.75" hidden="1" customHeight="1" outlineLevel="1">
      <c r="A124" s="287" t="str">
        <f t="shared" si="19"/>
        <v>cc&lt;=1 비밀 지식</v>
      </c>
    </row>
    <row r="125" ht="15.75" hidden="1" customHeight="1" outlineLevel="1">
      <c r="A125" s="287" t="str">
        <f t="shared" ref="A125:A142" si="20">concatenate("cc&lt;=",AC19," ",W19)</f>
        <v>cc&lt;=0 크툴루 신화</v>
      </c>
    </row>
    <row r="126" ht="15.75" hidden="1" customHeight="1" outlineLevel="1">
      <c r="A126" s="287" t="str">
        <f t="shared" si="20"/>
        <v>cc&lt;=5 오컬트</v>
      </c>
    </row>
    <row r="127" ht="15.75" hidden="1" customHeight="1" outlineLevel="1">
      <c r="A127" s="287" t="str">
        <f t="shared" si="20"/>
        <v>cc&lt;=1 정신분석</v>
      </c>
    </row>
    <row r="128" ht="15.75" hidden="1" customHeight="1" outlineLevel="1">
      <c r="A128" s="287" t="str">
        <f t="shared" si="20"/>
        <v>cc&lt;=10 심리학</v>
      </c>
    </row>
    <row r="129" ht="15.75" hidden="1" customHeight="1" outlineLevel="1">
      <c r="A129" s="287" t="str">
        <f t="shared" si="20"/>
        <v>cc&lt;=15 위협</v>
      </c>
    </row>
    <row r="130" ht="15.75" hidden="1" customHeight="1" outlineLevel="1">
      <c r="A130" s="287" t="str">
        <f t="shared" si="20"/>
        <v>cc&lt;=15 매혹</v>
      </c>
    </row>
    <row r="131" ht="15.75" hidden="1" customHeight="1" outlineLevel="1">
      <c r="A131" s="287" t="str">
        <f t="shared" si="20"/>
        <v>cc&lt;=5 말재주</v>
      </c>
    </row>
    <row r="132" ht="15.75" hidden="1" customHeight="1" outlineLevel="1">
      <c r="A132" s="287" t="str">
        <f t="shared" si="20"/>
        <v>cc&lt;=10 설득</v>
      </c>
    </row>
    <row r="133" ht="15.75" hidden="1" customHeight="1" outlineLevel="1">
      <c r="A133" s="287" t="str">
        <f t="shared" si="20"/>
        <v>cc&lt;=0 모국어</v>
      </c>
    </row>
    <row r="134" ht="15.75" hidden="1" customHeight="1" outlineLevel="1">
      <c r="A134" s="287" t="str">
        <f t="shared" si="20"/>
        <v>cc&lt;=1 외국어()</v>
      </c>
    </row>
    <row r="135" ht="15.75" hidden="1" customHeight="1" outlineLevel="1">
      <c r="A135" s="287" t="str">
        <f t="shared" si="20"/>
        <v>cc&lt;=0 </v>
      </c>
    </row>
    <row r="136" ht="15.75" hidden="1" customHeight="1" outlineLevel="1">
      <c r="A136" s="287" t="str">
        <f t="shared" si="20"/>
        <v>cc&lt;=20 투척</v>
      </c>
    </row>
    <row r="137" ht="15.75" hidden="1" customHeight="1" outlineLevel="1">
      <c r="A137" s="287" t="str">
        <f t="shared" si="20"/>
        <v>cc&lt;=25 근접전(격투)</v>
      </c>
    </row>
    <row r="138" ht="15.75" hidden="1" customHeight="1" outlineLevel="1">
      <c r="A138" s="287" t="str">
        <f t="shared" si="20"/>
        <v>cc&lt;=20 근접전(도검)</v>
      </c>
    </row>
    <row r="139" ht="15.75" hidden="1" customHeight="1" outlineLevel="1">
      <c r="A139" s="287" t="str">
        <f t="shared" si="20"/>
        <v>cc&lt;=15 근접전(도끼)</v>
      </c>
    </row>
    <row r="140" ht="15.75" hidden="1" customHeight="1" outlineLevel="1">
      <c r="A140" s="287" t="str">
        <f t="shared" si="20"/>
        <v>cc&lt;=20 근접전(창)</v>
      </c>
    </row>
    <row r="141" ht="15.75" hidden="1" customHeight="1" outlineLevel="1">
      <c r="A141" s="287" t="str">
        <f t="shared" si="20"/>
        <v>cc&lt;=5 근접전(채찍)</v>
      </c>
    </row>
    <row r="142" ht="15.75" hidden="1" customHeight="1" outlineLevel="1">
      <c r="A142" s="287" t="str">
        <f t="shared" si="20"/>
        <v>cc&lt;=10 근접전(기타)</v>
      </c>
    </row>
    <row r="143" ht="15.75" hidden="1" customHeight="1" outlineLevel="1">
      <c r="A143" s="287" t="str">
        <f t="shared" ref="A143:A160" si="21">concatenate("cc&lt;=",AM19," ",AG19)</f>
        <v>cc&lt;=1 의료</v>
      </c>
    </row>
    <row r="144" ht="15.75" hidden="1" customHeight="1" outlineLevel="1">
      <c r="A144" s="287" t="str">
        <f t="shared" si="21"/>
        <v>cc&lt;=30 응급처치</v>
      </c>
    </row>
    <row r="145" ht="15.75" hidden="1" customHeight="1" outlineLevel="1">
      <c r="A145" s="287" t="str">
        <f t="shared" si="21"/>
        <v>cc&lt;=10 생존술()</v>
      </c>
    </row>
    <row r="146" ht="15.75" hidden="1" customHeight="1" outlineLevel="1">
      <c r="A146" s="287" t="str">
        <f t="shared" si="21"/>
        <v>cc&lt;=20 수영</v>
      </c>
    </row>
    <row r="147" ht="15.75" hidden="1" customHeight="1" outlineLevel="1">
      <c r="A147" s="287" t="str">
        <f t="shared" si="21"/>
        <v>cc&lt;=20 오르기</v>
      </c>
    </row>
    <row r="148" ht="15.75" hidden="1" customHeight="1" outlineLevel="1">
      <c r="A148" s="287" t="str">
        <f t="shared" si="21"/>
        <v>cc&lt;=20 도약</v>
      </c>
    </row>
    <row r="149" ht="15.75" hidden="1" customHeight="1" outlineLevel="1">
      <c r="A149" s="287" t="str">
        <f t="shared" si="21"/>
        <v>cc&lt;=0 회피</v>
      </c>
    </row>
    <row r="150" ht="15.75" hidden="1" customHeight="1" outlineLevel="1">
      <c r="A150" s="287" t="str">
        <f t="shared" si="21"/>
        <v>cc&lt;=5 변장</v>
      </c>
    </row>
    <row r="151" ht="15.75" hidden="1" customHeight="1" outlineLevel="1">
      <c r="A151" s="287" t="str">
        <f t="shared" si="21"/>
        <v>cc&lt;=20 은밀행동</v>
      </c>
    </row>
    <row r="152" ht="15.75" hidden="1" customHeight="1" outlineLevel="1">
      <c r="A152" s="287" t="str">
        <f t="shared" si="21"/>
        <v>cc&lt;=10 손놀림</v>
      </c>
    </row>
    <row r="153" ht="15.75" hidden="1" customHeight="1" outlineLevel="1">
      <c r="A153" s="287" t="str">
        <f t="shared" si="21"/>
        <v>cc&lt;=1 열쇠공</v>
      </c>
    </row>
    <row r="154" ht="15.75" hidden="1" customHeight="1" outlineLevel="1">
      <c r="A154" s="287" t="str">
        <f t="shared" si="21"/>
        <v>cc&lt;=20 사격(권총)</v>
      </c>
    </row>
    <row r="155" ht="15.75" hidden="1" customHeight="1" outlineLevel="1">
      <c r="A155" s="287" t="str">
        <f t="shared" si="21"/>
        <v>cc&lt;=25 사격(소총)</v>
      </c>
    </row>
    <row r="156" ht="15.75" hidden="1" customHeight="1" outlineLevel="1">
      <c r="A156" s="287" t="str">
        <f t="shared" si="21"/>
        <v>cc&lt;=15 사격(기관단총)</v>
      </c>
    </row>
    <row r="157" ht="15.75" hidden="1" customHeight="1" outlineLevel="1">
      <c r="A157" s="287" t="str">
        <f t="shared" si="21"/>
        <v>cc&lt;=10 사격(기관총)</v>
      </c>
    </row>
    <row r="158" ht="15.75" hidden="1" customHeight="1" outlineLevel="1">
      <c r="A158" s="287" t="str">
        <f t="shared" si="21"/>
        <v>cc&lt;=15 사격(활)</v>
      </c>
    </row>
    <row r="159" ht="15.75" hidden="1" customHeight="1" outlineLevel="1">
      <c r="A159" s="287" t="str">
        <f t="shared" si="21"/>
        <v>cc&lt;=10 사격(중화기)</v>
      </c>
    </row>
    <row r="160" ht="15.75" hidden="1" customHeight="1" outlineLevel="1">
      <c r="A160" s="287" t="str">
        <f t="shared" si="21"/>
        <v>cc&lt;=10 화염방사기</v>
      </c>
    </row>
    <row r="161" ht="15.75" hidden="1" customHeight="1" outlineLevel="1">
      <c r="A161" s="287" t="str">
        <f>concatenate("cc&lt;=",V10," ","근력")</f>
        <v>cc&lt;= 근력</v>
      </c>
    </row>
    <row r="162" ht="15.75" hidden="1" customHeight="1" outlineLevel="1">
      <c r="A162" s="287" t="str">
        <f>concatenate("cc&lt;=",V12," ","건강")</f>
        <v>cc&lt;= 건강</v>
      </c>
    </row>
    <row r="163" ht="15.75" hidden="1" customHeight="1" outlineLevel="1">
      <c r="A163" s="287" t="str">
        <f>concatenate("cc&lt;=",V14," ","크기")</f>
        <v>cc&lt;= 크기</v>
      </c>
    </row>
    <row r="164" ht="15.75" hidden="1" customHeight="1" outlineLevel="1">
      <c r="A164" s="287" t="str">
        <f>concatenate("cc&lt;=",AD10," ","민첩")</f>
        <v>cc&lt;= 민첩</v>
      </c>
    </row>
    <row r="165" ht="15.75" hidden="1" customHeight="1" outlineLevel="1">
      <c r="A165" s="287" t="str">
        <f>concatenate("cc&lt;=",AD12," ","외모")</f>
        <v>cc&lt;= 외모</v>
      </c>
    </row>
    <row r="166" ht="15.75" hidden="1" customHeight="1" outlineLevel="1">
      <c r="A166" s="287" t="str">
        <f>concatenate("cc&lt;=",AD14," ","지능(아이디어)")</f>
        <v>cc&lt;= 지능(아이디어)</v>
      </c>
    </row>
    <row r="167" ht="15.75" hidden="1" customHeight="1" outlineLevel="1">
      <c r="A167" s="287" t="str">
        <f>concatenate("cc&lt;=",AL10," ","정신력")</f>
        <v>cc&lt;= 정신력</v>
      </c>
    </row>
    <row r="168" ht="15.75" hidden="1" customHeight="1" outlineLevel="1">
      <c r="A168" s="287" t="str">
        <f>concatenate("cc&lt;=",AL12," ","교육(지식)")</f>
        <v>cc&lt;= 교육(지식)</v>
      </c>
    </row>
    <row r="169" ht="15.75" hidden="1" customHeight="1" outlineLevel="1">
      <c r="A169" s="288" t="s">
        <v>162</v>
      </c>
    </row>
    <row r="170" ht="15.75" hidden="1" customHeight="1" outlineLevel="1">
      <c r="A170" s="288" t="s">
        <v>163</v>
      </c>
    </row>
    <row r="171" ht="15.75" hidden="1" customHeight="1" outlineLevel="1">
      <c r="A171" s="288" t="str">
        <f t="shared" ref="A171:A177" si="22">if(OR(B41="",S41=""),"",concatenate(S41," ","피해","(",B41,")"))</f>
        <v>1d3+{DB} 피해(맨손)</v>
      </c>
    </row>
    <row r="172" ht="15.75" hidden="1" customHeight="1" outlineLevel="1">
      <c r="A172" s="288" t="str">
        <f t="shared" si="22"/>
        <v/>
      </c>
    </row>
    <row r="173" ht="15.75" hidden="1" customHeight="1" outlineLevel="1">
      <c r="A173" s="288" t="str">
        <f t="shared" si="22"/>
        <v/>
      </c>
    </row>
    <row r="174" ht="15.75" hidden="1" customHeight="1" outlineLevel="1">
      <c r="A174" s="288" t="str">
        <f t="shared" si="22"/>
        <v/>
      </c>
    </row>
    <row r="175" ht="15.75" hidden="1" customHeight="1" outlineLevel="1">
      <c r="A175" s="288" t="str">
        <f t="shared" si="22"/>
        <v/>
      </c>
    </row>
    <row r="176" ht="15.75" hidden="1" customHeight="1" outlineLevel="1">
      <c r="A176" s="288" t="str">
        <f t="shared" si="22"/>
        <v/>
      </c>
    </row>
    <row r="177" ht="15.75" hidden="1" customHeight="1" outlineLevel="1">
      <c r="A177" s="288" t="str">
        <f t="shared" si="22"/>
        <v/>
      </c>
    </row>
    <row r="178" ht="15.75" customHeight="1">
      <c r="A178" s="288"/>
      <c r="B178" s="288"/>
      <c r="C178" s="288"/>
      <c r="D178" s="288"/>
      <c r="E178" s="288"/>
      <c r="F178" s="288"/>
      <c r="G178" s="288"/>
      <c r="H178" s="288"/>
      <c r="I178" s="288"/>
      <c r="J178" s="288"/>
      <c r="K178" s="288"/>
      <c r="L178" s="288"/>
      <c r="M178" s="288"/>
      <c r="N178" s="288"/>
      <c r="O178" s="287"/>
      <c r="P178" s="287"/>
      <c r="Q178" s="287"/>
      <c r="R178" s="287"/>
      <c r="S178" s="287"/>
      <c r="T178" s="287"/>
      <c r="U178" s="287"/>
      <c r="V178" s="287"/>
      <c r="W178" s="287"/>
      <c r="X178" s="287"/>
      <c r="Y178" s="287"/>
      <c r="Z178" s="287"/>
      <c r="AA178" s="287"/>
      <c r="AB178" s="287"/>
      <c r="AC178" s="287"/>
      <c r="AD178" s="287"/>
      <c r="AE178" s="287"/>
      <c r="AF178" s="287"/>
      <c r="AG178" s="287"/>
      <c r="AH178" s="287"/>
      <c r="AI178" s="287"/>
      <c r="AJ178" s="287"/>
      <c r="AK178" s="287"/>
      <c r="AL178" s="287"/>
      <c r="AM178" s="287"/>
      <c r="AN178" s="287"/>
      <c r="AO178" s="287"/>
      <c r="AP178" s="287"/>
      <c r="AQ178" s="287"/>
      <c r="AR178" s="287"/>
      <c r="AS178" s="287"/>
      <c r="AT178" s="287"/>
      <c r="AU178" s="287"/>
      <c r="AV178" s="287"/>
      <c r="AW178" s="287"/>
      <c r="AX178" s="287"/>
      <c r="AY178" s="287"/>
      <c r="AZ178" s="287"/>
      <c r="BA178" s="287"/>
      <c r="BB178" s="287"/>
      <c r="BC178" s="287"/>
    </row>
    <row r="179" ht="15.75" customHeight="1">
      <c r="A179" s="287"/>
      <c r="B179" s="287"/>
      <c r="C179" s="287"/>
      <c r="D179" s="287"/>
      <c r="E179" s="287"/>
      <c r="F179" s="287"/>
      <c r="G179" s="287"/>
      <c r="H179" s="287"/>
      <c r="I179" s="287"/>
      <c r="J179" s="287"/>
      <c r="K179" s="287"/>
      <c r="L179" s="287"/>
      <c r="M179" s="287"/>
      <c r="N179" s="287"/>
      <c r="O179" s="287"/>
      <c r="P179" s="287"/>
      <c r="Q179" s="287"/>
      <c r="R179" s="287"/>
      <c r="S179" s="287"/>
      <c r="T179" s="287"/>
      <c r="U179" s="287"/>
      <c r="V179" s="287"/>
      <c r="W179" s="287"/>
      <c r="X179" s="287"/>
      <c r="Y179" s="287"/>
      <c r="Z179" s="287"/>
      <c r="AA179" s="287"/>
      <c r="AB179" s="287"/>
      <c r="AC179" s="287"/>
      <c r="AD179" s="287"/>
      <c r="AE179" s="287"/>
      <c r="AF179" s="287"/>
      <c r="AG179" s="287"/>
      <c r="AH179" s="287"/>
      <c r="AI179" s="287"/>
      <c r="AJ179" s="287"/>
      <c r="AK179" s="287"/>
      <c r="AL179" s="287"/>
      <c r="AM179" s="287"/>
      <c r="AN179" s="287"/>
      <c r="AO179" s="287"/>
      <c r="AP179" s="287"/>
      <c r="AQ179" s="287"/>
      <c r="AR179" s="287"/>
      <c r="AS179" s="287"/>
      <c r="AT179" s="287"/>
      <c r="AU179" s="287"/>
      <c r="AV179" s="287"/>
      <c r="AW179" s="287"/>
      <c r="AX179" s="287"/>
      <c r="AY179" s="287"/>
      <c r="AZ179" s="287"/>
      <c r="BA179" s="287"/>
      <c r="BB179" s="287"/>
      <c r="BC179" s="287"/>
    </row>
    <row r="180" ht="15.75" customHeight="1">
      <c r="A180" s="287"/>
      <c r="B180" s="287"/>
      <c r="C180" s="287"/>
      <c r="D180" s="287"/>
      <c r="E180" s="287"/>
      <c r="F180" s="287"/>
      <c r="G180" s="287"/>
      <c r="H180" s="287"/>
      <c r="I180" s="287"/>
      <c r="J180" s="287"/>
      <c r="K180" s="287"/>
      <c r="L180" s="287"/>
      <c r="M180" s="287"/>
      <c r="N180" s="287"/>
      <c r="O180" s="287"/>
      <c r="P180" s="287"/>
      <c r="Q180" s="287"/>
      <c r="R180" s="287"/>
      <c r="S180" s="287"/>
      <c r="T180" s="287"/>
      <c r="U180" s="287"/>
      <c r="V180" s="287"/>
      <c r="W180" s="287"/>
      <c r="X180" s="287"/>
      <c r="Y180" s="287"/>
      <c r="Z180" s="287"/>
      <c r="AA180" s="287"/>
      <c r="AB180" s="287"/>
      <c r="AC180" s="287"/>
      <c r="AD180" s="287"/>
      <c r="AE180" s="287"/>
      <c r="AF180" s="287"/>
      <c r="AG180" s="287"/>
      <c r="AH180" s="287"/>
      <c r="AI180" s="287"/>
      <c r="AJ180" s="287"/>
      <c r="AK180" s="287"/>
      <c r="AL180" s="287"/>
      <c r="AM180" s="287"/>
      <c r="AN180" s="287"/>
      <c r="AO180" s="287"/>
      <c r="AP180" s="287"/>
      <c r="AQ180" s="287"/>
      <c r="AR180" s="287"/>
      <c r="AS180" s="287"/>
      <c r="AT180" s="287"/>
      <c r="AU180" s="287"/>
      <c r="AV180" s="287"/>
      <c r="AW180" s="287"/>
      <c r="AX180" s="287"/>
      <c r="AY180" s="287"/>
      <c r="AZ180" s="287"/>
      <c r="BA180" s="287"/>
      <c r="BB180" s="287"/>
      <c r="BC180" s="287"/>
    </row>
    <row r="181" ht="15.75" customHeight="1">
      <c r="A181" s="287"/>
      <c r="B181" s="287"/>
      <c r="C181" s="287"/>
      <c r="D181" s="287"/>
      <c r="E181" s="287"/>
      <c r="F181" s="287"/>
      <c r="G181" s="287"/>
      <c r="H181" s="287"/>
      <c r="I181" s="287"/>
      <c r="J181" s="287"/>
      <c r="K181" s="287"/>
      <c r="L181" s="287"/>
      <c r="M181" s="287"/>
      <c r="N181" s="287"/>
      <c r="O181" s="287"/>
      <c r="P181" s="287"/>
      <c r="Q181" s="287"/>
      <c r="R181" s="287"/>
      <c r="S181" s="287"/>
      <c r="T181" s="287"/>
      <c r="U181" s="287"/>
      <c r="V181" s="287"/>
      <c r="W181" s="287"/>
      <c r="X181" s="287"/>
      <c r="Y181" s="287"/>
      <c r="Z181" s="287"/>
      <c r="AA181" s="287"/>
      <c r="AB181" s="287"/>
      <c r="AC181" s="287"/>
      <c r="AD181" s="287"/>
      <c r="AE181" s="287"/>
      <c r="AF181" s="287"/>
      <c r="AG181" s="287"/>
      <c r="AH181" s="287"/>
      <c r="AI181" s="287"/>
      <c r="AJ181" s="287"/>
      <c r="AK181" s="287"/>
      <c r="AL181" s="287"/>
      <c r="AM181" s="287"/>
      <c r="AN181" s="287"/>
      <c r="AO181" s="287"/>
      <c r="AP181" s="287"/>
      <c r="AQ181" s="287"/>
      <c r="AR181" s="287"/>
      <c r="AS181" s="287"/>
      <c r="AT181" s="287"/>
      <c r="AU181" s="287"/>
      <c r="AV181" s="287"/>
      <c r="AW181" s="287"/>
      <c r="AX181" s="287"/>
      <c r="AY181" s="287"/>
      <c r="AZ181" s="287"/>
      <c r="BA181" s="287"/>
      <c r="BB181" s="287"/>
      <c r="BC181" s="287"/>
    </row>
    <row r="182" ht="15.75" customHeight="1">
      <c r="A182" s="287"/>
      <c r="B182" s="287"/>
      <c r="C182" s="287"/>
      <c r="D182" s="287"/>
      <c r="E182" s="287"/>
      <c r="F182" s="287"/>
      <c r="G182" s="287"/>
      <c r="H182" s="287"/>
      <c r="I182" s="287"/>
      <c r="J182" s="287"/>
      <c r="K182" s="287"/>
      <c r="L182" s="287"/>
      <c r="M182" s="287"/>
      <c r="N182" s="287"/>
      <c r="O182" s="287"/>
      <c r="P182" s="287"/>
      <c r="Q182" s="287"/>
      <c r="R182" s="287"/>
      <c r="S182" s="287"/>
      <c r="T182" s="287"/>
      <c r="U182" s="287"/>
      <c r="V182" s="287"/>
      <c r="W182" s="287"/>
      <c r="X182" s="287"/>
      <c r="Y182" s="287"/>
      <c r="Z182" s="287"/>
      <c r="AA182" s="287"/>
      <c r="AB182" s="287"/>
      <c r="AC182" s="287"/>
      <c r="AD182" s="287"/>
      <c r="AE182" s="287"/>
      <c r="AF182" s="287"/>
      <c r="AG182" s="287"/>
      <c r="AH182" s="287"/>
      <c r="AI182" s="287"/>
      <c r="AJ182" s="287"/>
      <c r="AK182" s="287"/>
      <c r="AL182" s="287"/>
      <c r="AM182" s="287"/>
      <c r="AN182" s="287"/>
      <c r="AO182" s="287"/>
      <c r="AP182" s="287"/>
      <c r="AQ182" s="287"/>
      <c r="AR182" s="287"/>
      <c r="AS182" s="287"/>
      <c r="AT182" s="287"/>
      <c r="AU182" s="287"/>
      <c r="AV182" s="287"/>
      <c r="AW182" s="287"/>
      <c r="AX182" s="287"/>
      <c r="AY182" s="287"/>
      <c r="AZ182" s="287"/>
      <c r="BA182" s="287"/>
      <c r="BB182" s="287"/>
      <c r="BC182" s="287"/>
    </row>
    <row r="183" ht="15.75" customHeight="1">
      <c r="A183" s="287"/>
      <c r="B183" s="287"/>
      <c r="C183" s="287"/>
      <c r="D183" s="287"/>
      <c r="E183" s="287"/>
      <c r="F183" s="287"/>
      <c r="G183" s="287"/>
      <c r="H183" s="287"/>
      <c r="I183" s="287"/>
      <c r="J183" s="287"/>
      <c r="K183" s="287"/>
      <c r="L183" s="287"/>
      <c r="M183" s="287"/>
      <c r="N183" s="287"/>
      <c r="O183" s="287"/>
      <c r="P183" s="287"/>
      <c r="Q183" s="287"/>
      <c r="R183" s="287"/>
      <c r="S183" s="287"/>
      <c r="T183" s="287"/>
      <c r="U183" s="287"/>
      <c r="V183" s="287"/>
      <c r="W183" s="287"/>
      <c r="X183" s="287"/>
      <c r="Y183" s="287"/>
      <c r="Z183" s="287"/>
      <c r="AA183" s="287"/>
      <c r="AB183" s="287"/>
      <c r="AC183" s="287"/>
      <c r="AD183" s="287"/>
      <c r="AE183" s="287"/>
      <c r="AF183" s="287"/>
      <c r="AG183" s="287"/>
      <c r="AH183" s="287"/>
      <c r="AI183" s="287"/>
      <c r="AJ183" s="287"/>
      <c r="AK183" s="287"/>
      <c r="AL183" s="287"/>
      <c r="AM183" s="287"/>
      <c r="AN183" s="287"/>
      <c r="AO183" s="287"/>
      <c r="AP183" s="287"/>
      <c r="AQ183" s="287"/>
      <c r="AR183" s="287"/>
      <c r="AS183" s="287"/>
      <c r="AT183" s="287"/>
      <c r="AU183" s="287"/>
      <c r="AV183" s="287"/>
      <c r="AW183" s="287"/>
      <c r="AX183" s="287"/>
      <c r="AY183" s="287"/>
      <c r="AZ183" s="287"/>
      <c r="BA183" s="287"/>
      <c r="BB183" s="287"/>
      <c r="BC183" s="287"/>
    </row>
    <row r="184" ht="15.75" customHeight="1">
      <c r="A184" s="287"/>
      <c r="B184" s="287"/>
      <c r="C184" s="287"/>
      <c r="D184" s="287"/>
      <c r="E184" s="287"/>
      <c r="F184" s="287"/>
      <c r="G184" s="287"/>
      <c r="H184" s="287"/>
      <c r="I184" s="287"/>
      <c r="J184" s="287"/>
      <c r="K184" s="287"/>
      <c r="L184" s="287"/>
      <c r="M184" s="287"/>
      <c r="N184" s="287"/>
      <c r="O184" s="287"/>
      <c r="P184" s="287"/>
      <c r="Q184" s="287"/>
      <c r="R184" s="287"/>
      <c r="S184" s="287"/>
      <c r="T184" s="287"/>
      <c r="U184" s="287"/>
      <c r="V184" s="287"/>
      <c r="W184" s="287"/>
      <c r="X184" s="287"/>
      <c r="Y184" s="287"/>
      <c r="Z184" s="287"/>
      <c r="AA184" s="287"/>
      <c r="AB184" s="287"/>
      <c r="AC184" s="287"/>
      <c r="AD184" s="287"/>
      <c r="AE184" s="287"/>
      <c r="AF184" s="287"/>
      <c r="AG184" s="287"/>
      <c r="AH184" s="287"/>
      <c r="AI184" s="287"/>
      <c r="AJ184" s="287"/>
      <c r="AK184" s="287"/>
      <c r="AL184" s="287"/>
      <c r="AM184" s="287"/>
      <c r="AN184" s="287"/>
      <c r="AO184" s="287"/>
      <c r="AP184" s="287"/>
      <c r="AQ184" s="287"/>
      <c r="AR184" s="287"/>
      <c r="AS184" s="287"/>
      <c r="AT184" s="287"/>
      <c r="AU184" s="287"/>
      <c r="AV184" s="287"/>
      <c r="AW184" s="287"/>
      <c r="AX184" s="287"/>
      <c r="AY184" s="287"/>
      <c r="AZ184" s="287"/>
      <c r="BA184" s="287"/>
      <c r="BB184" s="287"/>
      <c r="BC184" s="287"/>
    </row>
    <row r="185" ht="15.75" customHeight="1">
      <c r="A185" s="287"/>
      <c r="B185" s="287"/>
      <c r="C185" s="287"/>
      <c r="D185" s="287"/>
      <c r="E185" s="287"/>
      <c r="F185" s="287"/>
      <c r="G185" s="287"/>
      <c r="H185" s="287"/>
      <c r="I185" s="287"/>
      <c r="J185" s="287"/>
      <c r="K185" s="287"/>
      <c r="L185" s="287"/>
      <c r="M185" s="287"/>
      <c r="N185" s="287"/>
      <c r="O185" s="287"/>
      <c r="P185" s="287"/>
      <c r="Q185" s="287"/>
      <c r="R185" s="287"/>
      <c r="S185" s="287"/>
      <c r="T185" s="287"/>
      <c r="U185" s="287"/>
      <c r="V185" s="287"/>
      <c r="W185" s="287"/>
      <c r="X185" s="287"/>
      <c r="Y185" s="287"/>
      <c r="Z185" s="287"/>
      <c r="AA185" s="287"/>
      <c r="AB185" s="287"/>
      <c r="AC185" s="287"/>
      <c r="AD185" s="287"/>
      <c r="AE185" s="287"/>
      <c r="AF185" s="287"/>
      <c r="AG185" s="287"/>
      <c r="AH185" s="287"/>
      <c r="AI185" s="287"/>
      <c r="AJ185" s="287"/>
      <c r="AK185" s="287"/>
      <c r="AL185" s="287"/>
      <c r="AM185" s="287"/>
      <c r="AN185" s="287"/>
      <c r="AO185" s="287"/>
      <c r="AP185" s="287"/>
      <c r="AQ185" s="287"/>
      <c r="AR185" s="287"/>
      <c r="AS185" s="287"/>
      <c r="AT185" s="287"/>
      <c r="AU185" s="287"/>
      <c r="AV185" s="287"/>
      <c r="AW185" s="287"/>
      <c r="AX185" s="287"/>
      <c r="AY185" s="287"/>
      <c r="AZ185" s="287"/>
      <c r="BA185" s="287"/>
      <c r="BB185" s="287"/>
      <c r="BC185" s="287"/>
    </row>
    <row r="186" ht="15.75" customHeight="1">
      <c r="A186" s="287"/>
      <c r="B186" s="287"/>
      <c r="C186" s="287"/>
      <c r="D186" s="287"/>
      <c r="E186" s="287"/>
      <c r="F186" s="287"/>
      <c r="G186" s="287"/>
      <c r="H186" s="287"/>
      <c r="I186" s="287"/>
      <c r="J186" s="287"/>
      <c r="K186" s="287"/>
      <c r="L186" s="287"/>
      <c r="M186" s="287"/>
      <c r="N186" s="287"/>
      <c r="O186" s="287"/>
      <c r="P186" s="287"/>
      <c r="Q186" s="287"/>
      <c r="R186" s="287"/>
      <c r="S186" s="287"/>
      <c r="T186" s="287"/>
      <c r="U186" s="287"/>
      <c r="V186" s="287"/>
      <c r="W186" s="287"/>
      <c r="X186" s="287"/>
      <c r="Y186" s="287"/>
      <c r="Z186" s="287"/>
      <c r="AA186" s="287"/>
      <c r="AB186" s="287"/>
      <c r="AC186" s="287"/>
      <c r="AD186" s="287"/>
      <c r="AE186" s="287"/>
      <c r="AF186" s="287"/>
      <c r="AG186" s="287"/>
      <c r="AH186" s="287"/>
      <c r="AI186" s="287"/>
      <c r="AJ186" s="287"/>
      <c r="AK186" s="287"/>
      <c r="AL186" s="287"/>
      <c r="AM186" s="287"/>
      <c r="AN186" s="287"/>
      <c r="AO186" s="287"/>
      <c r="AP186" s="287"/>
      <c r="AQ186" s="287"/>
      <c r="AR186" s="287"/>
      <c r="AS186" s="287"/>
      <c r="AT186" s="287"/>
      <c r="AU186" s="287"/>
      <c r="AV186" s="287"/>
      <c r="AW186" s="287"/>
      <c r="AX186" s="287"/>
      <c r="AY186" s="287"/>
      <c r="AZ186" s="287"/>
      <c r="BA186" s="287"/>
      <c r="BB186" s="287"/>
      <c r="BC186" s="287"/>
    </row>
    <row r="187" ht="15.75" customHeight="1">
      <c r="A187" s="287"/>
      <c r="B187" s="287"/>
      <c r="C187" s="287"/>
      <c r="D187" s="287"/>
      <c r="E187" s="287"/>
      <c r="F187" s="287"/>
      <c r="G187" s="287"/>
      <c r="H187" s="287"/>
      <c r="I187" s="287"/>
      <c r="J187" s="287"/>
      <c r="K187" s="287"/>
      <c r="L187" s="287"/>
      <c r="M187" s="287"/>
      <c r="N187" s="287"/>
      <c r="O187" s="287"/>
      <c r="P187" s="287"/>
      <c r="Q187" s="287"/>
      <c r="R187" s="287"/>
      <c r="S187" s="287"/>
      <c r="T187" s="287"/>
      <c r="U187" s="287"/>
      <c r="V187" s="287"/>
      <c r="W187" s="287"/>
      <c r="X187" s="287"/>
      <c r="Y187" s="287"/>
      <c r="Z187" s="287"/>
      <c r="AA187" s="287"/>
      <c r="AB187" s="287"/>
      <c r="AC187" s="287"/>
      <c r="AD187" s="287"/>
      <c r="AE187" s="287"/>
      <c r="AF187" s="287"/>
      <c r="AG187" s="287"/>
      <c r="AH187" s="287"/>
      <c r="AI187" s="287"/>
      <c r="AJ187" s="287"/>
      <c r="AK187" s="287"/>
      <c r="AL187" s="287"/>
      <c r="AM187" s="287"/>
      <c r="AN187" s="287"/>
      <c r="AO187" s="287"/>
      <c r="AP187" s="287"/>
      <c r="AQ187" s="287"/>
      <c r="AR187" s="287"/>
      <c r="AS187" s="287"/>
      <c r="AT187" s="287"/>
      <c r="AU187" s="287"/>
      <c r="AV187" s="287"/>
      <c r="AW187" s="287"/>
      <c r="AX187" s="287"/>
      <c r="AY187" s="287"/>
      <c r="AZ187" s="287"/>
      <c r="BA187" s="287"/>
      <c r="BB187" s="287"/>
      <c r="BC187" s="287"/>
    </row>
    <row r="188" ht="15.75" customHeight="1">
      <c r="A188" s="287"/>
      <c r="B188" s="287"/>
      <c r="C188" s="287"/>
      <c r="D188" s="287"/>
      <c r="E188" s="287"/>
      <c r="F188" s="287"/>
      <c r="G188" s="287"/>
      <c r="H188" s="287"/>
      <c r="I188" s="287"/>
      <c r="J188" s="287"/>
      <c r="K188" s="287"/>
      <c r="L188" s="287"/>
      <c r="M188" s="287"/>
      <c r="N188" s="287"/>
      <c r="O188" s="287"/>
      <c r="P188" s="287"/>
      <c r="Q188" s="287"/>
      <c r="R188" s="287"/>
      <c r="S188" s="287"/>
      <c r="T188" s="287"/>
      <c r="U188" s="287"/>
      <c r="V188" s="287"/>
      <c r="W188" s="287"/>
      <c r="X188" s="287"/>
      <c r="Y188" s="287"/>
      <c r="Z188" s="287"/>
      <c r="AA188" s="287"/>
      <c r="AB188" s="287"/>
      <c r="AC188" s="287"/>
      <c r="AD188" s="287"/>
      <c r="AE188" s="287"/>
      <c r="AF188" s="287"/>
      <c r="AG188" s="287"/>
      <c r="AH188" s="287"/>
      <c r="AI188" s="287"/>
      <c r="AJ188" s="287"/>
      <c r="AK188" s="287"/>
      <c r="AL188" s="287"/>
      <c r="AM188" s="287"/>
      <c r="AN188" s="287"/>
      <c r="AO188" s="287"/>
      <c r="AP188" s="287"/>
      <c r="AQ188" s="287"/>
      <c r="AR188" s="287"/>
      <c r="AS188" s="287"/>
      <c r="AT188" s="287"/>
      <c r="AU188" s="287"/>
      <c r="AV188" s="287"/>
      <c r="AW188" s="287"/>
      <c r="AX188" s="287"/>
      <c r="AY188" s="287"/>
      <c r="AZ188" s="287"/>
      <c r="BA188" s="287"/>
      <c r="BB188" s="287"/>
      <c r="BC188" s="287"/>
    </row>
    <row r="189" ht="15.75" customHeight="1">
      <c r="A189" s="287"/>
      <c r="B189" s="287"/>
      <c r="C189" s="287"/>
      <c r="D189" s="287"/>
      <c r="E189" s="287"/>
      <c r="F189" s="287"/>
      <c r="G189" s="287"/>
      <c r="H189" s="287"/>
      <c r="I189" s="287"/>
      <c r="J189" s="287"/>
      <c r="K189" s="287"/>
      <c r="L189" s="287"/>
      <c r="M189" s="287"/>
      <c r="N189" s="287"/>
      <c r="O189" s="287"/>
      <c r="P189" s="287"/>
      <c r="Q189" s="287"/>
      <c r="R189" s="287"/>
      <c r="S189" s="287"/>
      <c r="T189" s="287"/>
      <c r="U189" s="287"/>
      <c r="V189" s="287"/>
      <c r="W189" s="287"/>
      <c r="X189" s="287"/>
      <c r="Y189" s="287"/>
      <c r="Z189" s="287"/>
      <c r="AA189" s="287"/>
      <c r="AB189" s="287"/>
      <c r="AC189" s="287"/>
      <c r="AD189" s="287"/>
      <c r="AE189" s="287"/>
      <c r="AF189" s="287"/>
      <c r="AG189" s="287"/>
      <c r="AH189" s="287"/>
      <c r="AI189" s="287"/>
      <c r="AJ189" s="287"/>
      <c r="AK189" s="287"/>
      <c r="AL189" s="287"/>
      <c r="AM189" s="287"/>
      <c r="AN189" s="287"/>
      <c r="AO189" s="287"/>
      <c r="AP189" s="287"/>
      <c r="AQ189" s="287"/>
      <c r="AR189" s="287"/>
      <c r="AS189" s="287"/>
      <c r="AT189" s="287"/>
      <c r="AU189" s="287"/>
      <c r="AV189" s="287"/>
      <c r="AW189" s="287"/>
      <c r="AX189" s="287"/>
      <c r="AY189" s="287"/>
      <c r="AZ189" s="287"/>
      <c r="BA189" s="287"/>
      <c r="BB189" s="287"/>
      <c r="BC189" s="287"/>
    </row>
    <row r="190" ht="15.75" customHeight="1">
      <c r="A190" s="287"/>
      <c r="B190" s="287"/>
      <c r="C190" s="287"/>
      <c r="D190" s="287"/>
      <c r="E190" s="287"/>
      <c r="F190" s="287"/>
      <c r="G190" s="287"/>
      <c r="H190" s="287"/>
      <c r="I190" s="287"/>
      <c r="J190" s="287"/>
      <c r="K190" s="287"/>
      <c r="L190" s="287"/>
      <c r="M190" s="287"/>
      <c r="N190" s="287"/>
      <c r="O190" s="287"/>
      <c r="P190" s="287"/>
      <c r="Q190" s="287"/>
      <c r="R190" s="287"/>
      <c r="S190" s="287"/>
      <c r="T190" s="287"/>
      <c r="U190" s="287"/>
      <c r="V190" s="287"/>
      <c r="W190" s="287"/>
      <c r="X190" s="287"/>
      <c r="Y190" s="287"/>
      <c r="Z190" s="287"/>
      <c r="AA190" s="287"/>
      <c r="AB190" s="287"/>
      <c r="AC190" s="287"/>
      <c r="AD190" s="287"/>
      <c r="AE190" s="287"/>
      <c r="AF190" s="287"/>
      <c r="AG190" s="287"/>
      <c r="AH190" s="287"/>
      <c r="AI190" s="287"/>
      <c r="AJ190" s="287"/>
      <c r="AK190" s="287"/>
      <c r="AL190" s="287"/>
      <c r="AM190" s="287"/>
      <c r="AN190" s="287"/>
      <c r="AO190" s="287"/>
      <c r="AP190" s="287"/>
      <c r="AQ190" s="287"/>
      <c r="AR190" s="287"/>
      <c r="AS190" s="287"/>
      <c r="AT190" s="287"/>
      <c r="AU190" s="287"/>
      <c r="AV190" s="287"/>
      <c r="AW190" s="287"/>
      <c r="AX190" s="287"/>
      <c r="AY190" s="287"/>
      <c r="AZ190" s="287"/>
      <c r="BA190" s="287"/>
      <c r="BB190" s="287"/>
      <c r="BC190" s="287"/>
    </row>
    <row r="191" ht="15.75" customHeight="1">
      <c r="A191" s="287"/>
      <c r="B191" s="287"/>
      <c r="C191" s="287"/>
      <c r="D191" s="287"/>
      <c r="E191" s="287"/>
      <c r="F191" s="287"/>
      <c r="G191" s="287"/>
      <c r="H191" s="287"/>
      <c r="I191" s="287"/>
      <c r="J191" s="287"/>
      <c r="K191" s="287"/>
      <c r="L191" s="287"/>
      <c r="M191" s="287"/>
      <c r="N191" s="287"/>
      <c r="O191" s="287"/>
      <c r="P191" s="287"/>
      <c r="Q191" s="287"/>
      <c r="R191" s="287"/>
      <c r="S191" s="287"/>
      <c r="T191" s="287"/>
      <c r="U191" s="287"/>
      <c r="V191" s="287"/>
      <c r="W191" s="287"/>
      <c r="X191" s="287"/>
      <c r="Y191" s="287"/>
      <c r="Z191" s="287"/>
      <c r="AA191" s="287"/>
      <c r="AB191" s="287"/>
      <c r="AC191" s="287"/>
      <c r="AD191" s="287"/>
      <c r="AE191" s="287"/>
      <c r="AF191" s="287"/>
      <c r="AG191" s="287"/>
      <c r="AH191" s="287"/>
      <c r="AI191" s="287"/>
      <c r="AJ191" s="287"/>
      <c r="AK191" s="287"/>
      <c r="AL191" s="287"/>
      <c r="AM191" s="287"/>
      <c r="AN191" s="287"/>
      <c r="AO191" s="287"/>
      <c r="AP191" s="287"/>
      <c r="AQ191" s="287"/>
      <c r="AR191" s="287"/>
      <c r="AS191" s="287"/>
      <c r="AT191" s="287"/>
      <c r="AU191" s="287"/>
      <c r="AV191" s="287"/>
      <c r="AW191" s="287"/>
      <c r="AX191" s="287"/>
      <c r="AY191" s="287"/>
      <c r="AZ191" s="287"/>
      <c r="BA191" s="287"/>
      <c r="BB191" s="287"/>
      <c r="BC191" s="287"/>
    </row>
    <row r="192" ht="15.75" customHeight="1">
      <c r="A192" s="287"/>
      <c r="B192" s="287"/>
      <c r="C192" s="287"/>
      <c r="D192" s="287"/>
      <c r="E192" s="287"/>
      <c r="F192" s="287"/>
      <c r="G192" s="287"/>
      <c r="H192" s="287"/>
      <c r="I192" s="287"/>
      <c r="J192" s="287"/>
      <c r="K192" s="287"/>
      <c r="L192" s="287"/>
      <c r="M192" s="287"/>
      <c r="N192" s="287"/>
      <c r="O192" s="287"/>
      <c r="P192" s="287"/>
      <c r="Q192" s="287"/>
      <c r="R192" s="287"/>
      <c r="S192" s="287"/>
      <c r="T192" s="287"/>
      <c r="U192" s="287"/>
      <c r="V192" s="287"/>
      <c r="W192" s="287"/>
      <c r="X192" s="287"/>
      <c r="Y192" s="287"/>
      <c r="Z192" s="287"/>
      <c r="AA192" s="287"/>
      <c r="AB192" s="287"/>
      <c r="AC192" s="287"/>
      <c r="AD192" s="287"/>
      <c r="AE192" s="287"/>
      <c r="AF192" s="287"/>
      <c r="AG192" s="287"/>
      <c r="AH192" s="287"/>
      <c r="AI192" s="287"/>
      <c r="AJ192" s="287"/>
      <c r="AK192" s="287"/>
      <c r="AL192" s="287"/>
      <c r="AM192" s="287"/>
      <c r="AN192" s="287"/>
      <c r="AO192" s="287"/>
      <c r="AP192" s="287"/>
      <c r="AQ192" s="287"/>
      <c r="AR192" s="287"/>
      <c r="AS192" s="287"/>
      <c r="AT192" s="287"/>
      <c r="AU192" s="287"/>
      <c r="AV192" s="287"/>
      <c r="AW192" s="287"/>
      <c r="AX192" s="287"/>
      <c r="AY192" s="287"/>
      <c r="AZ192" s="287"/>
      <c r="BA192" s="287"/>
      <c r="BB192" s="287"/>
      <c r="BC192" s="287"/>
    </row>
    <row r="193" ht="15.75" customHeight="1">
      <c r="A193" s="287"/>
      <c r="B193" s="287"/>
      <c r="C193" s="287"/>
      <c r="D193" s="287"/>
      <c r="E193" s="287"/>
      <c r="F193" s="287"/>
      <c r="G193" s="287"/>
      <c r="H193" s="287"/>
      <c r="I193" s="287"/>
      <c r="J193" s="287"/>
      <c r="K193" s="287"/>
      <c r="L193" s="287"/>
      <c r="M193" s="287"/>
      <c r="N193" s="287"/>
      <c r="O193" s="287"/>
      <c r="P193" s="287"/>
      <c r="Q193" s="287"/>
      <c r="R193" s="287"/>
      <c r="S193" s="287"/>
      <c r="T193" s="287"/>
      <c r="U193" s="287"/>
      <c r="V193" s="287"/>
      <c r="W193" s="287"/>
      <c r="X193" s="287"/>
      <c r="Y193" s="287"/>
      <c r="Z193" s="287"/>
      <c r="AA193" s="287"/>
      <c r="AB193" s="287"/>
      <c r="AC193" s="287"/>
      <c r="AD193" s="287"/>
      <c r="AE193" s="287"/>
      <c r="AF193" s="287"/>
      <c r="AG193" s="287"/>
      <c r="AH193" s="287"/>
      <c r="AI193" s="287"/>
      <c r="AJ193" s="287"/>
      <c r="AK193" s="287"/>
      <c r="AL193" s="287"/>
      <c r="AM193" s="287"/>
      <c r="AN193" s="287"/>
      <c r="AO193" s="287"/>
      <c r="AP193" s="287"/>
      <c r="AQ193" s="287"/>
      <c r="AR193" s="287"/>
      <c r="AS193" s="287"/>
      <c r="AT193" s="287"/>
      <c r="AU193" s="287"/>
      <c r="AV193" s="287"/>
      <c r="AW193" s="287"/>
      <c r="AX193" s="287"/>
      <c r="AY193" s="287"/>
      <c r="AZ193" s="287"/>
      <c r="BA193" s="287"/>
      <c r="BB193" s="287"/>
      <c r="BC193" s="287"/>
    </row>
    <row r="194" ht="15.75" customHeight="1">
      <c r="A194" s="287"/>
      <c r="B194" s="287"/>
      <c r="C194" s="287"/>
      <c r="D194" s="287"/>
      <c r="E194" s="287"/>
      <c r="F194" s="287"/>
      <c r="G194" s="287"/>
      <c r="H194" s="287"/>
      <c r="I194" s="287"/>
      <c r="J194" s="287"/>
      <c r="K194" s="287"/>
      <c r="L194" s="287"/>
      <c r="M194" s="287"/>
      <c r="N194" s="287"/>
      <c r="O194" s="287"/>
      <c r="P194" s="287"/>
      <c r="Q194" s="287"/>
      <c r="R194" s="287"/>
      <c r="S194" s="287"/>
      <c r="T194" s="287"/>
      <c r="U194" s="287"/>
      <c r="V194" s="287"/>
      <c r="W194" s="287"/>
      <c r="X194" s="287"/>
      <c r="Y194" s="287"/>
      <c r="Z194" s="287"/>
      <c r="AA194" s="287"/>
      <c r="AB194" s="287"/>
      <c r="AC194" s="287"/>
      <c r="AD194" s="287"/>
      <c r="AE194" s="287"/>
      <c r="AF194" s="287"/>
      <c r="AG194" s="287"/>
      <c r="AH194" s="287"/>
      <c r="AI194" s="287"/>
      <c r="AJ194" s="287"/>
      <c r="AK194" s="287"/>
      <c r="AL194" s="287"/>
      <c r="AM194" s="287"/>
      <c r="AN194" s="287"/>
      <c r="AO194" s="287"/>
      <c r="AP194" s="287"/>
      <c r="AQ194" s="287"/>
      <c r="AR194" s="287"/>
      <c r="AS194" s="287"/>
      <c r="AT194" s="287"/>
      <c r="AU194" s="287"/>
      <c r="AV194" s="287"/>
      <c r="AW194" s="287"/>
      <c r="AX194" s="287"/>
      <c r="AY194" s="287"/>
      <c r="AZ194" s="287"/>
      <c r="BA194" s="287"/>
      <c r="BB194" s="287"/>
      <c r="BC194" s="287"/>
    </row>
    <row r="195" ht="15.75" customHeight="1">
      <c r="A195" s="287"/>
      <c r="B195" s="287"/>
      <c r="C195" s="287"/>
      <c r="D195" s="287"/>
      <c r="E195" s="287"/>
      <c r="F195" s="287"/>
      <c r="G195" s="287"/>
      <c r="H195" s="287"/>
      <c r="I195" s="287"/>
      <c r="J195" s="287"/>
      <c r="K195" s="287"/>
      <c r="L195" s="287"/>
      <c r="M195" s="287"/>
      <c r="N195" s="287"/>
      <c r="O195" s="287"/>
      <c r="P195" s="287"/>
      <c r="Q195" s="287"/>
      <c r="R195" s="287"/>
      <c r="S195" s="287"/>
      <c r="T195" s="287"/>
      <c r="U195" s="287"/>
      <c r="V195" s="287"/>
      <c r="W195" s="287"/>
      <c r="X195" s="287"/>
      <c r="Y195" s="287"/>
      <c r="Z195" s="287"/>
      <c r="AA195" s="287"/>
      <c r="AB195" s="287"/>
      <c r="AC195" s="287"/>
      <c r="AD195" s="287"/>
      <c r="AE195" s="287"/>
      <c r="AF195" s="287"/>
      <c r="AG195" s="287"/>
      <c r="AH195" s="287"/>
      <c r="AI195" s="287"/>
      <c r="AJ195" s="287"/>
      <c r="AK195" s="287"/>
      <c r="AL195" s="287"/>
      <c r="AM195" s="287"/>
      <c r="AN195" s="287"/>
      <c r="AO195" s="287"/>
      <c r="AP195" s="287"/>
      <c r="AQ195" s="287"/>
      <c r="AR195" s="287"/>
      <c r="AS195" s="287"/>
      <c r="AT195" s="287"/>
      <c r="AU195" s="287"/>
      <c r="AV195" s="287"/>
      <c r="AW195" s="287"/>
      <c r="AX195" s="287"/>
      <c r="AY195" s="287"/>
      <c r="AZ195" s="287"/>
      <c r="BA195" s="287"/>
      <c r="BB195" s="287"/>
      <c r="BC195" s="287"/>
    </row>
    <row r="196" ht="15.75" customHeight="1">
      <c r="A196" s="287"/>
      <c r="B196" s="287"/>
      <c r="C196" s="287"/>
      <c r="D196" s="287"/>
      <c r="E196" s="287"/>
      <c r="F196" s="287"/>
      <c r="G196" s="287"/>
      <c r="H196" s="287"/>
      <c r="I196" s="287"/>
      <c r="J196" s="287"/>
      <c r="K196" s="287"/>
      <c r="L196" s="287"/>
      <c r="M196" s="287"/>
      <c r="N196" s="287"/>
      <c r="O196" s="287"/>
      <c r="P196" s="287"/>
      <c r="Q196" s="287"/>
      <c r="R196" s="287"/>
      <c r="S196" s="287"/>
      <c r="T196" s="287"/>
      <c r="U196" s="287"/>
      <c r="V196" s="287"/>
      <c r="W196" s="287"/>
      <c r="X196" s="287"/>
      <c r="Y196" s="287"/>
      <c r="Z196" s="287"/>
      <c r="AA196" s="287"/>
      <c r="AB196" s="287"/>
      <c r="AC196" s="287"/>
      <c r="AD196" s="287"/>
      <c r="AE196" s="287"/>
      <c r="AF196" s="287"/>
      <c r="AG196" s="287"/>
      <c r="AH196" s="287"/>
      <c r="AI196" s="287"/>
      <c r="AJ196" s="287"/>
      <c r="AK196" s="287"/>
      <c r="AL196" s="287"/>
      <c r="AM196" s="287"/>
      <c r="AN196" s="287"/>
      <c r="AO196" s="287"/>
      <c r="AP196" s="287"/>
      <c r="AQ196" s="287"/>
      <c r="AR196" s="287"/>
      <c r="AS196" s="287"/>
      <c r="AT196" s="287"/>
      <c r="AU196" s="287"/>
      <c r="AV196" s="287"/>
      <c r="AW196" s="287"/>
      <c r="AX196" s="287"/>
      <c r="AY196" s="287"/>
      <c r="AZ196" s="287"/>
      <c r="BA196" s="287"/>
      <c r="BB196" s="287"/>
      <c r="BC196" s="287"/>
    </row>
    <row r="197" ht="15.75" customHeight="1">
      <c r="A197" s="287"/>
      <c r="B197" s="287"/>
      <c r="C197" s="287"/>
      <c r="D197" s="287"/>
      <c r="E197" s="287"/>
      <c r="F197" s="287"/>
      <c r="G197" s="287"/>
      <c r="H197" s="287"/>
      <c r="I197" s="287"/>
      <c r="J197" s="287"/>
      <c r="K197" s="287"/>
      <c r="L197" s="287"/>
      <c r="M197" s="287"/>
      <c r="N197" s="287"/>
      <c r="O197" s="287"/>
      <c r="P197" s="287"/>
      <c r="Q197" s="287"/>
      <c r="R197" s="287"/>
      <c r="S197" s="287"/>
      <c r="T197" s="287"/>
      <c r="U197" s="287"/>
      <c r="V197" s="287"/>
      <c r="W197" s="287"/>
      <c r="X197" s="287"/>
      <c r="Y197" s="287"/>
      <c r="Z197" s="287"/>
      <c r="AA197" s="287"/>
      <c r="AB197" s="287"/>
      <c r="AC197" s="287"/>
      <c r="AD197" s="287"/>
      <c r="AE197" s="287"/>
      <c r="AF197" s="287"/>
      <c r="AG197" s="287"/>
      <c r="AH197" s="287"/>
      <c r="AI197" s="287"/>
      <c r="AJ197" s="287"/>
      <c r="AK197" s="287"/>
      <c r="AL197" s="287"/>
      <c r="AM197" s="287"/>
      <c r="AN197" s="287"/>
      <c r="AO197" s="287"/>
      <c r="AP197" s="287"/>
      <c r="AQ197" s="287"/>
      <c r="AR197" s="287"/>
      <c r="AS197" s="287"/>
      <c r="AT197" s="287"/>
      <c r="AU197" s="287"/>
      <c r="AV197" s="287"/>
      <c r="AW197" s="287"/>
      <c r="AX197" s="287"/>
      <c r="AY197" s="287"/>
      <c r="AZ197" s="287"/>
      <c r="BA197" s="287"/>
      <c r="BB197" s="287"/>
      <c r="BC197" s="287"/>
    </row>
    <row r="198" ht="15.75" customHeight="1">
      <c r="A198" s="287"/>
      <c r="B198" s="287"/>
      <c r="C198" s="287"/>
      <c r="D198" s="287"/>
      <c r="E198" s="287"/>
      <c r="F198" s="287"/>
      <c r="G198" s="287"/>
      <c r="H198" s="287"/>
      <c r="I198" s="287"/>
      <c r="J198" s="287"/>
      <c r="K198" s="287"/>
      <c r="L198" s="287"/>
      <c r="M198" s="287"/>
      <c r="N198" s="287"/>
      <c r="O198" s="287"/>
      <c r="P198" s="287"/>
      <c r="Q198" s="287"/>
      <c r="R198" s="287"/>
      <c r="S198" s="287"/>
      <c r="T198" s="287"/>
      <c r="U198" s="287"/>
      <c r="V198" s="287"/>
      <c r="W198" s="287"/>
      <c r="X198" s="287"/>
      <c r="Y198" s="287"/>
      <c r="Z198" s="287"/>
      <c r="AA198" s="287"/>
      <c r="AB198" s="287"/>
      <c r="AC198" s="287"/>
      <c r="AD198" s="287"/>
      <c r="AE198" s="287"/>
      <c r="AF198" s="287"/>
      <c r="AG198" s="287"/>
      <c r="AH198" s="287"/>
      <c r="AI198" s="287"/>
      <c r="AJ198" s="287"/>
      <c r="AK198" s="287"/>
      <c r="AL198" s="287"/>
      <c r="AM198" s="287"/>
      <c r="AN198" s="287"/>
      <c r="AO198" s="287"/>
      <c r="AP198" s="287"/>
      <c r="AQ198" s="287"/>
      <c r="AR198" s="287"/>
      <c r="AS198" s="287"/>
      <c r="AT198" s="287"/>
      <c r="AU198" s="287"/>
      <c r="AV198" s="287"/>
      <c r="AW198" s="287"/>
      <c r="AX198" s="287"/>
      <c r="AY198" s="287"/>
      <c r="AZ198" s="287"/>
      <c r="BA198" s="287"/>
      <c r="BB198" s="287"/>
      <c r="BC198" s="287"/>
    </row>
    <row r="199" ht="15.75" customHeight="1">
      <c r="A199" s="287"/>
      <c r="B199" s="287"/>
      <c r="C199" s="287"/>
      <c r="D199" s="287"/>
      <c r="E199" s="287"/>
      <c r="F199" s="287"/>
      <c r="G199" s="287"/>
      <c r="H199" s="287"/>
      <c r="I199" s="287"/>
      <c r="J199" s="287"/>
      <c r="K199" s="287"/>
      <c r="L199" s="287"/>
      <c r="M199" s="287"/>
      <c r="N199" s="287"/>
      <c r="O199" s="287"/>
      <c r="P199" s="287"/>
      <c r="Q199" s="287"/>
      <c r="R199" s="287"/>
      <c r="S199" s="287"/>
      <c r="T199" s="287"/>
      <c r="U199" s="287"/>
      <c r="V199" s="287"/>
      <c r="W199" s="287"/>
      <c r="X199" s="287"/>
      <c r="Y199" s="287"/>
      <c r="Z199" s="287"/>
      <c r="AA199" s="287"/>
      <c r="AB199" s="287"/>
      <c r="AC199" s="287"/>
      <c r="AD199" s="287"/>
      <c r="AE199" s="287"/>
      <c r="AF199" s="287"/>
      <c r="AG199" s="287"/>
      <c r="AH199" s="287"/>
      <c r="AI199" s="287"/>
      <c r="AJ199" s="287"/>
      <c r="AK199" s="287"/>
      <c r="AL199" s="287"/>
      <c r="AM199" s="287"/>
      <c r="AN199" s="287"/>
      <c r="AO199" s="287"/>
      <c r="AP199" s="287"/>
      <c r="AQ199" s="287"/>
      <c r="AR199" s="287"/>
      <c r="AS199" s="287"/>
      <c r="AT199" s="287"/>
      <c r="AU199" s="287"/>
      <c r="AV199" s="287"/>
      <c r="AW199" s="287"/>
      <c r="AX199" s="287"/>
      <c r="AY199" s="287"/>
      <c r="AZ199" s="287"/>
      <c r="BA199" s="287"/>
      <c r="BB199" s="287"/>
      <c r="BC199" s="287"/>
    </row>
    <row r="200" ht="15.75" customHeight="1">
      <c r="A200" s="287"/>
      <c r="B200" s="287"/>
      <c r="C200" s="287"/>
      <c r="D200" s="287"/>
      <c r="E200" s="287"/>
      <c r="F200" s="287"/>
      <c r="G200" s="287"/>
      <c r="H200" s="287"/>
      <c r="I200" s="287"/>
      <c r="J200" s="287"/>
      <c r="K200" s="287"/>
      <c r="L200" s="287"/>
      <c r="M200" s="287"/>
      <c r="N200" s="287"/>
      <c r="O200" s="287"/>
      <c r="P200" s="287"/>
      <c r="Q200" s="287"/>
      <c r="R200" s="287"/>
      <c r="S200" s="287"/>
      <c r="T200" s="287"/>
      <c r="U200" s="287"/>
      <c r="V200" s="287"/>
      <c r="W200" s="287"/>
      <c r="X200" s="287"/>
      <c r="Y200" s="287"/>
      <c r="Z200" s="287"/>
      <c r="AA200" s="287"/>
      <c r="AB200" s="287"/>
      <c r="AC200" s="287"/>
      <c r="AD200" s="287"/>
      <c r="AE200" s="287"/>
      <c r="AF200" s="287"/>
      <c r="AG200" s="287"/>
      <c r="AH200" s="287"/>
      <c r="AI200" s="287"/>
      <c r="AJ200" s="287"/>
      <c r="AK200" s="287"/>
      <c r="AL200" s="287"/>
      <c r="AM200" s="287"/>
      <c r="AN200" s="287"/>
      <c r="AO200" s="287"/>
      <c r="AP200" s="287"/>
      <c r="AQ200" s="287"/>
      <c r="AR200" s="287"/>
      <c r="AS200" s="287"/>
      <c r="AT200" s="287"/>
      <c r="AU200" s="287"/>
      <c r="AV200" s="287"/>
      <c r="AW200" s="287"/>
      <c r="AX200" s="287"/>
      <c r="AY200" s="287"/>
      <c r="AZ200" s="287"/>
      <c r="BA200" s="287"/>
      <c r="BB200" s="287"/>
      <c r="BC200" s="287"/>
    </row>
    <row r="201" ht="15.75" customHeight="1">
      <c r="A201" s="287"/>
      <c r="B201" s="287"/>
      <c r="C201" s="287"/>
      <c r="D201" s="287"/>
      <c r="E201" s="287"/>
      <c r="F201" s="287"/>
      <c r="G201" s="287"/>
      <c r="H201" s="287"/>
      <c r="I201" s="287"/>
      <c r="J201" s="287"/>
      <c r="K201" s="287"/>
      <c r="L201" s="287"/>
      <c r="M201" s="287"/>
      <c r="N201" s="287"/>
      <c r="O201" s="287"/>
      <c r="P201" s="287"/>
      <c r="Q201" s="287"/>
      <c r="R201" s="287"/>
      <c r="S201" s="287"/>
      <c r="T201" s="287"/>
      <c r="U201" s="287"/>
      <c r="V201" s="287"/>
      <c r="W201" s="287"/>
      <c r="X201" s="287"/>
      <c r="Y201" s="287"/>
      <c r="Z201" s="287"/>
      <c r="AA201" s="287"/>
      <c r="AB201" s="287"/>
      <c r="AC201" s="287"/>
      <c r="AD201" s="287"/>
      <c r="AE201" s="287"/>
      <c r="AF201" s="287"/>
      <c r="AG201" s="287"/>
      <c r="AH201" s="287"/>
      <c r="AI201" s="287"/>
      <c r="AJ201" s="287"/>
      <c r="AK201" s="287"/>
      <c r="AL201" s="287"/>
      <c r="AM201" s="287"/>
      <c r="AN201" s="287"/>
      <c r="AO201" s="287"/>
      <c r="AP201" s="287"/>
      <c r="AQ201" s="287"/>
      <c r="AR201" s="287"/>
      <c r="AS201" s="287"/>
      <c r="AT201" s="287"/>
      <c r="AU201" s="287"/>
      <c r="AV201" s="287"/>
      <c r="AW201" s="287"/>
      <c r="AX201" s="287"/>
      <c r="AY201" s="287"/>
      <c r="AZ201" s="287"/>
      <c r="BA201" s="287"/>
      <c r="BB201" s="287"/>
      <c r="BC201" s="287"/>
    </row>
    <row r="202" ht="15.75" customHeight="1">
      <c r="A202" s="287"/>
      <c r="B202" s="287"/>
      <c r="C202" s="287"/>
      <c r="D202" s="287"/>
      <c r="E202" s="287"/>
      <c r="F202" s="287"/>
      <c r="G202" s="287"/>
      <c r="H202" s="287"/>
      <c r="I202" s="287"/>
      <c r="J202" s="287"/>
      <c r="K202" s="287"/>
      <c r="L202" s="287"/>
      <c r="M202" s="287"/>
      <c r="N202" s="287"/>
      <c r="O202" s="287"/>
      <c r="P202" s="287"/>
      <c r="Q202" s="287"/>
      <c r="R202" s="287"/>
      <c r="S202" s="287"/>
      <c r="T202" s="287"/>
      <c r="U202" s="287"/>
      <c r="V202" s="287"/>
      <c r="W202" s="287"/>
      <c r="X202" s="287"/>
      <c r="Y202" s="287"/>
      <c r="Z202" s="287"/>
      <c r="AA202" s="287"/>
      <c r="AB202" s="287"/>
      <c r="AC202" s="287"/>
      <c r="AD202" s="287"/>
      <c r="AE202" s="287"/>
      <c r="AF202" s="287"/>
      <c r="AG202" s="287"/>
      <c r="AH202" s="287"/>
      <c r="AI202" s="287"/>
      <c r="AJ202" s="287"/>
      <c r="AK202" s="287"/>
      <c r="AL202" s="287"/>
      <c r="AM202" s="287"/>
      <c r="AN202" s="287"/>
      <c r="AO202" s="287"/>
      <c r="AP202" s="287"/>
      <c r="AQ202" s="287"/>
      <c r="AR202" s="287"/>
      <c r="AS202" s="287"/>
      <c r="AT202" s="287"/>
      <c r="AU202" s="287"/>
      <c r="AV202" s="287"/>
      <c r="AW202" s="287"/>
      <c r="AX202" s="287"/>
      <c r="AY202" s="287"/>
      <c r="AZ202" s="287"/>
      <c r="BA202" s="287"/>
      <c r="BB202" s="287"/>
      <c r="BC202" s="287"/>
    </row>
    <row r="203" ht="15.75" customHeight="1">
      <c r="A203" s="287"/>
      <c r="B203" s="287"/>
      <c r="C203" s="287"/>
      <c r="D203" s="287"/>
      <c r="E203" s="287"/>
      <c r="F203" s="287"/>
      <c r="G203" s="287"/>
      <c r="H203" s="287"/>
      <c r="I203" s="287"/>
      <c r="J203" s="287"/>
      <c r="K203" s="287"/>
      <c r="L203" s="287"/>
      <c r="M203" s="287"/>
      <c r="N203" s="287"/>
      <c r="O203" s="287"/>
      <c r="P203" s="287"/>
      <c r="Q203" s="287"/>
      <c r="R203" s="287"/>
      <c r="S203" s="287"/>
      <c r="T203" s="287"/>
      <c r="U203" s="287"/>
      <c r="V203" s="287"/>
      <c r="W203" s="287"/>
      <c r="X203" s="287"/>
      <c r="Y203" s="287"/>
      <c r="Z203" s="287"/>
      <c r="AA203" s="287"/>
      <c r="AB203" s="287"/>
      <c r="AC203" s="287"/>
      <c r="AD203" s="287"/>
      <c r="AE203" s="287"/>
      <c r="AF203" s="287"/>
      <c r="AG203" s="287"/>
      <c r="AH203" s="287"/>
      <c r="AI203" s="287"/>
      <c r="AJ203" s="287"/>
      <c r="AK203" s="287"/>
      <c r="AL203" s="287"/>
      <c r="AM203" s="287"/>
      <c r="AN203" s="287"/>
      <c r="AO203" s="287"/>
      <c r="AP203" s="287"/>
      <c r="AQ203" s="287"/>
      <c r="AR203" s="287"/>
      <c r="AS203" s="287"/>
      <c r="AT203" s="287"/>
      <c r="AU203" s="287"/>
      <c r="AV203" s="287"/>
      <c r="AW203" s="287"/>
      <c r="AX203" s="287"/>
      <c r="AY203" s="287"/>
      <c r="AZ203" s="287"/>
      <c r="BA203" s="287"/>
      <c r="BB203" s="287"/>
      <c r="BC203" s="287"/>
    </row>
    <row r="204" ht="15.75" customHeight="1">
      <c r="A204" s="287"/>
      <c r="B204" s="287"/>
      <c r="C204" s="287"/>
      <c r="D204" s="287"/>
      <c r="E204" s="287"/>
      <c r="F204" s="287"/>
      <c r="G204" s="287"/>
      <c r="H204" s="287"/>
      <c r="I204" s="287"/>
      <c r="J204" s="287"/>
      <c r="K204" s="287"/>
      <c r="L204" s="287"/>
      <c r="M204" s="287"/>
      <c r="N204" s="287"/>
      <c r="O204" s="287"/>
      <c r="P204" s="287"/>
      <c r="Q204" s="287"/>
      <c r="R204" s="287"/>
      <c r="S204" s="287"/>
      <c r="T204" s="287"/>
      <c r="U204" s="287"/>
      <c r="V204" s="287"/>
      <c r="W204" s="287"/>
      <c r="X204" s="287"/>
      <c r="Y204" s="287"/>
      <c r="Z204" s="287"/>
      <c r="AA204" s="287"/>
      <c r="AB204" s="287"/>
      <c r="AC204" s="287"/>
      <c r="AD204" s="287"/>
      <c r="AE204" s="287"/>
      <c r="AF204" s="287"/>
      <c r="AG204" s="287"/>
      <c r="AH204" s="287"/>
      <c r="AI204" s="287"/>
      <c r="AJ204" s="287"/>
      <c r="AK204" s="287"/>
      <c r="AL204" s="287"/>
      <c r="AM204" s="287"/>
      <c r="AN204" s="287"/>
      <c r="AO204" s="287"/>
      <c r="AP204" s="287"/>
      <c r="AQ204" s="287"/>
      <c r="AR204" s="287"/>
      <c r="AS204" s="287"/>
      <c r="AT204" s="287"/>
      <c r="AU204" s="287"/>
      <c r="AV204" s="287"/>
      <c r="AW204" s="287"/>
      <c r="AX204" s="287"/>
      <c r="AY204" s="287"/>
      <c r="AZ204" s="287"/>
      <c r="BA204" s="287"/>
      <c r="BB204" s="287"/>
      <c r="BC204" s="287"/>
    </row>
    <row r="205" ht="15.75" customHeight="1">
      <c r="A205" s="287"/>
      <c r="B205" s="287"/>
      <c r="C205" s="287"/>
      <c r="D205" s="287"/>
      <c r="E205" s="287"/>
      <c r="F205" s="287"/>
      <c r="G205" s="287"/>
      <c r="H205" s="287"/>
      <c r="I205" s="287"/>
      <c r="J205" s="287"/>
      <c r="K205" s="287"/>
      <c r="L205" s="287"/>
      <c r="M205" s="287"/>
      <c r="N205" s="287"/>
      <c r="O205" s="287"/>
      <c r="P205" s="287"/>
      <c r="Q205" s="287"/>
      <c r="R205" s="287"/>
      <c r="S205" s="287"/>
      <c r="T205" s="287"/>
      <c r="U205" s="287"/>
      <c r="V205" s="287"/>
      <c r="W205" s="287"/>
      <c r="X205" s="287"/>
      <c r="Y205" s="287"/>
      <c r="Z205" s="287"/>
      <c r="AA205" s="287"/>
      <c r="AB205" s="287"/>
      <c r="AC205" s="287"/>
      <c r="AD205" s="287"/>
      <c r="AE205" s="287"/>
      <c r="AF205" s="287"/>
      <c r="AG205" s="287"/>
      <c r="AH205" s="287"/>
      <c r="AI205" s="287"/>
      <c r="AJ205" s="287"/>
      <c r="AK205" s="287"/>
      <c r="AL205" s="287"/>
      <c r="AM205" s="287"/>
      <c r="AN205" s="287"/>
      <c r="AO205" s="287"/>
      <c r="AP205" s="287"/>
      <c r="AQ205" s="287"/>
      <c r="AR205" s="287"/>
      <c r="AS205" s="287"/>
      <c r="AT205" s="287"/>
      <c r="AU205" s="287"/>
      <c r="AV205" s="287"/>
      <c r="AW205" s="287"/>
      <c r="AX205" s="287"/>
      <c r="AY205" s="287"/>
      <c r="AZ205" s="287"/>
      <c r="BA205" s="287"/>
      <c r="BB205" s="287"/>
      <c r="BC205" s="287"/>
    </row>
    <row r="206" ht="15.75" customHeight="1">
      <c r="A206" s="287"/>
      <c r="B206" s="287"/>
      <c r="C206" s="287"/>
      <c r="D206" s="287"/>
      <c r="E206" s="287"/>
      <c r="F206" s="287"/>
      <c r="G206" s="287"/>
      <c r="H206" s="287"/>
      <c r="I206" s="287"/>
      <c r="J206" s="287"/>
      <c r="K206" s="287"/>
      <c r="L206" s="287"/>
      <c r="M206" s="287"/>
      <c r="N206" s="287"/>
      <c r="O206" s="287"/>
      <c r="P206" s="287"/>
      <c r="Q206" s="287"/>
      <c r="R206" s="287"/>
      <c r="S206" s="287"/>
      <c r="T206" s="287"/>
      <c r="U206" s="287"/>
      <c r="V206" s="287"/>
      <c r="W206" s="287"/>
      <c r="X206" s="287"/>
      <c r="Y206" s="287"/>
      <c r="Z206" s="287"/>
      <c r="AA206" s="287"/>
      <c r="AB206" s="287"/>
      <c r="AC206" s="287"/>
      <c r="AD206" s="287"/>
      <c r="AE206" s="287"/>
      <c r="AF206" s="287"/>
      <c r="AG206" s="287"/>
      <c r="AH206" s="287"/>
      <c r="AI206" s="287"/>
      <c r="AJ206" s="287"/>
      <c r="AK206" s="287"/>
      <c r="AL206" s="287"/>
      <c r="AM206" s="287"/>
      <c r="AN206" s="287"/>
      <c r="AO206" s="287"/>
      <c r="AP206" s="287"/>
      <c r="AQ206" s="287"/>
      <c r="AR206" s="287"/>
      <c r="AS206" s="287"/>
      <c r="AT206" s="287"/>
      <c r="AU206" s="287"/>
      <c r="AV206" s="287"/>
      <c r="AW206" s="287"/>
      <c r="AX206" s="287"/>
      <c r="AY206" s="287"/>
      <c r="AZ206" s="287"/>
      <c r="BA206" s="287"/>
      <c r="BB206" s="287"/>
      <c r="BC206" s="287"/>
    </row>
    <row r="207" ht="15.75" customHeight="1">
      <c r="A207" s="287"/>
      <c r="B207" s="287"/>
      <c r="C207" s="287"/>
      <c r="D207" s="287"/>
      <c r="E207" s="287"/>
      <c r="F207" s="287"/>
      <c r="G207" s="287"/>
      <c r="H207" s="287"/>
      <c r="I207" s="287"/>
      <c r="J207" s="287"/>
      <c r="K207" s="287"/>
      <c r="L207" s="287"/>
      <c r="M207" s="287"/>
      <c r="N207" s="287"/>
      <c r="O207" s="287"/>
      <c r="P207" s="287"/>
      <c r="Q207" s="287"/>
      <c r="R207" s="287"/>
      <c r="S207" s="287"/>
      <c r="T207" s="287"/>
      <c r="U207" s="287"/>
      <c r="V207" s="287"/>
      <c r="W207" s="287"/>
      <c r="X207" s="287"/>
      <c r="Y207" s="287"/>
      <c r="Z207" s="287"/>
      <c r="AA207" s="287"/>
      <c r="AB207" s="287"/>
      <c r="AC207" s="287"/>
      <c r="AD207" s="287"/>
      <c r="AE207" s="287"/>
      <c r="AF207" s="287"/>
      <c r="AG207" s="287"/>
      <c r="AH207" s="287"/>
      <c r="AI207" s="287"/>
      <c r="AJ207" s="287"/>
      <c r="AK207" s="287"/>
      <c r="AL207" s="287"/>
      <c r="AM207" s="287"/>
      <c r="AN207" s="287"/>
      <c r="AO207" s="287"/>
      <c r="AP207" s="287"/>
      <c r="AQ207" s="287"/>
      <c r="AR207" s="287"/>
      <c r="AS207" s="287"/>
      <c r="AT207" s="287"/>
      <c r="AU207" s="287"/>
      <c r="AV207" s="287"/>
      <c r="AW207" s="287"/>
      <c r="AX207" s="287"/>
      <c r="AY207" s="287"/>
      <c r="AZ207" s="287"/>
      <c r="BA207" s="287"/>
      <c r="BB207" s="287"/>
      <c r="BC207" s="287"/>
    </row>
    <row r="208" ht="15.75" customHeight="1">
      <c r="A208" s="287"/>
      <c r="B208" s="287"/>
      <c r="C208" s="287"/>
      <c r="D208" s="287"/>
      <c r="E208" s="287"/>
      <c r="F208" s="287"/>
      <c r="G208" s="287"/>
      <c r="H208" s="287"/>
      <c r="I208" s="287"/>
      <c r="J208" s="287"/>
      <c r="K208" s="287"/>
      <c r="L208" s="287"/>
      <c r="M208" s="287"/>
      <c r="N208" s="287"/>
      <c r="O208" s="287"/>
      <c r="P208" s="287"/>
      <c r="Q208" s="287"/>
      <c r="R208" s="287"/>
      <c r="S208" s="287"/>
      <c r="T208" s="287"/>
      <c r="U208" s="287"/>
      <c r="V208" s="287"/>
      <c r="W208" s="287"/>
      <c r="X208" s="287"/>
      <c r="Y208" s="287"/>
      <c r="Z208" s="287"/>
      <c r="AA208" s="287"/>
      <c r="AB208" s="287"/>
      <c r="AC208" s="287"/>
      <c r="AD208" s="287"/>
      <c r="AE208" s="287"/>
      <c r="AF208" s="287"/>
      <c r="AG208" s="287"/>
      <c r="AH208" s="287"/>
      <c r="AI208" s="287"/>
      <c r="AJ208" s="287"/>
      <c r="AK208" s="287"/>
      <c r="AL208" s="287"/>
      <c r="AM208" s="287"/>
      <c r="AN208" s="287"/>
      <c r="AO208" s="287"/>
      <c r="AP208" s="287"/>
      <c r="AQ208" s="287"/>
      <c r="AR208" s="287"/>
      <c r="AS208" s="287"/>
      <c r="AT208" s="287"/>
      <c r="AU208" s="287"/>
      <c r="AV208" s="287"/>
      <c r="AW208" s="287"/>
      <c r="AX208" s="287"/>
      <c r="AY208" s="287"/>
      <c r="AZ208" s="287"/>
      <c r="BA208" s="287"/>
      <c r="BB208" s="287"/>
      <c r="BC208" s="287"/>
    </row>
    <row r="209" ht="15.75" customHeight="1">
      <c r="A209" s="287"/>
      <c r="B209" s="287"/>
      <c r="C209" s="287"/>
      <c r="D209" s="287"/>
      <c r="E209" s="287"/>
      <c r="F209" s="287"/>
      <c r="G209" s="287"/>
      <c r="H209" s="287"/>
      <c r="I209" s="287"/>
      <c r="J209" s="287"/>
      <c r="K209" s="287"/>
      <c r="L209" s="287"/>
      <c r="M209" s="287"/>
      <c r="N209" s="287"/>
      <c r="O209" s="287"/>
      <c r="P209" s="287"/>
      <c r="Q209" s="287"/>
      <c r="R209" s="287"/>
      <c r="S209" s="287"/>
      <c r="T209" s="287"/>
      <c r="U209" s="287"/>
      <c r="V209" s="287"/>
      <c r="W209" s="287"/>
      <c r="X209" s="287"/>
      <c r="Y209" s="287"/>
      <c r="Z209" s="287"/>
      <c r="AA209" s="287"/>
      <c r="AB209" s="287"/>
      <c r="AC209" s="287"/>
      <c r="AD209" s="287"/>
      <c r="AE209" s="287"/>
      <c r="AF209" s="287"/>
      <c r="AG209" s="287"/>
      <c r="AH209" s="287"/>
      <c r="AI209" s="287"/>
      <c r="AJ209" s="287"/>
      <c r="AK209" s="287"/>
      <c r="AL209" s="287"/>
      <c r="AM209" s="287"/>
      <c r="AN209" s="287"/>
      <c r="AO209" s="287"/>
      <c r="AP209" s="287"/>
      <c r="AQ209" s="287"/>
      <c r="AR209" s="287"/>
      <c r="AS209" s="287"/>
      <c r="AT209" s="287"/>
      <c r="AU209" s="287"/>
      <c r="AV209" s="287"/>
      <c r="AW209" s="287"/>
      <c r="AX209" s="287"/>
      <c r="AY209" s="287"/>
      <c r="AZ209" s="287"/>
      <c r="BA209" s="287"/>
      <c r="BB209" s="287"/>
      <c r="BC209" s="287"/>
    </row>
    <row r="210" ht="15.75" customHeight="1">
      <c r="A210" s="287"/>
      <c r="B210" s="287"/>
      <c r="C210" s="287"/>
      <c r="D210" s="287"/>
      <c r="E210" s="287"/>
      <c r="F210" s="287"/>
      <c r="G210" s="287"/>
      <c r="H210" s="287"/>
      <c r="I210" s="287"/>
      <c r="J210" s="287"/>
      <c r="K210" s="287"/>
      <c r="L210" s="287"/>
      <c r="M210" s="287"/>
      <c r="N210" s="287"/>
      <c r="O210" s="287"/>
      <c r="P210" s="287"/>
      <c r="Q210" s="287"/>
      <c r="R210" s="287"/>
      <c r="S210" s="287"/>
      <c r="T210" s="287"/>
      <c r="U210" s="287"/>
      <c r="V210" s="287"/>
      <c r="W210" s="287"/>
      <c r="X210" s="287"/>
      <c r="Y210" s="287"/>
      <c r="Z210" s="287"/>
      <c r="AA210" s="287"/>
      <c r="AB210" s="287"/>
      <c r="AC210" s="287"/>
      <c r="AD210" s="287"/>
      <c r="AE210" s="287"/>
      <c r="AF210" s="287"/>
      <c r="AG210" s="287"/>
      <c r="AH210" s="287"/>
      <c r="AI210" s="287"/>
      <c r="AJ210" s="287"/>
      <c r="AK210" s="287"/>
      <c r="AL210" s="287"/>
      <c r="AM210" s="287"/>
      <c r="AN210" s="287"/>
      <c r="AO210" s="287"/>
      <c r="AP210" s="287"/>
      <c r="AQ210" s="287"/>
      <c r="AR210" s="287"/>
      <c r="AS210" s="287"/>
      <c r="AT210" s="287"/>
      <c r="AU210" s="287"/>
      <c r="AV210" s="287"/>
      <c r="AW210" s="287"/>
      <c r="AX210" s="287"/>
      <c r="AY210" s="287"/>
      <c r="AZ210" s="287"/>
      <c r="BA210" s="287"/>
      <c r="BB210" s="287"/>
      <c r="BC210" s="287"/>
    </row>
    <row r="211" ht="15.75" customHeight="1">
      <c r="A211" s="287"/>
      <c r="B211" s="287"/>
      <c r="C211" s="287"/>
      <c r="D211" s="287"/>
      <c r="E211" s="287"/>
      <c r="F211" s="287"/>
      <c r="G211" s="287"/>
      <c r="H211" s="287"/>
      <c r="I211" s="287"/>
      <c r="J211" s="287"/>
      <c r="K211" s="287"/>
      <c r="L211" s="287"/>
      <c r="M211" s="287"/>
      <c r="N211" s="287"/>
      <c r="O211" s="287"/>
      <c r="P211" s="287"/>
      <c r="Q211" s="287"/>
      <c r="R211" s="287"/>
      <c r="S211" s="287"/>
      <c r="T211" s="287"/>
      <c r="U211" s="287"/>
      <c r="V211" s="287"/>
      <c r="W211" s="287"/>
      <c r="X211" s="287"/>
      <c r="Y211" s="287"/>
      <c r="Z211" s="287"/>
      <c r="AA211" s="287"/>
      <c r="AB211" s="287"/>
      <c r="AC211" s="287"/>
      <c r="AD211" s="287"/>
      <c r="AE211" s="287"/>
      <c r="AF211" s="287"/>
      <c r="AG211" s="287"/>
      <c r="AH211" s="287"/>
      <c r="AI211" s="287"/>
      <c r="AJ211" s="287"/>
      <c r="AK211" s="287"/>
      <c r="AL211" s="287"/>
      <c r="AM211" s="287"/>
      <c r="AN211" s="287"/>
      <c r="AO211" s="287"/>
      <c r="AP211" s="287"/>
      <c r="AQ211" s="287"/>
      <c r="AR211" s="287"/>
      <c r="AS211" s="287"/>
      <c r="AT211" s="287"/>
      <c r="AU211" s="287"/>
      <c r="AV211" s="287"/>
      <c r="AW211" s="287"/>
      <c r="AX211" s="287"/>
      <c r="AY211" s="287"/>
      <c r="AZ211" s="287"/>
      <c r="BA211" s="287"/>
      <c r="BB211" s="287"/>
      <c r="BC211" s="287"/>
    </row>
    <row r="212" ht="15.75" customHeight="1">
      <c r="A212" s="287"/>
      <c r="B212" s="287"/>
      <c r="C212" s="287"/>
      <c r="D212" s="287"/>
      <c r="E212" s="287"/>
      <c r="F212" s="287"/>
      <c r="G212" s="287"/>
      <c r="H212" s="287"/>
      <c r="I212" s="287"/>
      <c r="J212" s="287"/>
      <c r="K212" s="287"/>
      <c r="L212" s="287"/>
      <c r="M212" s="287"/>
      <c r="N212" s="287"/>
      <c r="O212" s="287"/>
      <c r="P212" s="287"/>
      <c r="Q212" s="287"/>
      <c r="R212" s="287"/>
      <c r="S212" s="287"/>
      <c r="T212" s="287"/>
      <c r="U212" s="287"/>
      <c r="V212" s="287"/>
      <c r="W212" s="287"/>
      <c r="X212" s="287"/>
      <c r="Y212" s="287"/>
      <c r="Z212" s="287"/>
      <c r="AA212" s="287"/>
      <c r="AB212" s="287"/>
      <c r="AC212" s="287"/>
      <c r="AD212" s="287"/>
      <c r="AE212" s="287"/>
      <c r="AF212" s="287"/>
      <c r="AG212" s="287"/>
      <c r="AH212" s="287"/>
      <c r="AI212" s="287"/>
      <c r="AJ212" s="287"/>
      <c r="AK212" s="287"/>
      <c r="AL212" s="287"/>
      <c r="AM212" s="287"/>
      <c r="AN212" s="287"/>
      <c r="AO212" s="287"/>
      <c r="AP212" s="287"/>
      <c r="AQ212" s="287"/>
      <c r="AR212" s="287"/>
      <c r="AS212" s="287"/>
      <c r="AT212" s="287"/>
      <c r="AU212" s="287"/>
      <c r="AV212" s="287"/>
      <c r="AW212" s="287"/>
      <c r="AX212" s="287"/>
      <c r="AY212" s="287"/>
      <c r="AZ212" s="287"/>
      <c r="BA212" s="287"/>
      <c r="BB212" s="287"/>
      <c r="BC212" s="287"/>
    </row>
    <row r="213" ht="15.75" customHeight="1">
      <c r="A213" s="287"/>
      <c r="B213" s="287"/>
      <c r="C213" s="287"/>
      <c r="D213" s="287"/>
      <c r="E213" s="287"/>
      <c r="F213" s="287"/>
      <c r="G213" s="287"/>
      <c r="H213" s="287"/>
      <c r="I213" s="287"/>
      <c r="J213" s="287"/>
      <c r="K213" s="287"/>
      <c r="L213" s="287"/>
      <c r="M213" s="287"/>
      <c r="N213" s="287"/>
      <c r="O213" s="287"/>
      <c r="P213" s="287"/>
      <c r="Q213" s="287"/>
      <c r="R213" s="287"/>
      <c r="S213" s="287"/>
      <c r="T213" s="287"/>
      <c r="U213" s="287"/>
      <c r="V213" s="287"/>
      <c r="W213" s="287"/>
      <c r="X213" s="287"/>
      <c r="Y213" s="287"/>
      <c r="Z213" s="287"/>
      <c r="AA213" s="287"/>
      <c r="AB213" s="287"/>
      <c r="AC213" s="287"/>
      <c r="AD213" s="287"/>
      <c r="AE213" s="287"/>
      <c r="AF213" s="287"/>
      <c r="AG213" s="287"/>
      <c r="AH213" s="287"/>
      <c r="AI213" s="287"/>
      <c r="AJ213" s="287"/>
      <c r="AK213" s="287"/>
      <c r="AL213" s="287"/>
      <c r="AM213" s="287"/>
      <c r="AN213" s="287"/>
      <c r="AO213" s="287"/>
      <c r="AP213" s="287"/>
      <c r="AQ213" s="287"/>
      <c r="AR213" s="287"/>
      <c r="AS213" s="287"/>
      <c r="AT213" s="287"/>
      <c r="AU213" s="287"/>
      <c r="AV213" s="287"/>
      <c r="AW213" s="287"/>
      <c r="AX213" s="287"/>
      <c r="AY213" s="287"/>
      <c r="AZ213" s="287"/>
      <c r="BA213" s="287"/>
      <c r="BB213" s="287"/>
      <c r="BC213" s="287"/>
    </row>
    <row r="214" ht="15.75" customHeight="1">
      <c r="A214" s="287"/>
      <c r="B214" s="287"/>
      <c r="C214" s="287"/>
      <c r="D214" s="287"/>
      <c r="E214" s="287"/>
      <c r="F214" s="287"/>
      <c r="G214" s="287"/>
      <c r="H214" s="287"/>
      <c r="I214" s="287"/>
      <c r="J214" s="287"/>
      <c r="K214" s="287"/>
      <c r="L214" s="287"/>
      <c r="M214" s="287"/>
      <c r="N214" s="287"/>
      <c r="O214" s="287"/>
      <c r="P214" s="287"/>
      <c r="Q214" s="287"/>
      <c r="R214" s="287"/>
      <c r="S214" s="287"/>
      <c r="T214" s="287"/>
      <c r="U214" s="287"/>
      <c r="V214" s="287"/>
      <c r="W214" s="287"/>
      <c r="X214" s="287"/>
      <c r="Y214" s="287"/>
      <c r="Z214" s="287"/>
      <c r="AA214" s="287"/>
      <c r="AB214" s="287"/>
      <c r="AC214" s="287"/>
      <c r="AD214" s="287"/>
      <c r="AE214" s="287"/>
      <c r="AF214" s="287"/>
      <c r="AG214" s="287"/>
      <c r="AH214" s="287"/>
      <c r="AI214" s="287"/>
      <c r="AJ214" s="287"/>
      <c r="AK214" s="287"/>
      <c r="AL214" s="287"/>
      <c r="AM214" s="287"/>
      <c r="AN214" s="287"/>
      <c r="AO214" s="287"/>
      <c r="AP214" s="287"/>
      <c r="AQ214" s="287"/>
      <c r="AR214" s="287"/>
      <c r="AS214" s="287"/>
      <c r="AT214" s="287"/>
      <c r="AU214" s="287"/>
      <c r="AV214" s="287"/>
      <c r="AW214" s="287"/>
      <c r="AX214" s="287"/>
      <c r="AY214" s="287"/>
      <c r="AZ214" s="287"/>
      <c r="BA214" s="287"/>
      <c r="BB214" s="287"/>
      <c r="BC214" s="287"/>
    </row>
    <row r="215" ht="15.75" customHeight="1">
      <c r="A215" s="287"/>
      <c r="B215" s="287"/>
      <c r="C215" s="287"/>
      <c r="D215" s="287"/>
      <c r="E215" s="287"/>
      <c r="F215" s="287"/>
      <c r="G215" s="287"/>
      <c r="H215" s="287"/>
      <c r="I215" s="287"/>
      <c r="J215" s="287"/>
      <c r="K215" s="287"/>
      <c r="L215" s="287"/>
      <c r="M215" s="287"/>
      <c r="N215" s="287"/>
      <c r="O215" s="287"/>
      <c r="P215" s="287"/>
      <c r="Q215" s="287"/>
      <c r="R215" s="287"/>
      <c r="S215" s="287"/>
      <c r="T215" s="287"/>
      <c r="U215" s="287"/>
      <c r="V215" s="287"/>
      <c r="W215" s="287"/>
      <c r="X215" s="287"/>
      <c r="Y215" s="287"/>
      <c r="Z215" s="287"/>
      <c r="AA215" s="287"/>
      <c r="AB215" s="287"/>
      <c r="AC215" s="287"/>
      <c r="AD215" s="287"/>
      <c r="AE215" s="287"/>
      <c r="AF215" s="287"/>
      <c r="AG215" s="287"/>
      <c r="AH215" s="287"/>
      <c r="AI215" s="287"/>
      <c r="AJ215" s="287"/>
      <c r="AK215" s="287"/>
      <c r="AL215" s="287"/>
      <c r="AM215" s="287"/>
      <c r="AN215" s="287"/>
      <c r="AO215" s="287"/>
      <c r="AP215" s="287"/>
      <c r="AQ215" s="287"/>
      <c r="AR215" s="287"/>
      <c r="AS215" s="287"/>
      <c r="AT215" s="287"/>
      <c r="AU215" s="287"/>
      <c r="AV215" s="287"/>
      <c r="AW215" s="287"/>
      <c r="AX215" s="287"/>
      <c r="AY215" s="287"/>
      <c r="AZ215" s="287"/>
      <c r="BA215" s="287"/>
      <c r="BB215" s="287"/>
      <c r="BC215" s="287"/>
    </row>
    <row r="216" ht="15.75" customHeight="1">
      <c r="A216" s="287"/>
      <c r="B216" s="287"/>
      <c r="C216" s="287"/>
      <c r="D216" s="287"/>
      <c r="E216" s="287"/>
      <c r="F216" s="287"/>
      <c r="G216" s="287"/>
      <c r="H216" s="287"/>
      <c r="I216" s="287"/>
      <c r="J216" s="287"/>
      <c r="K216" s="287"/>
      <c r="L216" s="287"/>
      <c r="M216" s="287"/>
      <c r="N216" s="287"/>
      <c r="O216" s="287"/>
      <c r="P216" s="287"/>
      <c r="Q216" s="287"/>
      <c r="R216" s="287"/>
      <c r="S216" s="287"/>
      <c r="T216" s="287"/>
      <c r="U216" s="287"/>
      <c r="V216" s="287"/>
      <c r="W216" s="287"/>
      <c r="X216" s="287"/>
      <c r="Y216" s="287"/>
      <c r="Z216" s="287"/>
      <c r="AA216" s="287"/>
      <c r="AB216" s="287"/>
      <c r="AC216" s="287"/>
      <c r="AD216" s="287"/>
      <c r="AE216" s="287"/>
      <c r="AF216" s="287"/>
      <c r="AG216" s="287"/>
      <c r="AH216" s="287"/>
      <c r="AI216" s="287"/>
      <c r="AJ216" s="287"/>
      <c r="AK216" s="287"/>
      <c r="AL216" s="287"/>
      <c r="AM216" s="287"/>
      <c r="AN216" s="287"/>
      <c r="AO216" s="287"/>
      <c r="AP216" s="287"/>
      <c r="AQ216" s="287"/>
      <c r="AR216" s="287"/>
      <c r="AS216" s="287"/>
      <c r="AT216" s="287"/>
      <c r="AU216" s="287"/>
      <c r="AV216" s="287"/>
      <c r="AW216" s="287"/>
      <c r="AX216" s="287"/>
      <c r="AY216" s="287"/>
      <c r="AZ216" s="287"/>
      <c r="BA216" s="287"/>
      <c r="BB216" s="287"/>
      <c r="BC216" s="287"/>
    </row>
    <row r="217" ht="15.75" customHeight="1">
      <c r="A217" s="287"/>
      <c r="B217" s="287"/>
      <c r="C217" s="287"/>
      <c r="D217" s="287"/>
      <c r="E217" s="287"/>
      <c r="F217" s="287"/>
      <c r="G217" s="287"/>
      <c r="H217" s="287"/>
      <c r="I217" s="287"/>
      <c r="J217" s="287"/>
      <c r="K217" s="287"/>
      <c r="L217" s="287"/>
      <c r="M217" s="287"/>
      <c r="N217" s="287"/>
      <c r="O217" s="287"/>
      <c r="P217" s="287"/>
      <c r="Q217" s="287"/>
      <c r="R217" s="287"/>
      <c r="S217" s="287"/>
      <c r="T217" s="287"/>
      <c r="U217" s="287"/>
      <c r="V217" s="287"/>
      <c r="W217" s="287"/>
      <c r="X217" s="287"/>
      <c r="Y217" s="287"/>
      <c r="Z217" s="287"/>
      <c r="AA217" s="287"/>
      <c r="AB217" s="287"/>
      <c r="AC217" s="287"/>
      <c r="AD217" s="287"/>
      <c r="AE217" s="287"/>
      <c r="AF217" s="287"/>
      <c r="AG217" s="287"/>
      <c r="AH217" s="287"/>
      <c r="AI217" s="287"/>
      <c r="AJ217" s="287"/>
      <c r="AK217" s="287"/>
      <c r="AL217" s="287"/>
      <c r="AM217" s="287"/>
      <c r="AN217" s="287"/>
      <c r="AO217" s="287"/>
      <c r="AP217" s="287"/>
      <c r="AQ217" s="287"/>
      <c r="AR217" s="287"/>
      <c r="AS217" s="287"/>
      <c r="AT217" s="287"/>
      <c r="AU217" s="287"/>
      <c r="AV217" s="287"/>
      <c r="AW217" s="287"/>
      <c r="AX217" s="287"/>
      <c r="AY217" s="287"/>
      <c r="AZ217" s="287"/>
      <c r="BA217" s="287"/>
      <c r="BB217" s="287"/>
      <c r="BC217" s="287"/>
    </row>
    <row r="218" ht="15.75" customHeight="1">
      <c r="A218" s="287"/>
      <c r="B218" s="287"/>
      <c r="C218" s="287"/>
      <c r="D218" s="287"/>
      <c r="E218" s="287"/>
      <c r="F218" s="287"/>
      <c r="G218" s="287"/>
      <c r="H218" s="287"/>
      <c r="I218" s="287"/>
      <c r="J218" s="287"/>
      <c r="K218" s="287"/>
      <c r="L218" s="287"/>
      <c r="M218" s="287"/>
      <c r="N218" s="287"/>
      <c r="O218" s="287"/>
      <c r="P218" s="287"/>
      <c r="Q218" s="287"/>
      <c r="R218" s="287"/>
      <c r="S218" s="287"/>
      <c r="T218" s="287"/>
      <c r="U218" s="287"/>
      <c r="V218" s="287"/>
      <c r="W218" s="287"/>
      <c r="X218" s="287"/>
      <c r="Y218" s="287"/>
      <c r="Z218" s="287"/>
      <c r="AA218" s="287"/>
      <c r="AB218" s="287"/>
      <c r="AC218" s="287"/>
      <c r="AD218" s="287"/>
      <c r="AE218" s="287"/>
      <c r="AF218" s="287"/>
      <c r="AG218" s="287"/>
      <c r="AH218" s="287"/>
      <c r="AI218" s="287"/>
      <c r="AJ218" s="287"/>
      <c r="AK218" s="287"/>
      <c r="AL218" s="287"/>
      <c r="AM218" s="287"/>
      <c r="AN218" s="287"/>
      <c r="AO218" s="287"/>
      <c r="AP218" s="287"/>
      <c r="AQ218" s="287"/>
      <c r="AR218" s="287"/>
      <c r="AS218" s="287"/>
      <c r="AT218" s="287"/>
      <c r="AU218" s="287"/>
      <c r="AV218" s="287"/>
      <c r="AW218" s="287"/>
      <c r="AX218" s="287"/>
      <c r="AY218" s="287"/>
      <c r="AZ218" s="287"/>
      <c r="BA218" s="287"/>
      <c r="BB218" s="287"/>
      <c r="BC218" s="287"/>
    </row>
    <row r="219" ht="15.75" customHeight="1">
      <c r="A219" s="287"/>
      <c r="B219" s="287"/>
      <c r="C219" s="287"/>
      <c r="D219" s="287"/>
      <c r="E219" s="287"/>
      <c r="F219" s="287"/>
      <c r="G219" s="287"/>
      <c r="H219" s="287"/>
      <c r="I219" s="287"/>
      <c r="J219" s="287"/>
      <c r="K219" s="287"/>
      <c r="L219" s="287"/>
      <c r="M219" s="287"/>
      <c r="N219" s="287"/>
      <c r="O219" s="287"/>
      <c r="P219" s="287"/>
      <c r="Q219" s="287"/>
      <c r="R219" s="287"/>
      <c r="S219" s="287"/>
      <c r="T219" s="287"/>
      <c r="U219" s="287"/>
      <c r="V219" s="287"/>
      <c r="W219" s="287"/>
      <c r="X219" s="287"/>
      <c r="Y219" s="287"/>
      <c r="Z219" s="287"/>
      <c r="AA219" s="287"/>
      <c r="AB219" s="287"/>
      <c r="AC219" s="287"/>
      <c r="AD219" s="287"/>
      <c r="AE219" s="287"/>
      <c r="AF219" s="287"/>
      <c r="AG219" s="287"/>
      <c r="AH219" s="287"/>
      <c r="AI219" s="287"/>
      <c r="AJ219" s="287"/>
      <c r="AK219" s="287"/>
      <c r="AL219" s="287"/>
      <c r="AM219" s="287"/>
      <c r="AN219" s="287"/>
      <c r="AO219" s="287"/>
      <c r="AP219" s="287"/>
      <c r="AQ219" s="287"/>
      <c r="AR219" s="287"/>
      <c r="AS219" s="287"/>
      <c r="AT219" s="287"/>
      <c r="AU219" s="287"/>
      <c r="AV219" s="287"/>
      <c r="AW219" s="287"/>
      <c r="AX219" s="287"/>
      <c r="AY219" s="287"/>
      <c r="AZ219" s="287"/>
      <c r="BA219" s="287"/>
      <c r="BB219" s="287"/>
      <c r="BC219" s="287"/>
    </row>
    <row r="220" ht="15.75" customHeight="1">
      <c r="A220" s="287"/>
      <c r="B220" s="287"/>
      <c r="C220" s="287"/>
      <c r="D220" s="287"/>
      <c r="E220" s="287"/>
      <c r="F220" s="287"/>
      <c r="G220" s="287"/>
      <c r="H220" s="287"/>
      <c r="I220" s="287"/>
      <c r="J220" s="287"/>
      <c r="K220" s="287"/>
      <c r="L220" s="287"/>
      <c r="M220" s="287"/>
      <c r="N220" s="287"/>
      <c r="O220" s="287"/>
      <c r="P220" s="287"/>
      <c r="Q220" s="287"/>
      <c r="R220" s="287"/>
      <c r="S220" s="287"/>
      <c r="T220" s="287"/>
      <c r="U220" s="287"/>
      <c r="V220" s="287"/>
      <c r="W220" s="287"/>
      <c r="X220" s="287"/>
      <c r="Y220" s="287"/>
      <c r="Z220" s="287"/>
      <c r="AA220" s="287"/>
      <c r="AB220" s="287"/>
      <c r="AC220" s="287"/>
      <c r="AD220" s="287"/>
      <c r="AE220" s="287"/>
      <c r="AF220" s="287"/>
      <c r="AG220" s="287"/>
      <c r="AH220" s="287"/>
      <c r="AI220" s="287"/>
      <c r="AJ220" s="287"/>
      <c r="AK220" s="287"/>
      <c r="AL220" s="287"/>
      <c r="AM220" s="287"/>
      <c r="AN220" s="287"/>
      <c r="AO220" s="287"/>
      <c r="AP220" s="287"/>
      <c r="AQ220" s="287"/>
      <c r="AR220" s="287"/>
      <c r="AS220" s="287"/>
      <c r="AT220" s="287"/>
      <c r="AU220" s="287"/>
      <c r="AV220" s="287"/>
      <c r="AW220" s="287"/>
      <c r="AX220" s="287"/>
      <c r="AY220" s="287"/>
      <c r="AZ220" s="287"/>
      <c r="BA220" s="287"/>
      <c r="BB220" s="287"/>
      <c r="BC220" s="287"/>
    </row>
    <row r="221" ht="15.75" customHeight="1">
      <c r="A221" s="287"/>
      <c r="B221" s="287"/>
      <c r="C221" s="287"/>
      <c r="D221" s="287"/>
      <c r="E221" s="287"/>
      <c r="F221" s="287"/>
      <c r="G221" s="287"/>
      <c r="H221" s="287"/>
      <c r="I221" s="287"/>
      <c r="J221" s="287"/>
      <c r="K221" s="287"/>
      <c r="L221" s="287"/>
      <c r="M221" s="287"/>
      <c r="N221" s="287"/>
      <c r="O221" s="287"/>
      <c r="P221" s="287"/>
      <c r="Q221" s="287"/>
      <c r="R221" s="287"/>
      <c r="S221" s="287"/>
      <c r="T221" s="287"/>
      <c r="U221" s="287"/>
      <c r="V221" s="287"/>
      <c r="W221" s="287"/>
      <c r="X221" s="287"/>
      <c r="Y221" s="287"/>
      <c r="Z221" s="287"/>
      <c r="AA221" s="287"/>
      <c r="AB221" s="287"/>
      <c r="AC221" s="287"/>
      <c r="AD221" s="287"/>
      <c r="AE221" s="287"/>
      <c r="AF221" s="287"/>
      <c r="AG221" s="287"/>
      <c r="AH221" s="287"/>
      <c r="AI221" s="287"/>
      <c r="AJ221" s="287"/>
      <c r="AK221" s="287"/>
      <c r="AL221" s="287"/>
      <c r="AM221" s="287"/>
      <c r="AN221" s="287"/>
      <c r="AO221" s="287"/>
      <c r="AP221" s="287"/>
      <c r="AQ221" s="287"/>
      <c r="AR221" s="287"/>
      <c r="AS221" s="287"/>
      <c r="AT221" s="287"/>
      <c r="AU221" s="287"/>
      <c r="AV221" s="287"/>
      <c r="AW221" s="287"/>
      <c r="AX221" s="287"/>
      <c r="AY221" s="287"/>
      <c r="AZ221" s="287"/>
      <c r="BA221" s="287"/>
      <c r="BB221" s="287"/>
      <c r="BC221" s="287"/>
    </row>
    <row r="222" ht="15.75" customHeight="1">
      <c r="A222" s="287"/>
      <c r="B222" s="287"/>
      <c r="C222" s="287"/>
      <c r="D222" s="287"/>
      <c r="E222" s="287"/>
      <c r="F222" s="287"/>
      <c r="G222" s="287"/>
      <c r="H222" s="287"/>
      <c r="I222" s="287"/>
      <c r="J222" s="287"/>
      <c r="K222" s="287"/>
      <c r="L222" s="287"/>
      <c r="M222" s="287"/>
      <c r="N222" s="287"/>
      <c r="O222" s="287"/>
      <c r="P222" s="287"/>
      <c r="Q222" s="287"/>
      <c r="R222" s="287"/>
      <c r="S222" s="287"/>
      <c r="T222" s="287"/>
      <c r="U222" s="287"/>
      <c r="V222" s="287"/>
      <c r="W222" s="287"/>
      <c r="X222" s="287"/>
      <c r="Y222" s="287"/>
      <c r="Z222" s="287"/>
      <c r="AA222" s="287"/>
      <c r="AB222" s="287"/>
      <c r="AC222" s="287"/>
      <c r="AD222" s="287"/>
      <c r="AE222" s="287"/>
      <c r="AF222" s="287"/>
      <c r="AG222" s="287"/>
      <c r="AH222" s="287"/>
      <c r="AI222" s="287"/>
      <c r="AJ222" s="287"/>
      <c r="AK222" s="287"/>
      <c r="AL222" s="287"/>
      <c r="AM222" s="287"/>
      <c r="AN222" s="287"/>
      <c r="AO222" s="287"/>
      <c r="AP222" s="287"/>
      <c r="AQ222" s="287"/>
      <c r="AR222" s="287"/>
      <c r="AS222" s="287"/>
      <c r="AT222" s="287"/>
      <c r="AU222" s="287"/>
      <c r="AV222" s="287"/>
      <c r="AW222" s="287"/>
      <c r="AX222" s="287"/>
      <c r="AY222" s="287"/>
      <c r="AZ222" s="287"/>
      <c r="BA222" s="287"/>
      <c r="BB222" s="287"/>
      <c r="BC222" s="287"/>
    </row>
    <row r="223" ht="15.75" customHeight="1">
      <c r="A223" s="287"/>
      <c r="B223" s="287"/>
      <c r="C223" s="287"/>
      <c r="D223" s="287"/>
      <c r="E223" s="287"/>
      <c r="F223" s="287"/>
      <c r="G223" s="287"/>
      <c r="H223" s="287"/>
      <c r="I223" s="287"/>
      <c r="J223" s="287"/>
      <c r="K223" s="287"/>
      <c r="L223" s="287"/>
      <c r="M223" s="287"/>
      <c r="N223" s="287"/>
      <c r="O223" s="287"/>
      <c r="P223" s="287"/>
      <c r="Q223" s="287"/>
      <c r="R223" s="287"/>
      <c r="S223" s="287"/>
      <c r="T223" s="287"/>
      <c r="U223" s="287"/>
      <c r="V223" s="287"/>
      <c r="W223" s="287"/>
      <c r="X223" s="287"/>
      <c r="Y223" s="287"/>
      <c r="Z223" s="287"/>
      <c r="AA223" s="287"/>
      <c r="AB223" s="287"/>
      <c r="AC223" s="287"/>
      <c r="AD223" s="287"/>
      <c r="AE223" s="287"/>
      <c r="AF223" s="287"/>
      <c r="AG223" s="287"/>
      <c r="AH223" s="287"/>
      <c r="AI223" s="287"/>
      <c r="AJ223" s="287"/>
      <c r="AK223" s="287"/>
      <c r="AL223" s="287"/>
      <c r="AM223" s="287"/>
      <c r="AN223" s="287"/>
      <c r="AO223" s="287"/>
      <c r="AP223" s="287"/>
      <c r="AQ223" s="287"/>
      <c r="AR223" s="287"/>
      <c r="AS223" s="287"/>
      <c r="AT223" s="287"/>
      <c r="AU223" s="287"/>
      <c r="AV223" s="287"/>
      <c r="AW223" s="287"/>
      <c r="AX223" s="287"/>
      <c r="AY223" s="287"/>
      <c r="AZ223" s="287"/>
      <c r="BA223" s="287"/>
      <c r="BB223" s="287"/>
      <c r="BC223" s="287"/>
    </row>
    <row r="224" ht="15.75" customHeight="1">
      <c r="A224" s="287"/>
      <c r="B224" s="287"/>
      <c r="C224" s="287"/>
      <c r="D224" s="287"/>
      <c r="E224" s="287"/>
      <c r="F224" s="287"/>
      <c r="G224" s="287"/>
      <c r="H224" s="287"/>
      <c r="I224" s="287"/>
      <c r="J224" s="287"/>
      <c r="K224" s="287"/>
      <c r="L224" s="287"/>
      <c r="M224" s="287"/>
      <c r="N224" s="287"/>
      <c r="O224" s="287"/>
      <c r="P224" s="287"/>
      <c r="Q224" s="287"/>
      <c r="R224" s="287"/>
      <c r="S224" s="287"/>
      <c r="T224" s="287"/>
      <c r="U224" s="287"/>
      <c r="V224" s="287"/>
      <c r="W224" s="287"/>
      <c r="X224" s="287"/>
      <c r="Y224" s="287"/>
      <c r="Z224" s="287"/>
      <c r="AA224" s="287"/>
      <c r="AB224" s="287"/>
      <c r="AC224" s="287"/>
      <c r="AD224" s="287"/>
      <c r="AE224" s="287"/>
      <c r="AF224" s="287"/>
      <c r="AG224" s="287"/>
      <c r="AH224" s="287"/>
      <c r="AI224" s="287"/>
      <c r="AJ224" s="287"/>
      <c r="AK224" s="287"/>
      <c r="AL224" s="287"/>
      <c r="AM224" s="287"/>
      <c r="AN224" s="287"/>
      <c r="AO224" s="287"/>
      <c r="AP224" s="287"/>
      <c r="AQ224" s="287"/>
      <c r="AR224" s="287"/>
      <c r="AS224" s="287"/>
      <c r="AT224" s="287"/>
      <c r="AU224" s="287"/>
      <c r="AV224" s="287"/>
      <c r="AW224" s="287"/>
      <c r="AX224" s="287"/>
      <c r="AY224" s="287"/>
      <c r="AZ224" s="287"/>
      <c r="BA224" s="287"/>
      <c r="BB224" s="287"/>
      <c r="BC224" s="287"/>
    </row>
    <row r="225" ht="15.75" customHeight="1">
      <c r="A225" s="287"/>
      <c r="B225" s="287"/>
      <c r="C225" s="287"/>
      <c r="D225" s="287"/>
      <c r="E225" s="287"/>
      <c r="F225" s="287"/>
      <c r="G225" s="287"/>
      <c r="H225" s="287"/>
      <c r="I225" s="287"/>
      <c r="J225" s="287"/>
      <c r="K225" s="287"/>
      <c r="L225" s="287"/>
      <c r="M225" s="287"/>
      <c r="N225" s="287"/>
      <c r="O225" s="287"/>
      <c r="P225" s="287"/>
      <c r="Q225" s="287"/>
      <c r="R225" s="287"/>
      <c r="S225" s="287"/>
      <c r="T225" s="287"/>
      <c r="U225" s="287"/>
      <c r="V225" s="287"/>
      <c r="W225" s="287"/>
      <c r="X225" s="287"/>
      <c r="Y225" s="287"/>
      <c r="Z225" s="287"/>
      <c r="AA225" s="287"/>
      <c r="AB225" s="287"/>
      <c r="AC225" s="287"/>
      <c r="AD225" s="287"/>
      <c r="AE225" s="287"/>
      <c r="AF225" s="287"/>
      <c r="AG225" s="287"/>
      <c r="AH225" s="287"/>
      <c r="AI225" s="287"/>
      <c r="AJ225" s="287"/>
      <c r="AK225" s="287"/>
      <c r="AL225" s="287"/>
      <c r="AM225" s="287"/>
      <c r="AN225" s="287"/>
      <c r="AO225" s="287"/>
      <c r="AP225" s="287"/>
      <c r="AQ225" s="287"/>
      <c r="AR225" s="287"/>
      <c r="AS225" s="287"/>
      <c r="AT225" s="287"/>
      <c r="AU225" s="287"/>
      <c r="AV225" s="287"/>
      <c r="AW225" s="287"/>
      <c r="AX225" s="287"/>
      <c r="AY225" s="287"/>
      <c r="AZ225" s="287"/>
      <c r="BA225" s="287"/>
      <c r="BB225" s="287"/>
      <c r="BC225" s="287"/>
    </row>
    <row r="226" ht="15.75" customHeight="1">
      <c r="A226" s="287"/>
      <c r="B226" s="287"/>
      <c r="C226" s="287"/>
      <c r="D226" s="287"/>
      <c r="E226" s="287"/>
      <c r="F226" s="287"/>
      <c r="G226" s="287"/>
      <c r="H226" s="287"/>
      <c r="I226" s="287"/>
      <c r="J226" s="287"/>
      <c r="K226" s="287"/>
      <c r="L226" s="287"/>
      <c r="M226" s="287"/>
      <c r="N226" s="287"/>
      <c r="O226" s="287"/>
      <c r="P226" s="287"/>
      <c r="Q226" s="287"/>
      <c r="R226" s="287"/>
      <c r="S226" s="287"/>
      <c r="T226" s="287"/>
      <c r="U226" s="287"/>
      <c r="V226" s="287"/>
      <c r="W226" s="287"/>
      <c r="X226" s="287"/>
      <c r="Y226" s="287"/>
      <c r="Z226" s="287"/>
      <c r="AA226" s="287"/>
      <c r="AB226" s="287"/>
      <c r="AC226" s="287"/>
      <c r="AD226" s="287"/>
      <c r="AE226" s="287"/>
      <c r="AF226" s="287"/>
      <c r="AG226" s="287"/>
      <c r="AH226" s="287"/>
      <c r="AI226" s="287"/>
      <c r="AJ226" s="287"/>
      <c r="AK226" s="287"/>
      <c r="AL226" s="287"/>
      <c r="AM226" s="287"/>
      <c r="AN226" s="287"/>
      <c r="AO226" s="287"/>
      <c r="AP226" s="287"/>
      <c r="AQ226" s="287"/>
      <c r="AR226" s="287"/>
      <c r="AS226" s="287"/>
      <c r="AT226" s="287"/>
      <c r="AU226" s="287"/>
      <c r="AV226" s="287"/>
      <c r="AW226" s="287"/>
      <c r="AX226" s="287"/>
      <c r="AY226" s="287"/>
      <c r="AZ226" s="287"/>
      <c r="BA226" s="287"/>
      <c r="BB226" s="287"/>
      <c r="BC226" s="287"/>
    </row>
    <row r="227" ht="15.75" customHeight="1">
      <c r="A227" s="287"/>
      <c r="B227" s="287"/>
      <c r="C227" s="287"/>
      <c r="D227" s="287"/>
      <c r="E227" s="287"/>
      <c r="F227" s="287"/>
      <c r="G227" s="287"/>
      <c r="H227" s="287"/>
      <c r="I227" s="287"/>
      <c r="J227" s="287"/>
      <c r="K227" s="287"/>
      <c r="L227" s="287"/>
      <c r="M227" s="287"/>
      <c r="N227" s="287"/>
      <c r="O227" s="287"/>
      <c r="P227" s="287"/>
      <c r="Q227" s="287"/>
      <c r="R227" s="287"/>
      <c r="S227" s="287"/>
      <c r="T227" s="287"/>
      <c r="U227" s="287"/>
      <c r="V227" s="287"/>
      <c r="W227" s="287"/>
      <c r="X227" s="287"/>
      <c r="Y227" s="287"/>
      <c r="Z227" s="287"/>
      <c r="AA227" s="287"/>
      <c r="AB227" s="287"/>
      <c r="AC227" s="287"/>
      <c r="AD227" s="287"/>
      <c r="AE227" s="287"/>
      <c r="AF227" s="287"/>
      <c r="AG227" s="287"/>
      <c r="AH227" s="287"/>
      <c r="AI227" s="287"/>
      <c r="AJ227" s="287"/>
      <c r="AK227" s="287"/>
      <c r="AL227" s="287"/>
      <c r="AM227" s="287"/>
      <c r="AN227" s="287"/>
      <c r="AO227" s="287"/>
      <c r="AP227" s="287"/>
      <c r="AQ227" s="287"/>
      <c r="AR227" s="287"/>
      <c r="AS227" s="287"/>
      <c r="AT227" s="287"/>
      <c r="AU227" s="287"/>
      <c r="AV227" s="287"/>
      <c r="AW227" s="287"/>
      <c r="AX227" s="287"/>
      <c r="AY227" s="287"/>
      <c r="AZ227" s="287"/>
      <c r="BA227" s="287"/>
      <c r="BB227" s="287"/>
      <c r="BC227" s="287"/>
    </row>
    <row r="228" ht="15.75" customHeight="1">
      <c r="A228" s="287"/>
      <c r="B228" s="287"/>
      <c r="C228" s="287"/>
      <c r="D228" s="287"/>
      <c r="E228" s="287"/>
      <c r="F228" s="287"/>
      <c r="G228" s="287"/>
      <c r="H228" s="287"/>
      <c r="I228" s="287"/>
      <c r="J228" s="287"/>
      <c r="K228" s="287"/>
      <c r="L228" s="287"/>
      <c r="M228" s="287"/>
      <c r="N228" s="287"/>
      <c r="O228" s="287"/>
      <c r="P228" s="287"/>
      <c r="Q228" s="287"/>
      <c r="R228" s="287"/>
      <c r="S228" s="287"/>
      <c r="T228" s="287"/>
      <c r="U228" s="287"/>
      <c r="V228" s="287"/>
      <c r="W228" s="287"/>
      <c r="X228" s="287"/>
      <c r="Y228" s="287"/>
      <c r="Z228" s="287"/>
      <c r="AA228" s="287"/>
      <c r="AB228" s="287"/>
      <c r="AC228" s="287"/>
      <c r="AD228" s="287"/>
      <c r="AE228" s="287"/>
      <c r="AF228" s="287"/>
      <c r="AG228" s="287"/>
      <c r="AH228" s="287"/>
      <c r="AI228" s="287"/>
      <c r="AJ228" s="287"/>
      <c r="AK228" s="287"/>
      <c r="AL228" s="287"/>
      <c r="AM228" s="287"/>
      <c r="AN228" s="287"/>
      <c r="AO228" s="287"/>
      <c r="AP228" s="287"/>
      <c r="AQ228" s="287"/>
      <c r="AR228" s="287"/>
      <c r="AS228" s="287"/>
      <c r="AT228" s="287"/>
      <c r="AU228" s="287"/>
      <c r="AV228" s="287"/>
      <c r="AW228" s="287"/>
      <c r="AX228" s="287"/>
      <c r="AY228" s="287"/>
      <c r="AZ228" s="287"/>
      <c r="BA228" s="287"/>
      <c r="BB228" s="287"/>
      <c r="BC228" s="287"/>
    </row>
    <row r="229" ht="15.75" customHeight="1">
      <c r="A229" s="287"/>
      <c r="B229" s="287"/>
      <c r="C229" s="287"/>
      <c r="D229" s="287"/>
      <c r="E229" s="287"/>
      <c r="F229" s="287"/>
      <c r="G229" s="287"/>
      <c r="H229" s="287"/>
      <c r="I229" s="287"/>
      <c r="J229" s="287"/>
      <c r="K229" s="287"/>
      <c r="L229" s="287"/>
      <c r="M229" s="287"/>
      <c r="N229" s="287"/>
      <c r="O229" s="287"/>
      <c r="P229" s="287"/>
      <c r="Q229" s="287"/>
      <c r="R229" s="287"/>
      <c r="S229" s="287"/>
      <c r="T229" s="287"/>
      <c r="U229" s="287"/>
      <c r="V229" s="287"/>
      <c r="W229" s="287"/>
      <c r="X229" s="287"/>
      <c r="Y229" s="287"/>
      <c r="Z229" s="287"/>
      <c r="AA229" s="287"/>
      <c r="AB229" s="287"/>
      <c r="AC229" s="287"/>
      <c r="AD229" s="287"/>
      <c r="AE229" s="287"/>
      <c r="AF229" s="287"/>
      <c r="AG229" s="287"/>
      <c r="AH229" s="287"/>
      <c r="AI229" s="287"/>
      <c r="AJ229" s="287"/>
      <c r="AK229" s="287"/>
      <c r="AL229" s="287"/>
      <c r="AM229" s="287"/>
      <c r="AN229" s="287"/>
      <c r="AO229" s="287"/>
      <c r="AP229" s="287"/>
      <c r="AQ229" s="287"/>
      <c r="AR229" s="287"/>
      <c r="AS229" s="287"/>
      <c r="AT229" s="287"/>
      <c r="AU229" s="287"/>
      <c r="AV229" s="287"/>
      <c r="AW229" s="287"/>
      <c r="AX229" s="287"/>
      <c r="AY229" s="287"/>
      <c r="AZ229" s="287"/>
      <c r="BA229" s="287"/>
      <c r="BB229" s="287"/>
      <c r="BC229" s="287"/>
    </row>
    <row r="230" ht="15.75" customHeight="1">
      <c r="A230" s="287"/>
      <c r="B230" s="287"/>
      <c r="C230" s="287"/>
      <c r="D230" s="287"/>
      <c r="E230" s="287"/>
      <c r="F230" s="287"/>
      <c r="G230" s="287"/>
      <c r="H230" s="287"/>
      <c r="I230" s="287"/>
      <c r="J230" s="287"/>
      <c r="K230" s="287"/>
      <c r="L230" s="287"/>
      <c r="M230" s="287"/>
      <c r="N230" s="287"/>
      <c r="O230" s="287"/>
      <c r="P230" s="287"/>
      <c r="Q230" s="287"/>
      <c r="R230" s="287"/>
      <c r="S230" s="287"/>
      <c r="T230" s="287"/>
      <c r="U230" s="287"/>
      <c r="V230" s="287"/>
      <c r="W230" s="287"/>
      <c r="X230" s="287"/>
      <c r="Y230" s="287"/>
      <c r="Z230" s="287"/>
      <c r="AA230" s="287"/>
      <c r="AB230" s="287"/>
      <c r="AC230" s="287"/>
      <c r="AD230" s="287"/>
      <c r="AE230" s="287"/>
      <c r="AF230" s="287"/>
      <c r="AG230" s="287"/>
      <c r="AH230" s="287"/>
      <c r="AI230" s="287"/>
      <c r="AJ230" s="287"/>
      <c r="AK230" s="287"/>
      <c r="AL230" s="287"/>
      <c r="AM230" s="287"/>
      <c r="AN230" s="287"/>
      <c r="AO230" s="287"/>
      <c r="AP230" s="287"/>
      <c r="AQ230" s="287"/>
      <c r="AR230" s="287"/>
      <c r="AS230" s="287"/>
      <c r="AT230" s="287"/>
      <c r="AU230" s="287"/>
      <c r="AV230" s="287"/>
      <c r="AW230" s="287"/>
      <c r="AX230" s="287"/>
      <c r="AY230" s="287"/>
      <c r="AZ230" s="287"/>
      <c r="BA230" s="287"/>
      <c r="BB230" s="287"/>
      <c r="BC230" s="287"/>
    </row>
    <row r="231" ht="15.75" customHeight="1">
      <c r="A231" s="287"/>
      <c r="B231" s="287"/>
      <c r="C231" s="287"/>
      <c r="D231" s="287"/>
      <c r="E231" s="287"/>
      <c r="F231" s="287"/>
      <c r="G231" s="287"/>
      <c r="H231" s="287"/>
      <c r="I231" s="287"/>
      <c r="J231" s="287"/>
      <c r="K231" s="287"/>
      <c r="L231" s="287"/>
      <c r="M231" s="287"/>
      <c r="N231" s="287"/>
      <c r="O231" s="287"/>
      <c r="P231" s="287"/>
      <c r="Q231" s="287"/>
      <c r="R231" s="287"/>
      <c r="S231" s="287"/>
      <c r="T231" s="287"/>
      <c r="U231" s="287"/>
      <c r="V231" s="287"/>
      <c r="W231" s="287"/>
      <c r="X231" s="287"/>
      <c r="Y231" s="287"/>
      <c r="Z231" s="287"/>
      <c r="AA231" s="287"/>
      <c r="AB231" s="287"/>
      <c r="AC231" s="287"/>
      <c r="AD231" s="287"/>
      <c r="AE231" s="287"/>
      <c r="AF231" s="287"/>
      <c r="AG231" s="287"/>
      <c r="AH231" s="287"/>
      <c r="AI231" s="287"/>
      <c r="AJ231" s="287"/>
      <c r="AK231" s="287"/>
      <c r="AL231" s="287"/>
      <c r="AM231" s="287"/>
      <c r="AN231" s="287"/>
      <c r="AO231" s="287"/>
      <c r="AP231" s="287"/>
      <c r="AQ231" s="287"/>
      <c r="AR231" s="287"/>
      <c r="AS231" s="287"/>
      <c r="AT231" s="287"/>
      <c r="AU231" s="287"/>
      <c r="AV231" s="287"/>
      <c r="AW231" s="287"/>
      <c r="AX231" s="287"/>
      <c r="AY231" s="287"/>
      <c r="AZ231" s="287"/>
      <c r="BA231" s="287"/>
      <c r="BB231" s="287"/>
      <c r="BC231" s="287"/>
    </row>
    <row r="232" ht="15.75" customHeight="1">
      <c r="A232" s="287"/>
      <c r="B232" s="287"/>
      <c r="C232" s="287"/>
      <c r="D232" s="287"/>
      <c r="E232" s="287"/>
      <c r="F232" s="287"/>
      <c r="G232" s="287"/>
      <c r="H232" s="287"/>
      <c r="I232" s="287"/>
      <c r="J232" s="287"/>
      <c r="K232" s="287"/>
      <c r="L232" s="287"/>
      <c r="M232" s="287"/>
      <c r="N232" s="287"/>
      <c r="O232" s="287"/>
      <c r="P232" s="287"/>
      <c r="Q232" s="287"/>
      <c r="R232" s="287"/>
      <c r="S232" s="287"/>
      <c r="T232" s="287"/>
      <c r="U232" s="287"/>
      <c r="V232" s="287"/>
      <c r="W232" s="287"/>
      <c r="X232" s="287"/>
      <c r="Y232" s="287"/>
      <c r="Z232" s="287"/>
      <c r="AA232" s="287"/>
      <c r="AB232" s="287"/>
      <c r="AC232" s="287"/>
      <c r="AD232" s="287"/>
      <c r="AE232" s="287"/>
      <c r="AF232" s="287"/>
      <c r="AG232" s="287"/>
      <c r="AH232" s="287"/>
      <c r="AI232" s="287"/>
      <c r="AJ232" s="287"/>
      <c r="AK232" s="287"/>
      <c r="AL232" s="287"/>
      <c r="AM232" s="287"/>
      <c r="AN232" s="287"/>
      <c r="AO232" s="287"/>
      <c r="AP232" s="287"/>
      <c r="AQ232" s="287"/>
      <c r="AR232" s="287"/>
      <c r="AS232" s="287"/>
      <c r="AT232" s="287"/>
      <c r="AU232" s="287"/>
      <c r="AV232" s="287"/>
      <c r="AW232" s="287"/>
      <c r="AX232" s="287"/>
      <c r="AY232" s="287"/>
      <c r="AZ232" s="287"/>
      <c r="BA232" s="287"/>
      <c r="BB232" s="287"/>
      <c r="BC232" s="287"/>
    </row>
    <row r="233" ht="15.75" customHeight="1">
      <c r="A233" s="287"/>
      <c r="B233" s="287"/>
      <c r="C233" s="287"/>
      <c r="D233" s="287"/>
      <c r="E233" s="287"/>
      <c r="F233" s="287"/>
      <c r="G233" s="287"/>
      <c r="H233" s="287"/>
      <c r="I233" s="287"/>
      <c r="J233" s="287"/>
      <c r="K233" s="287"/>
      <c r="L233" s="287"/>
      <c r="M233" s="287"/>
      <c r="N233" s="287"/>
      <c r="O233" s="287"/>
      <c r="P233" s="287"/>
      <c r="Q233" s="287"/>
      <c r="R233" s="287"/>
      <c r="S233" s="287"/>
      <c r="T233" s="287"/>
      <c r="U233" s="287"/>
      <c r="V233" s="287"/>
      <c r="W233" s="287"/>
      <c r="X233" s="287"/>
      <c r="Y233" s="287"/>
      <c r="Z233" s="287"/>
      <c r="AA233" s="287"/>
      <c r="AB233" s="287"/>
      <c r="AC233" s="287"/>
      <c r="AD233" s="287"/>
      <c r="AE233" s="287"/>
      <c r="AF233" s="287"/>
      <c r="AG233" s="287"/>
      <c r="AH233" s="287"/>
      <c r="AI233" s="287"/>
      <c r="AJ233" s="287"/>
      <c r="AK233" s="287"/>
      <c r="AL233" s="287"/>
      <c r="AM233" s="287"/>
      <c r="AN233" s="287"/>
      <c r="AO233" s="287"/>
      <c r="AP233" s="287"/>
      <c r="AQ233" s="287"/>
      <c r="AR233" s="287"/>
      <c r="AS233" s="287"/>
      <c r="AT233" s="287"/>
      <c r="AU233" s="287"/>
      <c r="AV233" s="287"/>
      <c r="AW233" s="287"/>
      <c r="AX233" s="287"/>
      <c r="AY233" s="287"/>
      <c r="AZ233" s="287"/>
      <c r="BA233" s="287"/>
      <c r="BB233" s="287"/>
      <c r="BC233" s="287"/>
    </row>
    <row r="234" ht="15.75" customHeight="1">
      <c r="A234" s="287"/>
      <c r="B234" s="287"/>
      <c r="C234" s="287"/>
      <c r="D234" s="287"/>
      <c r="E234" s="287"/>
      <c r="F234" s="287"/>
      <c r="G234" s="287"/>
      <c r="H234" s="287"/>
      <c r="I234" s="287"/>
      <c r="J234" s="287"/>
      <c r="K234" s="287"/>
      <c r="L234" s="287"/>
      <c r="M234" s="287"/>
      <c r="N234" s="287"/>
      <c r="O234" s="287"/>
      <c r="P234" s="287"/>
      <c r="Q234" s="287"/>
      <c r="R234" s="287"/>
      <c r="S234" s="287"/>
      <c r="T234" s="287"/>
      <c r="U234" s="287"/>
      <c r="V234" s="287"/>
      <c r="W234" s="287"/>
      <c r="X234" s="287"/>
      <c r="Y234" s="287"/>
      <c r="Z234" s="287"/>
      <c r="AA234" s="287"/>
      <c r="AB234" s="287"/>
      <c r="AC234" s="287"/>
      <c r="AD234" s="287"/>
      <c r="AE234" s="287"/>
      <c r="AF234" s="287"/>
      <c r="AG234" s="287"/>
      <c r="AH234" s="287"/>
      <c r="AI234" s="287"/>
      <c r="AJ234" s="287"/>
      <c r="AK234" s="287"/>
      <c r="AL234" s="287"/>
      <c r="AM234" s="287"/>
      <c r="AN234" s="287"/>
      <c r="AO234" s="287"/>
      <c r="AP234" s="287"/>
      <c r="AQ234" s="287"/>
      <c r="AR234" s="287"/>
      <c r="AS234" s="287"/>
      <c r="AT234" s="287"/>
      <c r="AU234" s="287"/>
      <c r="AV234" s="287"/>
      <c r="AW234" s="287"/>
      <c r="AX234" s="287"/>
      <c r="AY234" s="287"/>
      <c r="AZ234" s="287"/>
      <c r="BA234" s="287"/>
      <c r="BB234" s="287"/>
      <c r="BC234" s="287"/>
    </row>
    <row r="235" ht="15.75" customHeight="1">
      <c r="A235" s="287"/>
      <c r="B235" s="287"/>
      <c r="C235" s="287"/>
      <c r="D235" s="287"/>
      <c r="E235" s="287"/>
      <c r="F235" s="287"/>
      <c r="G235" s="287"/>
      <c r="H235" s="287"/>
      <c r="I235" s="287"/>
      <c r="J235" s="287"/>
      <c r="K235" s="287"/>
      <c r="L235" s="287"/>
      <c r="M235" s="287"/>
      <c r="N235" s="287"/>
      <c r="O235" s="287"/>
      <c r="P235" s="287"/>
      <c r="Q235" s="287"/>
      <c r="R235" s="287"/>
      <c r="S235" s="287"/>
      <c r="T235" s="287"/>
      <c r="U235" s="287"/>
      <c r="V235" s="287"/>
      <c r="W235" s="287"/>
      <c r="X235" s="287"/>
      <c r="Y235" s="287"/>
      <c r="Z235" s="287"/>
      <c r="AA235" s="287"/>
      <c r="AB235" s="287"/>
      <c r="AC235" s="287"/>
      <c r="AD235" s="287"/>
      <c r="AE235" s="287"/>
      <c r="AF235" s="287"/>
      <c r="AG235" s="287"/>
      <c r="AH235" s="287"/>
      <c r="AI235" s="287"/>
      <c r="AJ235" s="287"/>
      <c r="AK235" s="287"/>
      <c r="AL235" s="287"/>
      <c r="AM235" s="287"/>
      <c r="AN235" s="287"/>
      <c r="AO235" s="287"/>
      <c r="AP235" s="287"/>
      <c r="AQ235" s="287"/>
      <c r="AR235" s="287"/>
      <c r="AS235" s="287"/>
      <c r="AT235" s="287"/>
      <c r="AU235" s="287"/>
      <c r="AV235" s="287"/>
      <c r="AW235" s="287"/>
      <c r="AX235" s="287"/>
      <c r="AY235" s="287"/>
      <c r="AZ235" s="287"/>
      <c r="BA235" s="287"/>
      <c r="BB235" s="287"/>
      <c r="BC235" s="287"/>
    </row>
    <row r="236" ht="15.75" customHeight="1">
      <c r="A236" s="287"/>
      <c r="B236" s="287"/>
      <c r="C236" s="287"/>
      <c r="D236" s="287"/>
      <c r="E236" s="287"/>
      <c r="F236" s="287"/>
      <c r="G236" s="287"/>
      <c r="H236" s="287"/>
      <c r="I236" s="287"/>
      <c r="J236" s="287"/>
      <c r="K236" s="287"/>
      <c r="L236" s="287"/>
      <c r="M236" s="287"/>
      <c r="N236" s="287"/>
      <c r="O236" s="287"/>
      <c r="P236" s="287"/>
      <c r="Q236" s="287"/>
      <c r="R236" s="287"/>
      <c r="S236" s="287"/>
      <c r="T236" s="287"/>
      <c r="U236" s="287"/>
      <c r="V236" s="287"/>
      <c r="W236" s="287"/>
      <c r="X236" s="287"/>
      <c r="Y236" s="287"/>
      <c r="Z236" s="287"/>
      <c r="AA236" s="287"/>
      <c r="AB236" s="287"/>
      <c r="AC236" s="287"/>
      <c r="AD236" s="287"/>
      <c r="AE236" s="287"/>
      <c r="AF236" s="287"/>
      <c r="AG236" s="287"/>
      <c r="AH236" s="287"/>
      <c r="AI236" s="287"/>
      <c r="AJ236" s="287"/>
      <c r="AK236" s="287"/>
      <c r="AL236" s="287"/>
      <c r="AM236" s="287"/>
      <c r="AN236" s="287"/>
      <c r="AO236" s="287"/>
      <c r="AP236" s="287"/>
      <c r="AQ236" s="287"/>
      <c r="AR236" s="287"/>
      <c r="AS236" s="287"/>
      <c r="AT236" s="287"/>
      <c r="AU236" s="287"/>
      <c r="AV236" s="287"/>
      <c r="AW236" s="287"/>
      <c r="AX236" s="287"/>
      <c r="AY236" s="287"/>
      <c r="AZ236" s="287"/>
      <c r="BA236" s="287"/>
      <c r="BB236" s="287"/>
      <c r="BC236" s="287"/>
    </row>
    <row r="237" ht="15.75" customHeight="1">
      <c r="A237" s="287"/>
      <c r="B237" s="287"/>
      <c r="C237" s="287"/>
      <c r="D237" s="287"/>
      <c r="E237" s="287"/>
      <c r="F237" s="287"/>
      <c r="G237" s="287"/>
      <c r="H237" s="287"/>
      <c r="I237" s="287"/>
      <c r="J237" s="287"/>
      <c r="K237" s="287"/>
      <c r="L237" s="287"/>
      <c r="M237" s="287"/>
      <c r="N237" s="287"/>
      <c r="O237" s="287"/>
      <c r="P237" s="287"/>
      <c r="Q237" s="287"/>
      <c r="R237" s="287"/>
      <c r="S237" s="287"/>
      <c r="T237" s="287"/>
      <c r="U237" s="287"/>
      <c r="V237" s="287"/>
      <c r="W237" s="287"/>
      <c r="X237" s="287"/>
      <c r="Y237" s="287"/>
      <c r="Z237" s="287"/>
      <c r="AA237" s="287"/>
      <c r="AB237" s="287"/>
      <c r="AC237" s="287"/>
      <c r="AD237" s="287"/>
      <c r="AE237" s="287"/>
      <c r="AF237" s="287"/>
      <c r="AG237" s="287"/>
      <c r="AH237" s="287"/>
      <c r="AI237" s="287"/>
      <c r="AJ237" s="287"/>
      <c r="AK237" s="287"/>
      <c r="AL237" s="287"/>
      <c r="AM237" s="287"/>
      <c r="AN237" s="287"/>
      <c r="AO237" s="287"/>
      <c r="AP237" s="287"/>
      <c r="AQ237" s="287"/>
      <c r="AR237" s="287"/>
      <c r="AS237" s="287"/>
      <c r="AT237" s="287"/>
      <c r="AU237" s="287"/>
      <c r="AV237" s="287"/>
      <c r="AW237" s="287"/>
      <c r="AX237" s="287"/>
      <c r="AY237" s="287"/>
      <c r="AZ237" s="287"/>
      <c r="BA237" s="287"/>
      <c r="BB237" s="287"/>
      <c r="BC237" s="287"/>
    </row>
    <row r="238" ht="15.75" customHeight="1">
      <c r="A238" s="287"/>
      <c r="B238" s="287"/>
      <c r="C238" s="287"/>
      <c r="D238" s="287"/>
      <c r="E238" s="287"/>
      <c r="F238" s="287"/>
      <c r="G238" s="287"/>
      <c r="H238" s="287"/>
      <c r="I238" s="287"/>
      <c r="J238" s="287"/>
      <c r="K238" s="287"/>
      <c r="L238" s="287"/>
      <c r="M238" s="287"/>
      <c r="N238" s="287"/>
      <c r="O238" s="287"/>
      <c r="P238" s="287"/>
      <c r="Q238" s="287"/>
      <c r="R238" s="287"/>
      <c r="S238" s="287"/>
      <c r="T238" s="287"/>
      <c r="U238" s="287"/>
      <c r="V238" s="287"/>
      <c r="W238" s="287"/>
      <c r="X238" s="287"/>
      <c r="Y238" s="287"/>
      <c r="Z238" s="287"/>
      <c r="AA238" s="287"/>
      <c r="AB238" s="287"/>
      <c r="AC238" s="287"/>
      <c r="AD238" s="287"/>
      <c r="AE238" s="287"/>
      <c r="AF238" s="287"/>
      <c r="AG238" s="287"/>
      <c r="AH238" s="287"/>
      <c r="AI238" s="287"/>
      <c r="AJ238" s="287"/>
      <c r="AK238" s="287"/>
      <c r="AL238" s="287"/>
      <c r="AM238" s="287"/>
      <c r="AN238" s="287"/>
      <c r="AO238" s="287"/>
      <c r="AP238" s="287"/>
      <c r="AQ238" s="287"/>
      <c r="AR238" s="287"/>
      <c r="AS238" s="287"/>
      <c r="AT238" s="287"/>
      <c r="AU238" s="287"/>
      <c r="AV238" s="287"/>
      <c r="AW238" s="287"/>
      <c r="AX238" s="287"/>
      <c r="AY238" s="287"/>
      <c r="AZ238" s="287"/>
      <c r="BA238" s="287"/>
      <c r="BB238" s="287"/>
      <c r="BC238" s="287"/>
    </row>
    <row r="239" ht="15.75" customHeight="1">
      <c r="A239" s="287"/>
      <c r="B239" s="287"/>
      <c r="C239" s="287"/>
      <c r="D239" s="287"/>
      <c r="E239" s="287"/>
      <c r="F239" s="287"/>
      <c r="G239" s="287"/>
      <c r="H239" s="287"/>
      <c r="I239" s="287"/>
      <c r="J239" s="287"/>
      <c r="K239" s="287"/>
      <c r="L239" s="287"/>
      <c r="M239" s="287"/>
      <c r="N239" s="287"/>
      <c r="O239" s="287"/>
      <c r="P239" s="287"/>
      <c r="Q239" s="287"/>
      <c r="R239" s="287"/>
      <c r="S239" s="287"/>
      <c r="T239" s="287"/>
      <c r="U239" s="287"/>
      <c r="V239" s="287"/>
      <c r="W239" s="287"/>
      <c r="X239" s="287"/>
      <c r="Y239" s="287"/>
      <c r="Z239" s="287"/>
      <c r="AA239" s="287"/>
      <c r="AB239" s="287"/>
      <c r="AC239" s="287"/>
      <c r="AD239" s="287"/>
      <c r="AE239" s="287"/>
      <c r="AF239" s="287"/>
      <c r="AG239" s="287"/>
      <c r="AH239" s="287"/>
      <c r="AI239" s="287"/>
      <c r="AJ239" s="287"/>
      <c r="AK239" s="287"/>
      <c r="AL239" s="287"/>
      <c r="AM239" s="287"/>
      <c r="AN239" s="287"/>
      <c r="AO239" s="287"/>
      <c r="AP239" s="287"/>
      <c r="AQ239" s="287"/>
      <c r="AR239" s="287"/>
      <c r="AS239" s="287"/>
      <c r="AT239" s="287"/>
      <c r="AU239" s="287"/>
      <c r="AV239" s="287"/>
      <c r="AW239" s="287"/>
      <c r="AX239" s="287"/>
      <c r="AY239" s="287"/>
      <c r="AZ239" s="287"/>
      <c r="BA239" s="287"/>
      <c r="BB239" s="287"/>
      <c r="BC239" s="287"/>
    </row>
    <row r="240" ht="15.75" customHeight="1">
      <c r="A240" s="287"/>
      <c r="B240" s="287"/>
      <c r="C240" s="287"/>
      <c r="D240" s="287"/>
      <c r="E240" s="287"/>
      <c r="F240" s="287"/>
      <c r="G240" s="287"/>
      <c r="H240" s="287"/>
      <c r="I240" s="287"/>
      <c r="J240" s="287"/>
      <c r="K240" s="287"/>
      <c r="L240" s="287"/>
      <c r="M240" s="287"/>
      <c r="N240" s="287"/>
      <c r="O240" s="287"/>
      <c r="P240" s="287"/>
      <c r="Q240" s="287"/>
      <c r="R240" s="287"/>
      <c r="S240" s="287"/>
      <c r="T240" s="287"/>
      <c r="U240" s="287"/>
      <c r="V240" s="287"/>
      <c r="W240" s="287"/>
      <c r="X240" s="287"/>
      <c r="Y240" s="287"/>
      <c r="Z240" s="287"/>
      <c r="AA240" s="287"/>
      <c r="AB240" s="287"/>
      <c r="AC240" s="287"/>
      <c r="AD240" s="287"/>
      <c r="AE240" s="287"/>
      <c r="AF240" s="287"/>
      <c r="AG240" s="287"/>
      <c r="AH240" s="287"/>
      <c r="AI240" s="287"/>
      <c r="AJ240" s="287"/>
      <c r="AK240" s="287"/>
      <c r="AL240" s="287"/>
      <c r="AM240" s="287"/>
      <c r="AN240" s="287"/>
      <c r="AO240" s="287"/>
      <c r="AP240" s="287"/>
      <c r="AQ240" s="287"/>
      <c r="AR240" s="287"/>
      <c r="AS240" s="287"/>
      <c r="AT240" s="287"/>
      <c r="AU240" s="287"/>
      <c r="AV240" s="287"/>
      <c r="AW240" s="287"/>
      <c r="AX240" s="287"/>
      <c r="AY240" s="287"/>
      <c r="AZ240" s="287"/>
      <c r="BA240" s="287"/>
      <c r="BB240" s="287"/>
      <c r="BC240" s="287"/>
    </row>
    <row r="241" ht="15.75" customHeight="1">
      <c r="A241" s="287"/>
      <c r="B241" s="287"/>
      <c r="C241" s="287"/>
      <c r="D241" s="287"/>
      <c r="E241" s="287"/>
      <c r="F241" s="287"/>
      <c r="G241" s="287"/>
      <c r="H241" s="287"/>
      <c r="I241" s="287"/>
      <c r="J241" s="287"/>
      <c r="K241" s="287"/>
      <c r="L241" s="287"/>
      <c r="M241" s="287"/>
      <c r="N241" s="287"/>
      <c r="O241" s="287"/>
      <c r="P241" s="287"/>
      <c r="Q241" s="287"/>
      <c r="R241" s="287"/>
      <c r="S241" s="287"/>
      <c r="T241" s="287"/>
      <c r="U241" s="287"/>
      <c r="V241" s="287"/>
      <c r="W241" s="287"/>
      <c r="X241" s="287"/>
      <c r="Y241" s="287"/>
      <c r="Z241" s="287"/>
      <c r="AA241" s="287"/>
      <c r="AB241" s="287"/>
      <c r="AC241" s="287"/>
      <c r="AD241" s="287"/>
      <c r="AE241" s="287"/>
      <c r="AF241" s="287"/>
      <c r="AG241" s="287"/>
      <c r="AH241" s="287"/>
      <c r="AI241" s="287"/>
      <c r="AJ241" s="287"/>
      <c r="AK241" s="287"/>
      <c r="AL241" s="287"/>
      <c r="AM241" s="287"/>
      <c r="AN241" s="287"/>
      <c r="AO241" s="287"/>
      <c r="AP241" s="287"/>
      <c r="AQ241" s="287"/>
      <c r="AR241" s="287"/>
      <c r="AS241" s="287"/>
      <c r="AT241" s="287"/>
      <c r="AU241" s="287"/>
      <c r="AV241" s="287"/>
      <c r="AW241" s="287"/>
      <c r="AX241" s="287"/>
      <c r="AY241" s="287"/>
      <c r="AZ241" s="287"/>
      <c r="BA241" s="287"/>
      <c r="BB241" s="287"/>
      <c r="BC241" s="287"/>
    </row>
    <row r="242" ht="15.75" customHeight="1">
      <c r="A242" s="287"/>
      <c r="B242" s="287"/>
      <c r="C242" s="287"/>
      <c r="D242" s="287"/>
      <c r="E242" s="287"/>
      <c r="F242" s="287"/>
      <c r="G242" s="287"/>
      <c r="H242" s="287"/>
      <c r="I242" s="287"/>
      <c r="J242" s="287"/>
      <c r="K242" s="287"/>
      <c r="L242" s="287"/>
      <c r="M242" s="287"/>
      <c r="N242" s="287"/>
      <c r="O242" s="287"/>
      <c r="P242" s="287"/>
      <c r="Q242" s="287"/>
      <c r="R242" s="287"/>
      <c r="S242" s="287"/>
      <c r="T242" s="287"/>
      <c r="U242" s="287"/>
      <c r="V242" s="287"/>
      <c r="W242" s="287"/>
      <c r="X242" s="287"/>
      <c r="Y242" s="287"/>
      <c r="Z242" s="287"/>
      <c r="AA242" s="287"/>
      <c r="AB242" s="287"/>
      <c r="AC242" s="287"/>
      <c r="AD242" s="287"/>
      <c r="AE242" s="287"/>
      <c r="AF242" s="287"/>
      <c r="AG242" s="287"/>
      <c r="AH242" s="287"/>
      <c r="AI242" s="287"/>
      <c r="AJ242" s="287"/>
      <c r="AK242" s="287"/>
      <c r="AL242" s="287"/>
      <c r="AM242" s="287"/>
      <c r="AN242" s="287"/>
      <c r="AO242" s="287"/>
      <c r="AP242" s="287"/>
      <c r="AQ242" s="287"/>
      <c r="AR242" s="287"/>
      <c r="AS242" s="287"/>
      <c r="AT242" s="287"/>
      <c r="AU242" s="287"/>
      <c r="AV242" s="287"/>
      <c r="AW242" s="287"/>
      <c r="AX242" s="287"/>
      <c r="AY242" s="287"/>
      <c r="AZ242" s="287"/>
      <c r="BA242" s="287"/>
      <c r="BB242" s="287"/>
      <c r="BC242" s="287"/>
    </row>
    <row r="243" ht="15.75" customHeight="1">
      <c r="A243" s="287"/>
      <c r="B243" s="287"/>
      <c r="C243" s="287"/>
      <c r="D243" s="287"/>
      <c r="E243" s="287"/>
      <c r="F243" s="287"/>
      <c r="G243" s="287"/>
      <c r="H243" s="287"/>
      <c r="I243" s="287"/>
      <c r="J243" s="287"/>
      <c r="K243" s="287"/>
      <c r="L243" s="287"/>
      <c r="M243" s="287"/>
      <c r="N243" s="287"/>
      <c r="O243" s="287"/>
      <c r="P243" s="287"/>
      <c r="Q243" s="287"/>
      <c r="R243" s="287"/>
      <c r="S243" s="287"/>
      <c r="T243" s="287"/>
      <c r="U243" s="287"/>
      <c r="V243" s="287"/>
      <c r="W243" s="287"/>
      <c r="X243" s="287"/>
      <c r="Y243" s="287"/>
      <c r="Z243" s="287"/>
      <c r="AA243" s="287"/>
      <c r="AB243" s="287"/>
      <c r="AC243" s="287"/>
      <c r="AD243" s="287"/>
      <c r="AE243" s="287"/>
      <c r="AF243" s="287"/>
      <c r="AG243" s="287"/>
      <c r="AH243" s="287"/>
      <c r="AI243" s="287"/>
      <c r="AJ243" s="287"/>
      <c r="AK243" s="287"/>
      <c r="AL243" s="287"/>
      <c r="AM243" s="287"/>
      <c r="AN243" s="287"/>
      <c r="AO243" s="287"/>
      <c r="AP243" s="287"/>
      <c r="AQ243" s="287"/>
      <c r="AR243" s="287"/>
      <c r="AS243" s="287"/>
      <c r="AT243" s="287"/>
      <c r="AU243" s="287"/>
      <c r="AV243" s="287"/>
      <c r="AW243" s="287"/>
      <c r="AX243" s="287"/>
      <c r="AY243" s="287"/>
      <c r="AZ243" s="287"/>
      <c r="BA243" s="287"/>
      <c r="BB243" s="287"/>
      <c r="BC243" s="287"/>
    </row>
    <row r="244" ht="15.75" customHeight="1">
      <c r="A244" s="287"/>
      <c r="B244" s="287"/>
      <c r="C244" s="287"/>
      <c r="D244" s="287"/>
      <c r="E244" s="287"/>
      <c r="F244" s="287"/>
      <c r="G244" s="287"/>
      <c r="H244" s="287"/>
      <c r="I244" s="287"/>
      <c r="J244" s="287"/>
      <c r="K244" s="287"/>
      <c r="L244" s="287"/>
      <c r="M244" s="287"/>
      <c r="N244" s="287"/>
      <c r="O244" s="287"/>
      <c r="P244" s="287"/>
      <c r="Q244" s="287"/>
      <c r="R244" s="287"/>
      <c r="S244" s="287"/>
      <c r="T244" s="287"/>
      <c r="U244" s="287"/>
      <c r="V244" s="287"/>
      <c r="W244" s="287"/>
      <c r="X244" s="287"/>
      <c r="Y244" s="287"/>
      <c r="Z244" s="287"/>
      <c r="AA244" s="287"/>
      <c r="AB244" s="287"/>
      <c r="AC244" s="287"/>
      <c r="AD244" s="287"/>
      <c r="AE244" s="287"/>
      <c r="AF244" s="287"/>
      <c r="AG244" s="287"/>
      <c r="AH244" s="287"/>
      <c r="AI244" s="287"/>
      <c r="AJ244" s="287"/>
      <c r="AK244" s="287"/>
      <c r="AL244" s="287"/>
      <c r="AM244" s="287"/>
      <c r="AN244" s="287"/>
      <c r="AO244" s="287"/>
      <c r="AP244" s="287"/>
      <c r="AQ244" s="287"/>
      <c r="AR244" s="287"/>
      <c r="AS244" s="287"/>
      <c r="AT244" s="287"/>
      <c r="AU244" s="287"/>
      <c r="AV244" s="287"/>
      <c r="AW244" s="287"/>
      <c r="AX244" s="287"/>
      <c r="AY244" s="287"/>
      <c r="AZ244" s="287"/>
      <c r="BA244" s="287"/>
      <c r="BB244" s="287"/>
      <c r="BC244" s="287"/>
    </row>
    <row r="245" ht="15.75" customHeight="1">
      <c r="A245" s="287"/>
      <c r="B245" s="287"/>
      <c r="C245" s="287"/>
      <c r="D245" s="287"/>
      <c r="E245" s="287"/>
      <c r="F245" s="287"/>
      <c r="G245" s="287"/>
      <c r="H245" s="287"/>
      <c r="I245" s="287"/>
      <c r="J245" s="287"/>
      <c r="K245" s="287"/>
      <c r="L245" s="287"/>
      <c r="M245" s="287"/>
      <c r="N245" s="287"/>
      <c r="O245" s="287"/>
      <c r="P245" s="287"/>
      <c r="Q245" s="287"/>
      <c r="R245" s="287"/>
      <c r="S245" s="287"/>
      <c r="T245" s="287"/>
      <c r="U245" s="287"/>
      <c r="V245" s="287"/>
      <c r="W245" s="287"/>
      <c r="X245" s="287"/>
      <c r="Y245" s="287"/>
      <c r="Z245" s="287"/>
      <c r="AA245" s="287"/>
      <c r="AB245" s="287"/>
      <c r="AC245" s="287"/>
      <c r="AD245" s="287"/>
      <c r="AE245" s="287"/>
      <c r="AF245" s="287"/>
      <c r="AG245" s="287"/>
      <c r="AH245" s="287"/>
      <c r="AI245" s="287"/>
      <c r="AJ245" s="287"/>
      <c r="AK245" s="287"/>
      <c r="AL245" s="287"/>
      <c r="AM245" s="287"/>
      <c r="AN245" s="287"/>
      <c r="AO245" s="287"/>
      <c r="AP245" s="287"/>
      <c r="AQ245" s="287"/>
      <c r="AR245" s="287"/>
      <c r="AS245" s="287"/>
      <c r="AT245" s="287"/>
      <c r="AU245" s="287"/>
      <c r="AV245" s="287"/>
      <c r="AW245" s="287"/>
      <c r="AX245" s="287"/>
      <c r="AY245" s="287"/>
      <c r="AZ245" s="287"/>
      <c r="BA245" s="287"/>
      <c r="BB245" s="287"/>
      <c r="BC245" s="287"/>
    </row>
    <row r="246" ht="15.75" customHeight="1">
      <c r="A246" s="287"/>
      <c r="B246" s="287"/>
      <c r="C246" s="287"/>
      <c r="D246" s="287"/>
      <c r="E246" s="287"/>
      <c r="F246" s="287"/>
      <c r="G246" s="287"/>
      <c r="H246" s="287"/>
      <c r="I246" s="287"/>
      <c r="J246" s="287"/>
      <c r="K246" s="287"/>
      <c r="L246" s="287"/>
      <c r="M246" s="287"/>
      <c r="N246" s="287"/>
      <c r="O246" s="287"/>
      <c r="P246" s="287"/>
      <c r="Q246" s="287"/>
      <c r="R246" s="287"/>
      <c r="S246" s="287"/>
      <c r="T246" s="287"/>
      <c r="U246" s="287"/>
      <c r="V246" s="287"/>
      <c r="W246" s="287"/>
      <c r="X246" s="287"/>
      <c r="Y246" s="287"/>
      <c r="Z246" s="287"/>
      <c r="AA246" s="287"/>
      <c r="AB246" s="287"/>
      <c r="AC246" s="287"/>
      <c r="AD246" s="287"/>
      <c r="AE246" s="287"/>
      <c r="AF246" s="287"/>
      <c r="AG246" s="287"/>
      <c r="AH246" s="287"/>
      <c r="AI246" s="287"/>
      <c r="AJ246" s="287"/>
      <c r="AK246" s="287"/>
      <c r="AL246" s="287"/>
      <c r="AM246" s="287"/>
      <c r="AN246" s="287"/>
      <c r="AO246" s="287"/>
      <c r="AP246" s="287"/>
      <c r="AQ246" s="287"/>
      <c r="AR246" s="287"/>
      <c r="AS246" s="287"/>
      <c r="AT246" s="287"/>
      <c r="AU246" s="287"/>
      <c r="AV246" s="287"/>
      <c r="AW246" s="287"/>
      <c r="AX246" s="287"/>
      <c r="AY246" s="287"/>
      <c r="AZ246" s="287"/>
      <c r="BA246" s="287"/>
      <c r="BB246" s="287"/>
      <c r="BC246" s="287"/>
    </row>
    <row r="247" ht="15.75" customHeight="1">
      <c r="A247" s="287"/>
      <c r="B247" s="287"/>
      <c r="C247" s="287"/>
      <c r="D247" s="287"/>
      <c r="E247" s="287"/>
      <c r="F247" s="287"/>
      <c r="G247" s="287"/>
      <c r="H247" s="287"/>
      <c r="I247" s="287"/>
      <c r="J247" s="287"/>
      <c r="K247" s="287"/>
      <c r="L247" s="287"/>
      <c r="M247" s="287"/>
      <c r="N247" s="287"/>
      <c r="O247" s="287"/>
      <c r="P247" s="287"/>
      <c r="Q247" s="287"/>
      <c r="R247" s="287"/>
      <c r="S247" s="287"/>
      <c r="T247" s="287"/>
      <c r="U247" s="287"/>
      <c r="V247" s="287"/>
      <c r="W247" s="287"/>
      <c r="X247" s="287"/>
      <c r="Y247" s="287"/>
      <c r="Z247" s="287"/>
      <c r="AA247" s="287"/>
      <c r="AB247" s="287"/>
      <c r="AC247" s="287"/>
      <c r="AD247" s="287"/>
      <c r="AE247" s="287"/>
      <c r="AF247" s="287"/>
      <c r="AG247" s="287"/>
      <c r="AH247" s="287"/>
      <c r="AI247" s="287"/>
      <c r="AJ247" s="287"/>
      <c r="AK247" s="287"/>
      <c r="AL247" s="287"/>
      <c r="AM247" s="287"/>
      <c r="AN247" s="287"/>
      <c r="AO247" s="287"/>
      <c r="AP247" s="287"/>
      <c r="AQ247" s="287"/>
      <c r="AR247" s="287"/>
      <c r="AS247" s="287"/>
      <c r="AT247" s="287"/>
      <c r="AU247" s="287"/>
      <c r="AV247" s="287"/>
      <c r="AW247" s="287"/>
      <c r="AX247" s="287"/>
      <c r="AY247" s="287"/>
      <c r="AZ247" s="287"/>
      <c r="BA247" s="287"/>
      <c r="BB247" s="287"/>
      <c r="BC247" s="287"/>
    </row>
    <row r="248" ht="15.75" customHeight="1">
      <c r="A248" s="287"/>
      <c r="B248" s="287"/>
      <c r="C248" s="287"/>
      <c r="D248" s="287"/>
      <c r="E248" s="287"/>
      <c r="F248" s="287"/>
      <c r="G248" s="287"/>
      <c r="H248" s="287"/>
      <c r="I248" s="287"/>
      <c r="J248" s="287"/>
      <c r="K248" s="287"/>
      <c r="L248" s="287"/>
      <c r="M248" s="287"/>
      <c r="N248" s="287"/>
      <c r="O248" s="287"/>
      <c r="P248" s="287"/>
      <c r="Q248" s="287"/>
      <c r="R248" s="287"/>
      <c r="S248" s="287"/>
      <c r="T248" s="287"/>
      <c r="U248" s="287"/>
      <c r="V248" s="287"/>
      <c r="W248" s="287"/>
      <c r="X248" s="287"/>
      <c r="Y248" s="287"/>
      <c r="Z248" s="287"/>
      <c r="AA248" s="287"/>
      <c r="AB248" s="287"/>
      <c r="AC248" s="287"/>
      <c r="AD248" s="287"/>
      <c r="AE248" s="287"/>
      <c r="AF248" s="287"/>
      <c r="AG248" s="287"/>
      <c r="AH248" s="287"/>
      <c r="AI248" s="287"/>
      <c r="AJ248" s="287"/>
      <c r="AK248" s="287"/>
      <c r="AL248" s="287"/>
      <c r="AM248" s="287"/>
      <c r="AN248" s="287"/>
      <c r="AO248" s="287"/>
      <c r="AP248" s="287"/>
      <c r="AQ248" s="287"/>
      <c r="AR248" s="287"/>
      <c r="AS248" s="287"/>
      <c r="AT248" s="287"/>
      <c r="AU248" s="287"/>
      <c r="AV248" s="287"/>
      <c r="AW248" s="287"/>
      <c r="AX248" s="287"/>
      <c r="AY248" s="287"/>
      <c r="AZ248" s="287"/>
      <c r="BA248" s="287"/>
      <c r="BB248" s="287"/>
      <c r="BC248" s="287"/>
    </row>
    <row r="249" ht="15.75" customHeight="1">
      <c r="A249" s="287"/>
      <c r="B249" s="287"/>
      <c r="C249" s="287"/>
      <c r="D249" s="287"/>
      <c r="E249" s="287"/>
      <c r="F249" s="287"/>
      <c r="G249" s="287"/>
      <c r="H249" s="287"/>
      <c r="I249" s="287"/>
      <c r="J249" s="287"/>
      <c r="K249" s="287"/>
      <c r="L249" s="287"/>
      <c r="M249" s="287"/>
      <c r="N249" s="287"/>
      <c r="O249" s="287"/>
      <c r="P249" s="287"/>
      <c r="Q249" s="287"/>
      <c r="R249" s="287"/>
      <c r="S249" s="287"/>
      <c r="T249" s="287"/>
      <c r="U249" s="287"/>
      <c r="V249" s="287"/>
      <c r="W249" s="287"/>
      <c r="X249" s="287"/>
      <c r="Y249" s="287"/>
      <c r="Z249" s="287"/>
      <c r="AA249" s="287"/>
      <c r="AB249" s="287"/>
      <c r="AC249" s="287"/>
      <c r="AD249" s="287"/>
      <c r="AE249" s="287"/>
      <c r="AF249" s="287"/>
      <c r="AG249" s="287"/>
      <c r="AH249" s="287"/>
      <c r="AI249" s="287"/>
      <c r="AJ249" s="287"/>
      <c r="AK249" s="287"/>
      <c r="AL249" s="287"/>
      <c r="AM249" s="287"/>
      <c r="AN249" s="287"/>
      <c r="AO249" s="287"/>
      <c r="AP249" s="287"/>
      <c r="AQ249" s="287"/>
      <c r="AR249" s="287"/>
      <c r="AS249" s="287"/>
      <c r="AT249" s="287"/>
      <c r="AU249" s="287"/>
      <c r="AV249" s="287"/>
      <c r="AW249" s="287"/>
      <c r="AX249" s="287"/>
      <c r="AY249" s="287"/>
      <c r="AZ249" s="287"/>
      <c r="BA249" s="287"/>
      <c r="BB249" s="287"/>
      <c r="BC249" s="287"/>
    </row>
    <row r="250" ht="15.75" customHeight="1">
      <c r="A250" s="287"/>
      <c r="B250" s="287"/>
      <c r="C250" s="287"/>
      <c r="D250" s="287"/>
      <c r="E250" s="287"/>
      <c r="F250" s="287"/>
      <c r="G250" s="287"/>
      <c r="H250" s="287"/>
      <c r="I250" s="287"/>
      <c r="J250" s="287"/>
      <c r="K250" s="287"/>
      <c r="L250" s="287"/>
      <c r="M250" s="287"/>
      <c r="N250" s="287"/>
      <c r="O250" s="287"/>
      <c r="P250" s="287"/>
      <c r="Q250" s="287"/>
      <c r="R250" s="287"/>
      <c r="S250" s="287"/>
      <c r="T250" s="287"/>
      <c r="U250" s="287"/>
      <c r="V250" s="287"/>
      <c r="W250" s="287"/>
      <c r="X250" s="287"/>
      <c r="Y250" s="287"/>
      <c r="Z250" s="287"/>
      <c r="AA250" s="287"/>
      <c r="AB250" s="287"/>
      <c r="AC250" s="287"/>
      <c r="AD250" s="287"/>
      <c r="AE250" s="287"/>
      <c r="AF250" s="287"/>
      <c r="AG250" s="287"/>
      <c r="AH250" s="287"/>
      <c r="AI250" s="287"/>
      <c r="AJ250" s="287"/>
      <c r="AK250" s="287"/>
      <c r="AL250" s="287"/>
      <c r="AM250" s="287"/>
      <c r="AN250" s="287"/>
      <c r="AO250" s="287"/>
      <c r="AP250" s="287"/>
      <c r="AQ250" s="287"/>
      <c r="AR250" s="287"/>
      <c r="AS250" s="287"/>
      <c r="AT250" s="287"/>
      <c r="AU250" s="287"/>
      <c r="AV250" s="287"/>
      <c r="AW250" s="287"/>
      <c r="AX250" s="287"/>
      <c r="AY250" s="287"/>
      <c r="AZ250" s="287"/>
      <c r="BA250" s="287"/>
      <c r="BB250" s="287"/>
      <c r="BC250" s="287"/>
    </row>
    <row r="251" ht="15.75" customHeight="1">
      <c r="A251" s="287"/>
      <c r="B251" s="287"/>
      <c r="C251" s="287"/>
      <c r="D251" s="287"/>
      <c r="E251" s="287"/>
      <c r="F251" s="287"/>
      <c r="G251" s="287"/>
      <c r="H251" s="287"/>
      <c r="I251" s="287"/>
      <c r="J251" s="287"/>
      <c r="K251" s="287"/>
      <c r="L251" s="287"/>
      <c r="M251" s="287"/>
      <c r="N251" s="287"/>
      <c r="O251" s="287"/>
      <c r="P251" s="287"/>
      <c r="Q251" s="287"/>
      <c r="R251" s="287"/>
      <c r="S251" s="287"/>
      <c r="T251" s="287"/>
      <c r="U251" s="287"/>
      <c r="V251" s="287"/>
      <c r="W251" s="287"/>
      <c r="X251" s="287"/>
      <c r="Y251" s="287"/>
      <c r="Z251" s="287"/>
      <c r="AA251" s="287"/>
      <c r="AB251" s="287"/>
      <c r="AC251" s="287"/>
      <c r="AD251" s="287"/>
      <c r="AE251" s="287"/>
      <c r="AF251" s="287"/>
      <c r="AG251" s="287"/>
      <c r="AH251" s="287"/>
      <c r="AI251" s="287"/>
      <c r="AJ251" s="287"/>
      <c r="AK251" s="287"/>
      <c r="AL251" s="287"/>
      <c r="AM251" s="287"/>
      <c r="AN251" s="287"/>
      <c r="AO251" s="287"/>
      <c r="AP251" s="287"/>
      <c r="AQ251" s="287"/>
      <c r="AR251" s="287"/>
      <c r="AS251" s="287"/>
      <c r="AT251" s="287"/>
      <c r="AU251" s="287"/>
      <c r="AV251" s="287"/>
      <c r="AW251" s="287"/>
      <c r="AX251" s="287"/>
      <c r="AY251" s="287"/>
      <c r="AZ251" s="287"/>
      <c r="BA251" s="287"/>
      <c r="BB251" s="287"/>
      <c r="BC251" s="287"/>
    </row>
    <row r="252" ht="15.75" customHeight="1">
      <c r="A252" s="287"/>
      <c r="B252" s="287"/>
      <c r="C252" s="287"/>
      <c r="D252" s="287"/>
      <c r="E252" s="287"/>
      <c r="F252" s="287"/>
      <c r="G252" s="287"/>
      <c r="H252" s="287"/>
      <c r="I252" s="287"/>
      <c r="J252" s="287"/>
      <c r="K252" s="287"/>
      <c r="L252" s="287"/>
      <c r="M252" s="287"/>
      <c r="N252" s="287"/>
      <c r="O252" s="287"/>
      <c r="P252" s="287"/>
      <c r="Q252" s="287"/>
      <c r="R252" s="287"/>
      <c r="S252" s="287"/>
      <c r="T252" s="287"/>
      <c r="U252" s="287"/>
      <c r="V252" s="287"/>
      <c r="W252" s="287"/>
      <c r="X252" s="287"/>
      <c r="Y252" s="287"/>
      <c r="Z252" s="287"/>
      <c r="AA252" s="287"/>
      <c r="AB252" s="287"/>
      <c r="AC252" s="287"/>
      <c r="AD252" s="287"/>
      <c r="AE252" s="287"/>
      <c r="AF252" s="287"/>
      <c r="AG252" s="287"/>
      <c r="AH252" s="287"/>
      <c r="AI252" s="287"/>
      <c r="AJ252" s="287"/>
      <c r="AK252" s="287"/>
      <c r="AL252" s="287"/>
      <c r="AM252" s="287"/>
      <c r="AN252" s="287"/>
      <c r="AO252" s="287"/>
      <c r="AP252" s="287"/>
      <c r="AQ252" s="287"/>
      <c r="AR252" s="287"/>
      <c r="AS252" s="287"/>
      <c r="AT252" s="287"/>
      <c r="AU252" s="287"/>
      <c r="AV252" s="287"/>
      <c r="AW252" s="287"/>
      <c r="AX252" s="287"/>
      <c r="AY252" s="287"/>
      <c r="AZ252" s="287"/>
      <c r="BA252" s="287"/>
      <c r="BB252" s="287"/>
      <c r="BC252" s="287"/>
    </row>
    <row r="253" ht="15.75" customHeight="1">
      <c r="A253" s="287"/>
      <c r="B253" s="287"/>
      <c r="C253" s="287"/>
      <c r="D253" s="287"/>
      <c r="E253" s="287"/>
      <c r="F253" s="287"/>
      <c r="G253" s="287"/>
      <c r="H253" s="287"/>
      <c r="I253" s="287"/>
      <c r="J253" s="287"/>
      <c r="K253" s="287"/>
      <c r="L253" s="287"/>
      <c r="M253" s="287"/>
      <c r="N253" s="287"/>
      <c r="O253" s="287"/>
      <c r="P253" s="287"/>
      <c r="Q253" s="287"/>
      <c r="R253" s="287"/>
      <c r="S253" s="287"/>
      <c r="T253" s="287"/>
      <c r="U253" s="287"/>
      <c r="V253" s="287"/>
      <c r="W253" s="287"/>
      <c r="X253" s="287"/>
      <c r="Y253" s="287"/>
      <c r="Z253" s="287"/>
      <c r="AA253" s="287"/>
      <c r="AB253" s="287"/>
      <c r="AC253" s="287"/>
      <c r="AD253" s="287"/>
      <c r="AE253" s="287"/>
      <c r="AF253" s="287"/>
      <c r="AG253" s="287"/>
      <c r="AH253" s="287"/>
      <c r="AI253" s="287"/>
      <c r="AJ253" s="287"/>
      <c r="AK253" s="287"/>
      <c r="AL253" s="287"/>
      <c r="AM253" s="287"/>
      <c r="AN253" s="287"/>
      <c r="AO253" s="287"/>
      <c r="AP253" s="287"/>
      <c r="AQ253" s="287"/>
      <c r="AR253" s="287"/>
      <c r="AS253" s="287"/>
      <c r="AT253" s="287"/>
      <c r="AU253" s="287"/>
      <c r="AV253" s="287"/>
      <c r="AW253" s="287"/>
      <c r="AX253" s="287"/>
      <c r="AY253" s="287"/>
      <c r="AZ253" s="287"/>
      <c r="BA253" s="287"/>
      <c r="BB253" s="287"/>
      <c r="BC253" s="287"/>
    </row>
    <row r="254" ht="15.75" customHeight="1">
      <c r="A254" s="287"/>
      <c r="B254" s="287"/>
      <c r="C254" s="287"/>
      <c r="D254" s="287"/>
      <c r="E254" s="287"/>
      <c r="F254" s="287"/>
      <c r="G254" s="287"/>
      <c r="H254" s="287"/>
      <c r="I254" s="287"/>
      <c r="J254" s="287"/>
      <c r="K254" s="287"/>
      <c r="L254" s="287"/>
      <c r="M254" s="287"/>
      <c r="N254" s="287"/>
      <c r="O254" s="287"/>
      <c r="P254" s="287"/>
      <c r="Q254" s="287"/>
      <c r="R254" s="287"/>
      <c r="S254" s="287"/>
      <c r="T254" s="287"/>
      <c r="U254" s="287"/>
      <c r="V254" s="287"/>
      <c r="W254" s="287"/>
      <c r="X254" s="287"/>
      <c r="Y254" s="287"/>
      <c r="Z254" s="287"/>
      <c r="AA254" s="287"/>
      <c r="AB254" s="287"/>
      <c r="AC254" s="287"/>
      <c r="AD254" s="287"/>
      <c r="AE254" s="287"/>
      <c r="AF254" s="287"/>
      <c r="AG254" s="287"/>
      <c r="AH254" s="287"/>
      <c r="AI254" s="287"/>
      <c r="AJ254" s="287"/>
      <c r="AK254" s="287"/>
      <c r="AL254" s="287"/>
      <c r="AM254" s="287"/>
      <c r="AN254" s="287"/>
      <c r="AO254" s="287"/>
      <c r="AP254" s="287"/>
      <c r="AQ254" s="287"/>
      <c r="AR254" s="287"/>
      <c r="AS254" s="287"/>
      <c r="AT254" s="287"/>
      <c r="AU254" s="287"/>
      <c r="AV254" s="287"/>
      <c r="AW254" s="287"/>
      <c r="AX254" s="287"/>
      <c r="AY254" s="287"/>
      <c r="AZ254" s="287"/>
      <c r="BA254" s="287"/>
      <c r="BB254" s="287"/>
      <c r="BC254" s="287"/>
    </row>
    <row r="255" ht="15.75" customHeight="1">
      <c r="A255" s="287"/>
      <c r="B255" s="287"/>
      <c r="C255" s="287"/>
      <c r="D255" s="287"/>
      <c r="E255" s="287"/>
      <c r="F255" s="287"/>
      <c r="G255" s="287"/>
      <c r="H255" s="287"/>
      <c r="I255" s="287"/>
      <c r="J255" s="287"/>
      <c r="K255" s="287"/>
      <c r="L255" s="287"/>
      <c r="M255" s="287"/>
      <c r="N255" s="287"/>
      <c r="O255" s="287"/>
      <c r="P255" s="287"/>
      <c r="Q255" s="287"/>
      <c r="R255" s="287"/>
      <c r="S255" s="287"/>
      <c r="T255" s="287"/>
      <c r="U255" s="287"/>
      <c r="V255" s="287"/>
      <c r="W255" s="287"/>
      <c r="X255" s="287"/>
      <c r="Y255" s="287"/>
      <c r="Z255" s="287"/>
      <c r="AA255" s="287"/>
      <c r="AB255" s="287"/>
      <c r="AC255" s="287"/>
      <c r="AD255" s="287"/>
      <c r="AE255" s="287"/>
      <c r="AF255" s="287"/>
      <c r="AG255" s="287"/>
      <c r="AH255" s="287"/>
      <c r="AI255" s="287"/>
      <c r="AJ255" s="287"/>
      <c r="AK255" s="287"/>
      <c r="AL255" s="287"/>
      <c r="AM255" s="287"/>
      <c r="AN255" s="287"/>
      <c r="AO255" s="287"/>
      <c r="AP255" s="287"/>
      <c r="AQ255" s="287"/>
      <c r="AR255" s="287"/>
      <c r="AS255" s="287"/>
      <c r="AT255" s="287"/>
      <c r="AU255" s="287"/>
      <c r="AV255" s="287"/>
      <c r="AW255" s="287"/>
      <c r="AX255" s="287"/>
      <c r="AY255" s="287"/>
      <c r="AZ255" s="287"/>
      <c r="BA255" s="287"/>
      <c r="BB255" s="287"/>
      <c r="BC255" s="287"/>
    </row>
    <row r="256" ht="15.75" customHeight="1">
      <c r="A256" s="287"/>
      <c r="B256" s="287"/>
      <c r="C256" s="287"/>
      <c r="D256" s="287"/>
      <c r="E256" s="287"/>
      <c r="F256" s="287"/>
      <c r="G256" s="287"/>
      <c r="H256" s="287"/>
      <c r="I256" s="287"/>
      <c r="J256" s="287"/>
      <c r="K256" s="287"/>
      <c r="L256" s="287"/>
      <c r="M256" s="287"/>
      <c r="N256" s="287"/>
      <c r="O256" s="287"/>
      <c r="P256" s="287"/>
      <c r="Q256" s="287"/>
      <c r="R256" s="287"/>
      <c r="S256" s="287"/>
      <c r="T256" s="287"/>
      <c r="U256" s="287"/>
      <c r="V256" s="287"/>
      <c r="W256" s="287"/>
      <c r="X256" s="287"/>
      <c r="Y256" s="287"/>
      <c r="Z256" s="287"/>
      <c r="AA256" s="287"/>
      <c r="AB256" s="287"/>
      <c r="AC256" s="287"/>
      <c r="AD256" s="287"/>
      <c r="AE256" s="287"/>
      <c r="AF256" s="287"/>
      <c r="AG256" s="287"/>
      <c r="AH256" s="287"/>
      <c r="AI256" s="287"/>
      <c r="AJ256" s="287"/>
      <c r="AK256" s="287"/>
      <c r="AL256" s="287"/>
      <c r="AM256" s="287"/>
      <c r="AN256" s="287"/>
      <c r="AO256" s="287"/>
      <c r="AP256" s="287"/>
      <c r="AQ256" s="287"/>
      <c r="AR256" s="287"/>
      <c r="AS256" s="287"/>
      <c r="AT256" s="287"/>
      <c r="AU256" s="287"/>
      <c r="AV256" s="287"/>
      <c r="AW256" s="287"/>
      <c r="AX256" s="287"/>
      <c r="AY256" s="287"/>
      <c r="AZ256" s="287"/>
      <c r="BA256" s="287"/>
      <c r="BB256" s="287"/>
      <c r="BC256" s="287"/>
    </row>
    <row r="257" ht="15.75" customHeight="1">
      <c r="A257" s="287"/>
      <c r="B257" s="287"/>
      <c r="C257" s="287"/>
      <c r="D257" s="287"/>
      <c r="E257" s="287"/>
      <c r="F257" s="287"/>
      <c r="G257" s="287"/>
      <c r="H257" s="287"/>
      <c r="I257" s="287"/>
      <c r="J257" s="287"/>
      <c r="K257" s="287"/>
      <c r="L257" s="287"/>
      <c r="M257" s="287"/>
      <c r="N257" s="287"/>
      <c r="O257" s="287"/>
      <c r="P257" s="287"/>
      <c r="Q257" s="287"/>
      <c r="R257" s="287"/>
      <c r="S257" s="287"/>
      <c r="T257" s="287"/>
      <c r="U257" s="287"/>
      <c r="V257" s="287"/>
      <c r="W257" s="287"/>
      <c r="X257" s="287"/>
      <c r="Y257" s="287"/>
      <c r="Z257" s="287"/>
      <c r="AA257" s="287"/>
      <c r="AB257" s="287"/>
      <c r="AC257" s="287"/>
      <c r="AD257" s="287"/>
      <c r="AE257" s="287"/>
      <c r="AF257" s="287"/>
      <c r="AG257" s="287"/>
      <c r="AH257" s="287"/>
      <c r="AI257" s="287"/>
      <c r="AJ257" s="287"/>
      <c r="AK257" s="287"/>
      <c r="AL257" s="287"/>
      <c r="AM257" s="287"/>
      <c r="AN257" s="287"/>
      <c r="AO257" s="287"/>
      <c r="AP257" s="287"/>
      <c r="AQ257" s="287"/>
      <c r="AR257" s="287"/>
      <c r="AS257" s="287"/>
      <c r="AT257" s="287"/>
      <c r="AU257" s="287"/>
      <c r="AV257" s="287"/>
      <c r="AW257" s="287"/>
      <c r="AX257" s="287"/>
      <c r="AY257" s="287"/>
      <c r="AZ257" s="287"/>
      <c r="BA257" s="287"/>
      <c r="BB257" s="287"/>
      <c r="BC257" s="287"/>
    </row>
    <row r="258" ht="15.75" customHeight="1">
      <c r="A258" s="287"/>
      <c r="B258" s="287"/>
      <c r="C258" s="287"/>
      <c r="D258" s="287"/>
      <c r="E258" s="287"/>
      <c r="F258" s="287"/>
      <c r="G258" s="287"/>
      <c r="H258" s="287"/>
      <c r="I258" s="287"/>
      <c r="J258" s="287"/>
      <c r="K258" s="287"/>
      <c r="L258" s="287"/>
      <c r="M258" s="287"/>
      <c r="N258" s="287"/>
      <c r="O258" s="287"/>
      <c r="P258" s="287"/>
      <c r="Q258" s="287"/>
      <c r="R258" s="287"/>
      <c r="S258" s="287"/>
      <c r="T258" s="287"/>
      <c r="U258" s="287"/>
      <c r="V258" s="287"/>
      <c r="W258" s="287"/>
      <c r="X258" s="287"/>
      <c r="Y258" s="287"/>
      <c r="Z258" s="287"/>
      <c r="AA258" s="287"/>
      <c r="AB258" s="287"/>
      <c r="AC258" s="287"/>
      <c r="AD258" s="287"/>
      <c r="AE258" s="287"/>
      <c r="AF258" s="287"/>
      <c r="AG258" s="287"/>
      <c r="AH258" s="287"/>
      <c r="AI258" s="287"/>
      <c r="AJ258" s="287"/>
      <c r="AK258" s="287"/>
      <c r="AL258" s="287"/>
      <c r="AM258" s="287"/>
      <c r="AN258" s="287"/>
      <c r="AO258" s="287"/>
      <c r="AP258" s="287"/>
      <c r="AQ258" s="287"/>
      <c r="AR258" s="287"/>
      <c r="AS258" s="287"/>
      <c r="AT258" s="287"/>
      <c r="AU258" s="287"/>
      <c r="AV258" s="287"/>
      <c r="AW258" s="287"/>
      <c r="AX258" s="287"/>
      <c r="AY258" s="287"/>
      <c r="AZ258" s="287"/>
      <c r="BA258" s="287"/>
      <c r="BB258" s="287"/>
      <c r="BC258" s="287"/>
    </row>
    <row r="259" ht="15.75" customHeight="1">
      <c r="A259" s="287"/>
      <c r="B259" s="287"/>
      <c r="C259" s="287"/>
      <c r="D259" s="287"/>
      <c r="E259" s="287"/>
      <c r="F259" s="287"/>
      <c r="G259" s="287"/>
      <c r="H259" s="287"/>
      <c r="I259" s="287"/>
      <c r="J259" s="287"/>
      <c r="K259" s="287"/>
      <c r="L259" s="287"/>
      <c r="M259" s="287"/>
      <c r="N259" s="287"/>
      <c r="O259" s="287"/>
      <c r="P259" s="287"/>
      <c r="Q259" s="287"/>
      <c r="R259" s="287"/>
      <c r="S259" s="287"/>
      <c r="T259" s="287"/>
      <c r="U259" s="287"/>
      <c r="V259" s="287"/>
      <c r="W259" s="287"/>
      <c r="X259" s="287"/>
      <c r="Y259" s="287"/>
      <c r="Z259" s="287"/>
      <c r="AA259" s="287"/>
      <c r="AB259" s="287"/>
      <c r="AC259" s="287"/>
      <c r="AD259" s="287"/>
      <c r="AE259" s="287"/>
      <c r="AF259" s="287"/>
      <c r="AG259" s="287"/>
      <c r="AH259" s="287"/>
      <c r="AI259" s="287"/>
      <c r="AJ259" s="287"/>
      <c r="AK259" s="287"/>
      <c r="AL259" s="287"/>
      <c r="AM259" s="287"/>
      <c r="AN259" s="287"/>
      <c r="AO259" s="287"/>
      <c r="AP259" s="287"/>
      <c r="AQ259" s="287"/>
      <c r="AR259" s="287"/>
      <c r="AS259" s="287"/>
      <c r="AT259" s="287"/>
      <c r="AU259" s="287"/>
      <c r="AV259" s="287"/>
      <c r="AW259" s="287"/>
      <c r="AX259" s="287"/>
      <c r="AY259" s="287"/>
      <c r="AZ259" s="287"/>
      <c r="BA259" s="287"/>
      <c r="BB259" s="287"/>
      <c r="BC259" s="287"/>
    </row>
    <row r="260" ht="15.75" customHeight="1">
      <c r="A260" s="287"/>
      <c r="B260" s="287"/>
      <c r="C260" s="287"/>
      <c r="D260" s="287"/>
      <c r="E260" s="287"/>
      <c r="F260" s="287"/>
      <c r="G260" s="287"/>
      <c r="H260" s="287"/>
      <c r="I260" s="287"/>
      <c r="J260" s="287"/>
      <c r="K260" s="287"/>
      <c r="L260" s="287"/>
      <c r="M260" s="287"/>
      <c r="N260" s="287"/>
      <c r="O260" s="287"/>
      <c r="P260" s="287"/>
      <c r="Q260" s="287"/>
      <c r="R260" s="287"/>
      <c r="S260" s="287"/>
      <c r="T260" s="287"/>
      <c r="U260" s="287"/>
      <c r="V260" s="287"/>
      <c r="W260" s="287"/>
      <c r="X260" s="287"/>
      <c r="Y260" s="287"/>
      <c r="Z260" s="287"/>
      <c r="AA260" s="287"/>
      <c r="AB260" s="287"/>
      <c r="AC260" s="287"/>
      <c r="AD260" s="287"/>
      <c r="AE260" s="287"/>
      <c r="AF260" s="287"/>
      <c r="AG260" s="287"/>
      <c r="AH260" s="287"/>
      <c r="AI260" s="287"/>
      <c r="AJ260" s="287"/>
      <c r="AK260" s="287"/>
      <c r="AL260" s="287"/>
      <c r="AM260" s="287"/>
      <c r="AN260" s="287"/>
      <c r="AO260" s="287"/>
      <c r="AP260" s="287"/>
      <c r="AQ260" s="287"/>
      <c r="AR260" s="287"/>
      <c r="AS260" s="287"/>
      <c r="AT260" s="287"/>
      <c r="AU260" s="287"/>
      <c r="AV260" s="287"/>
      <c r="AW260" s="287"/>
      <c r="AX260" s="287"/>
      <c r="AY260" s="287"/>
      <c r="AZ260" s="287"/>
      <c r="BA260" s="287"/>
      <c r="BB260" s="287"/>
      <c r="BC260" s="287"/>
    </row>
    <row r="261" ht="15.75" customHeight="1">
      <c r="A261" s="287"/>
      <c r="B261" s="287"/>
      <c r="C261" s="287"/>
      <c r="D261" s="287"/>
      <c r="E261" s="287"/>
      <c r="F261" s="287"/>
      <c r="G261" s="287"/>
      <c r="H261" s="287"/>
      <c r="I261" s="287"/>
      <c r="J261" s="287"/>
      <c r="K261" s="287"/>
      <c r="L261" s="287"/>
      <c r="M261" s="287"/>
      <c r="N261" s="287"/>
      <c r="O261" s="287"/>
      <c r="P261" s="287"/>
      <c r="Q261" s="287"/>
      <c r="R261" s="287"/>
      <c r="S261" s="287"/>
      <c r="T261" s="287"/>
      <c r="U261" s="287"/>
      <c r="V261" s="287"/>
      <c r="W261" s="287"/>
      <c r="X261" s="287"/>
      <c r="Y261" s="287"/>
      <c r="Z261" s="287"/>
      <c r="AA261" s="287"/>
      <c r="AB261" s="287"/>
      <c r="AC261" s="287"/>
      <c r="AD261" s="287"/>
      <c r="AE261" s="287"/>
      <c r="AF261" s="287"/>
      <c r="AG261" s="287"/>
      <c r="AH261" s="287"/>
      <c r="AI261" s="287"/>
      <c r="AJ261" s="287"/>
      <c r="AK261" s="287"/>
      <c r="AL261" s="287"/>
      <c r="AM261" s="287"/>
      <c r="AN261" s="287"/>
      <c r="AO261" s="287"/>
      <c r="AP261" s="287"/>
      <c r="AQ261" s="287"/>
      <c r="AR261" s="287"/>
      <c r="AS261" s="287"/>
      <c r="AT261" s="287"/>
      <c r="AU261" s="287"/>
      <c r="AV261" s="287"/>
      <c r="AW261" s="287"/>
      <c r="AX261" s="287"/>
      <c r="AY261" s="287"/>
      <c r="AZ261" s="287"/>
      <c r="BA261" s="287"/>
      <c r="BB261" s="287"/>
      <c r="BC261" s="287"/>
    </row>
    <row r="262" ht="15.75" customHeight="1">
      <c r="A262" s="287"/>
      <c r="B262" s="287"/>
      <c r="C262" s="287"/>
      <c r="D262" s="287"/>
      <c r="E262" s="287"/>
      <c r="F262" s="287"/>
      <c r="G262" s="287"/>
      <c r="H262" s="287"/>
      <c r="I262" s="287"/>
      <c r="J262" s="287"/>
      <c r="K262" s="287"/>
      <c r="L262" s="287"/>
      <c r="M262" s="287"/>
      <c r="N262" s="287"/>
      <c r="O262" s="287"/>
      <c r="P262" s="287"/>
      <c r="Q262" s="287"/>
      <c r="R262" s="287"/>
      <c r="S262" s="287"/>
      <c r="T262" s="287"/>
      <c r="U262" s="287"/>
      <c r="V262" s="287"/>
      <c r="W262" s="287"/>
      <c r="X262" s="287"/>
      <c r="Y262" s="287"/>
      <c r="Z262" s="287"/>
      <c r="AA262" s="287"/>
      <c r="AB262" s="287"/>
      <c r="AC262" s="287"/>
      <c r="AD262" s="287"/>
      <c r="AE262" s="287"/>
      <c r="AF262" s="287"/>
      <c r="AG262" s="287"/>
      <c r="AH262" s="287"/>
      <c r="AI262" s="287"/>
      <c r="AJ262" s="287"/>
      <c r="AK262" s="287"/>
      <c r="AL262" s="287"/>
      <c r="AM262" s="287"/>
      <c r="AN262" s="287"/>
      <c r="AO262" s="287"/>
      <c r="AP262" s="287"/>
      <c r="AQ262" s="287"/>
      <c r="AR262" s="287"/>
      <c r="AS262" s="287"/>
      <c r="AT262" s="287"/>
      <c r="AU262" s="287"/>
      <c r="AV262" s="287"/>
      <c r="AW262" s="287"/>
      <c r="AX262" s="287"/>
      <c r="AY262" s="287"/>
      <c r="AZ262" s="287"/>
      <c r="BA262" s="287"/>
      <c r="BB262" s="287"/>
      <c r="BC262" s="287"/>
    </row>
    <row r="263" ht="15.75" customHeight="1">
      <c r="A263" s="287"/>
      <c r="B263" s="287"/>
      <c r="C263" s="287"/>
      <c r="D263" s="287"/>
      <c r="E263" s="287"/>
      <c r="F263" s="287"/>
      <c r="G263" s="287"/>
      <c r="H263" s="287"/>
      <c r="I263" s="287"/>
      <c r="J263" s="287"/>
      <c r="K263" s="287"/>
      <c r="L263" s="287"/>
      <c r="M263" s="287"/>
      <c r="N263" s="287"/>
      <c r="O263" s="287"/>
      <c r="P263" s="287"/>
      <c r="Q263" s="287"/>
      <c r="R263" s="287"/>
      <c r="S263" s="287"/>
      <c r="T263" s="287"/>
      <c r="U263" s="287"/>
      <c r="V263" s="287"/>
      <c r="W263" s="287"/>
      <c r="X263" s="287"/>
      <c r="Y263" s="287"/>
      <c r="Z263" s="287"/>
      <c r="AA263" s="287"/>
      <c r="AB263" s="287"/>
      <c r="AC263" s="287"/>
      <c r="AD263" s="287"/>
      <c r="AE263" s="287"/>
      <c r="AF263" s="287"/>
      <c r="AG263" s="287"/>
      <c r="AH263" s="287"/>
      <c r="AI263" s="287"/>
      <c r="AJ263" s="287"/>
      <c r="AK263" s="287"/>
      <c r="AL263" s="287"/>
      <c r="AM263" s="287"/>
      <c r="AN263" s="287"/>
      <c r="AO263" s="287"/>
      <c r="AP263" s="287"/>
      <c r="AQ263" s="287"/>
      <c r="AR263" s="287"/>
      <c r="AS263" s="287"/>
      <c r="AT263" s="287"/>
      <c r="AU263" s="287"/>
      <c r="AV263" s="287"/>
      <c r="AW263" s="287"/>
      <c r="AX263" s="287"/>
      <c r="AY263" s="287"/>
      <c r="AZ263" s="287"/>
      <c r="BA263" s="287"/>
      <c r="BB263" s="287"/>
      <c r="BC263" s="287"/>
    </row>
    <row r="264" ht="15.75" customHeight="1">
      <c r="A264" s="287"/>
      <c r="B264" s="287"/>
      <c r="C264" s="287"/>
      <c r="D264" s="287"/>
      <c r="E264" s="287"/>
      <c r="F264" s="287"/>
      <c r="G264" s="287"/>
      <c r="H264" s="287"/>
      <c r="I264" s="287"/>
      <c r="J264" s="287"/>
      <c r="K264" s="287"/>
      <c r="L264" s="287"/>
      <c r="M264" s="287"/>
      <c r="N264" s="287"/>
      <c r="O264" s="287"/>
      <c r="P264" s="287"/>
      <c r="Q264" s="287"/>
      <c r="R264" s="287"/>
      <c r="S264" s="287"/>
      <c r="T264" s="287"/>
      <c r="U264" s="287"/>
      <c r="V264" s="287"/>
      <c r="W264" s="287"/>
      <c r="X264" s="287"/>
      <c r="Y264" s="287"/>
      <c r="Z264" s="287"/>
      <c r="AA264" s="287"/>
      <c r="AB264" s="287"/>
      <c r="AC264" s="287"/>
      <c r="AD264" s="287"/>
      <c r="AE264" s="287"/>
      <c r="AF264" s="287"/>
      <c r="AG264" s="287"/>
      <c r="AH264" s="287"/>
      <c r="AI264" s="287"/>
      <c r="AJ264" s="287"/>
      <c r="AK264" s="287"/>
      <c r="AL264" s="287"/>
      <c r="AM264" s="287"/>
      <c r="AN264" s="287"/>
      <c r="AO264" s="287"/>
      <c r="AP264" s="287"/>
      <c r="AQ264" s="287"/>
      <c r="AR264" s="287"/>
      <c r="AS264" s="287"/>
      <c r="AT264" s="287"/>
      <c r="AU264" s="287"/>
      <c r="AV264" s="287"/>
      <c r="AW264" s="287"/>
      <c r="AX264" s="287"/>
      <c r="AY264" s="287"/>
      <c r="AZ264" s="287"/>
      <c r="BA264" s="287"/>
      <c r="BB264" s="287"/>
      <c r="BC264" s="287"/>
    </row>
    <row r="265" ht="15.75" customHeight="1">
      <c r="A265" s="287"/>
      <c r="B265" s="287"/>
      <c r="C265" s="287"/>
      <c r="D265" s="287"/>
      <c r="E265" s="287"/>
      <c r="F265" s="287"/>
      <c r="G265" s="287"/>
      <c r="H265" s="287"/>
      <c r="I265" s="287"/>
      <c r="J265" s="287"/>
      <c r="K265" s="287"/>
      <c r="L265" s="287"/>
      <c r="M265" s="287"/>
      <c r="N265" s="287"/>
      <c r="O265" s="287"/>
      <c r="P265" s="287"/>
      <c r="Q265" s="287"/>
      <c r="R265" s="287"/>
      <c r="S265" s="287"/>
      <c r="T265" s="287"/>
      <c r="U265" s="287"/>
      <c r="V265" s="287"/>
      <c r="W265" s="287"/>
      <c r="X265" s="287"/>
      <c r="Y265" s="287"/>
      <c r="Z265" s="287"/>
      <c r="AA265" s="287"/>
      <c r="AB265" s="287"/>
      <c r="AC265" s="287"/>
      <c r="AD265" s="287"/>
      <c r="AE265" s="287"/>
      <c r="AF265" s="287"/>
      <c r="AG265" s="287"/>
      <c r="AH265" s="287"/>
      <c r="AI265" s="287"/>
      <c r="AJ265" s="287"/>
      <c r="AK265" s="287"/>
      <c r="AL265" s="287"/>
      <c r="AM265" s="287"/>
      <c r="AN265" s="287"/>
      <c r="AO265" s="287"/>
      <c r="AP265" s="287"/>
      <c r="AQ265" s="287"/>
      <c r="AR265" s="287"/>
      <c r="AS265" s="287"/>
      <c r="AT265" s="287"/>
      <c r="AU265" s="287"/>
      <c r="AV265" s="287"/>
      <c r="AW265" s="287"/>
      <c r="AX265" s="287"/>
      <c r="AY265" s="287"/>
      <c r="AZ265" s="287"/>
      <c r="BA265" s="287"/>
      <c r="BB265" s="287"/>
      <c r="BC265" s="287"/>
    </row>
    <row r="266" ht="15.75" customHeight="1">
      <c r="A266" s="287"/>
      <c r="B266" s="287"/>
      <c r="C266" s="287"/>
      <c r="D266" s="287"/>
      <c r="E266" s="287"/>
      <c r="F266" s="287"/>
      <c r="G266" s="287"/>
      <c r="H266" s="287"/>
      <c r="I266" s="287"/>
      <c r="J266" s="287"/>
      <c r="K266" s="287"/>
      <c r="L266" s="287"/>
      <c r="M266" s="287"/>
      <c r="N266" s="287"/>
      <c r="O266" s="287"/>
      <c r="P266" s="287"/>
      <c r="Q266" s="287"/>
      <c r="R266" s="287"/>
      <c r="S266" s="287"/>
      <c r="T266" s="287"/>
      <c r="U266" s="287"/>
      <c r="V266" s="287"/>
      <c r="W266" s="287"/>
      <c r="X266" s="287"/>
      <c r="Y266" s="287"/>
      <c r="Z266" s="287"/>
      <c r="AA266" s="287"/>
      <c r="AB266" s="287"/>
      <c r="AC266" s="287"/>
      <c r="AD266" s="287"/>
      <c r="AE266" s="287"/>
      <c r="AF266" s="287"/>
      <c r="AG266" s="287"/>
      <c r="AH266" s="287"/>
      <c r="AI266" s="287"/>
      <c r="AJ266" s="287"/>
      <c r="AK266" s="287"/>
      <c r="AL266" s="287"/>
      <c r="AM266" s="287"/>
      <c r="AN266" s="287"/>
      <c r="AO266" s="287"/>
      <c r="AP266" s="287"/>
      <c r="AQ266" s="287"/>
      <c r="AR266" s="287"/>
      <c r="AS266" s="287"/>
      <c r="AT266" s="287"/>
      <c r="AU266" s="287"/>
      <c r="AV266" s="287"/>
      <c r="AW266" s="287"/>
      <c r="AX266" s="287"/>
      <c r="AY266" s="287"/>
      <c r="AZ266" s="287"/>
      <c r="BA266" s="287"/>
      <c r="BB266" s="287"/>
      <c r="BC266" s="287"/>
    </row>
    <row r="267" ht="15.75" customHeight="1">
      <c r="A267" s="287"/>
      <c r="B267" s="287"/>
      <c r="C267" s="287"/>
      <c r="D267" s="287"/>
      <c r="E267" s="287"/>
      <c r="F267" s="287"/>
      <c r="G267" s="287"/>
      <c r="H267" s="287"/>
      <c r="I267" s="287"/>
      <c r="J267" s="287"/>
      <c r="K267" s="287"/>
      <c r="L267" s="287"/>
      <c r="M267" s="287"/>
      <c r="N267" s="287"/>
      <c r="O267" s="287"/>
      <c r="P267" s="287"/>
      <c r="Q267" s="287"/>
      <c r="R267" s="287"/>
      <c r="S267" s="287"/>
      <c r="T267" s="287"/>
      <c r="U267" s="287"/>
      <c r="V267" s="287"/>
      <c r="W267" s="287"/>
      <c r="X267" s="287"/>
      <c r="Y267" s="287"/>
      <c r="Z267" s="287"/>
      <c r="AA267" s="287"/>
      <c r="AB267" s="287"/>
      <c r="AC267" s="287"/>
      <c r="AD267" s="287"/>
      <c r="AE267" s="287"/>
      <c r="AF267" s="287"/>
      <c r="AG267" s="287"/>
      <c r="AH267" s="287"/>
      <c r="AI267" s="287"/>
      <c r="AJ267" s="287"/>
      <c r="AK267" s="287"/>
      <c r="AL267" s="287"/>
      <c r="AM267" s="287"/>
      <c r="AN267" s="287"/>
      <c r="AO267" s="287"/>
      <c r="AP267" s="287"/>
      <c r="AQ267" s="287"/>
      <c r="AR267" s="287"/>
      <c r="AS267" s="287"/>
      <c r="AT267" s="287"/>
      <c r="AU267" s="287"/>
      <c r="AV267" s="287"/>
      <c r="AW267" s="287"/>
      <c r="AX267" s="287"/>
      <c r="AY267" s="287"/>
      <c r="AZ267" s="287"/>
      <c r="BA267" s="287"/>
      <c r="BB267" s="287"/>
      <c r="BC267" s="287"/>
    </row>
    <row r="268" ht="15.75" customHeight="1">
      <c r="A268" s="287"/>
      <c r="B268" s="287"/>
      <c r="C268" s="287"/>
      <c r="D268" s="287"/>
      <c r="E268" s="287"/>
      <c r="F268" s="287"/>
      <c r="G268" s="287"/>
      <c r="H268" s="287"/>
      <c r="I268" s="287"/>
      <c r="J268" s="287"/>
      <c r="K268" s="287"/>
      <c r="L268" s="287"/>
      <c r="M268" s="287"/>
      <c r="N268" s="287"/>
      <c r="O268" s="287"/>
      <c r="P268" s="287"/>
      <c r="Q268" s="287"/>
      <c r="R268" s="287"/>
      <c r="S268" s="287"/>
      <c r="T268" s="287"/>
      <c r="U268" s="287"/>
      <c r="V268" s="287"/>
      <c r="W268" s="287"/>
      <c r="X268" s="287"/>
      <c r="Y268" s="287"/>
      <c r="Z268" s="287"/>
      <c r="AA268" s="287"/>
      <c r="AB268" s="287"/>
      <c r="AC268" s="287"/>
      <c r="AD268" s="287"/>
      <c r="AE268" s="287"/>
      <c r="AF268" s="287"/>
      <c r="AG268" s="287"/>
      <c r="AH268" s="287"/>
      <c r="AI268" s="287"/>
      <c r="AJ268" s="287"/>
      <c r="AK268" s="287"/>
      <c r="AL268" s="287"/>
      <c r="AM268" s="287"/>
      <c r="AN268" s="287"/>
      <c r="AO268" s="287"/>
      <c r="AP268" s="287"/>
      <c r="AQ268" s="287"/>
      <c r="AR268" s="287"/>
      <c r="AS268" s="287"/>
      <c r="AT268" s="287"/>
      <c r="AU268" s="287"/>
      <c r="AV268" s="287"/>
      <c r="AW268" s="287"/>
      <c r="AX268" s="287"/>
      <c r="AY268" s="287"/>
      <c r="AZ268" s="287"/>
      <c r="BA268" s="287"/>
      <c r="BB268" s="287"/>
      <c r="BC268" s="287"/>
    </row>
    <row r="269" ht="15.75" customHeight="1">
      <c r="A269" s="287"/>
      <c r="B269" s="287"/>
      <c r="C269" s="287"/>
      <c r="D269" s="287"/>
      <c r="E269" s="287"/>
      <c r="F269" s="287"/>
      <c r="G269" s="287"/>
      <c r="H269" s="287"/>
      <c r="I269" s="287"/>
      <c r="J269" s="287"/>
      <c r="K269" s="287"/>
      <c r="L269" s="287"/>
      <c r="M269" s="287"/>
      <c r="N269" s="287"/>
      <c r="O269" s="287"/>
      <c r="P269" s="287"/>
      <c r="Q269" s="287"/>
      <c r="R269" s="287"/>
      <c r="S269" s="287"/>
      <c r="T269" s="287"/>
      <c r="U269" s="287"/>
      <c r="V269" s="287"/>
      <c r="W269" s="287"/>
      <c r="X269" s="287"/>
      <c r="Y269" s="287"/>
      <c r="Z269" s="287"/>
      <c r="AA269" s="287"/>
      <c r="AB269" s="287"/>
      <c r="AC269" s="287"/>
      <c r="AD269" s="287"/>
      <c r="AE269" s="287"/>
      <c r="AF269" s="287"/>
      <c r="AG269" s="287"/>
      <c r="AH269" s="287"/>
      <c r="AI269" s="287"/>
      <c r="AJ269" s="287"/>
      <c r="AK269" s="287"/>
      <c r="AL269" s="287"/>
      <c r="AM269" s="287"/>
      <c r="AN269" s="287"/>
      <c r="AO269" s="287"/>
      <c r="AP269" s="287"/>
      <c r="AQ269" s="287"/>
      <c r="AR269" s="287"/>
      <c r="AS269" s="287"/>
      <c r="AT269" s="287"/>
      <c r="AU269" s="287"/>
      <c r="AV269" s="287"/>
      <c r="AW269" s="287"/>
      <c r="AX269" s="287"/>
      <c r="AY269" s="287"/>
      <c r="AZ269" s="287"/>
      <c r="BA269" s="287"/>
      <c r="BB269" s="287"/>
      <c r="BC269" s="287"/>
    </row>
    <row r="270" ht="15.75" customHeight="1">
      <c r="A270" s="287"/>
      <c r="B270" s="287"/>
      <c r="C270" s="287"/>
      <c r="D270" s="287"/>
      <c r="E270" s="287"/>
      <c r="F270" s="287"/>
      <c r="G270" s="287"/>
      <c r="H270" s="287"/>
      <c r="I270" s="287"/>
      <c r="J270" s="287"/>
      <c r="K270" s="287"/>
      <c r="L270" s="287"/>
      <c r="M270" s="287"/>
      <c r="N270" s="287"/>
      <c r="O270" s="287"/>
      <c r="P270" s="287"/>
      <c r="Q270" s="287"/>
      <c r="R270" s="287"/>
      <c r="S270" s="287"/>
      <c r="T270" s="287"/>
      <c r="U270" s="287"/>
      <c r="V270" s="287"/>
      <c r="W270" s="287"/>
      <c r="X270" s="287"/>
      <c r="Y270" s="287"/>
      <c r="Z270" s="287"/>
      <c r="AA270" s="287"/>
      <c r="AB270" s="287"/>
      <c r="AC270" s="287"/>
      <c r="AD270" s="287"/>
      <c r="AE270" s="287"/>
      <c r="AF270" s="287"/>
      <c r="AG270" s="287"/>
      <c r="AH270" s="287"/>
      <c r="AI270" s="287"/>
      <c r="AJ270" s="287"/>
      <c r="AK270" s="287"/>
      <c r="AL270" s="287"/>
      <c r="AM270" s="287"/>
      <c r="AN270" s="287"/>
      <c r="AO270" s="287"/>
      <c r="AP270" s="287"/>
      <c r="AQ270" s="287"/>
      <c r="AR270" s="287"/>
      <c r="AS270" s="287"/>
      <c r="AT270" s="287"/>
      <c r="AU270" s="287"/>
      <c r="AV270" s="287"/>
      <c r="AW270" s="287"/>
      <c r="AX270" s="287"/>
      <c r="AY270" s="287"/>
      <c r="AZ270" s="287"/>
      <c r="BA270" s="287"/>
      <c r="BB270" s="287"/>
      <c r="BC270" s="287"/>
    </row>
    <row r="271" ht="15.75" customHeight="1">
      <c r="A271" s="287"/>
      <c r="B271" s="287"/>
      <c r="C271" s="287"/>
      <c r="D271" s="287"/>
      <c r="E271" s="287"/>
      <c r="F271" s="287"/>
      <c r="G271" s="287"/>
      <c r="H271" s="287"/>
      <c r="I271" s="287"/>
      <c r="J271" s="287"/>
      <c r="K271" s="287"/>
      <c r="L271" s="287"/>
      <c r="M271" s="287"/>
      <c r="N271" s="287"/>
      <c r="O271" s="287"/>
      <c r="P271" s="287"/>
      <c r="Q271" s="287"/>
      <c r="R271" s="287"/>
      <c r="S271" s="287"/>
      <c r="T271" s="287"/>
      <c r="U271" s="287"/>
      <c r="V271" s="287"/>
      <c r="W271" s="287"/>
      <c r="X271" s="287"/>
      <c r="Y271" s="287"/>
      <c r="Z271" s="287"/>
      <c r="AA271" s="287"/>
      <c r="AB271" s="287"/>
      <c r="AC271" s="287"/>
      <c r="AD271" s="287"/>
      <c r="AE271" s="287"/>
      <c r="AF271" s="287"/>
      <c r="AG271" s="287"/>
      <c r="AH271" s="287"/>
      <c r="AI271" s="287"/>
      <c r="AJ271" s="287"/>
      <c r="AK271" s="287"/>
      <c r="AL271" s="287"/>
      <c r="AM271" s="287"/>
      <c r="AN271" s="287"/>
      <c r="AO271" s="287"/>
      <c r="AP271" s="287"/>
      <c r="AQ271" s="287"/>
      <c r="AR271" s="287"/>
      <c r="AS271" s="287"/>
      <c r="AT271" s="287"/>
      <c r="AU271" s="287"/>
      <c r="AV271" s="287"/>
      <c r="AW271" s="287"/>
      <c r="AX271" s="287"/>
      <c r="AY271" s="287"/>
      <c r="AZ271" s="287"/>
      <c r="BA271" s="287"/>
      <c r="BB271" s="287"/>
      <c r="BC271" s="287"/>
    </row>
    <row r="272" ht="15.75" customHeight="1">
      <c r="A272" s="287"/>
      <c r="B272" s="287"/>
      <c r="C272" s="287"/>
      <c r="D272" s="287"/>
      <c r="E272" s="287"/>
      <c r="F272" s="287"/>
      <c r="G272" s="287"/>
      <c r="H272" s="287"/>
      <c r="I272" s="287"/>
      <c r="J272" s="287"/>
      <c r="K272" s="287"/>
      <c r="L272" s="287"/>
      <c r="M272" s="287"/>
      <c r="N272" s="287"/>
      <c r="O272" s="287"/>
      <c r="P272" s="287"/>
      <c r="Q272" s="287"/>
      <c r="R272" s="287"/>
      <c r="S272" s="287"/>
      <c r="T272" s="287"/>
      <c r="U272" s="287"/>
      <c r="V272" s="287"/>
      <c r="W272" s="287"/>
      <c r="X272" s="287"/>
      <c r="Y272" s="287"/>
      <c r="Z272" s="287"/>
      <c r="AA272" s="287"/>
      <c r="AB272" s="287"/>
      <c r="AC272" s="287"/>
      <c r="AD272" s="287"/>
      <c r="AE272" s="287"/>
      <c r="AF272" s="287"/>
      <c r="AG272" s="287"/>
      <c r="AH272" s="287"/>
      <c r="AI272" s="287"/>
      <c r="AJ272" s="287"/>
      <c r="AK272" s="287"/>
      <c r="AL272" s="287"/>
      <c r="AM272" s="287"/>
      <c r="AN272" s="287"/>
      <c r="AO272" s="287"/>
      <c r="AP272" s="287"/>
      <c r="AQ272" s="287"/>
      <c r="AR272" s="287"/>
      <c r="AS272" s="287"/>
      <c r="AT272" s="287"/>
      <c r="AU272" s="287"/>
      <c r="AV272" s="287"/>
      <c r="AW272" s="287"/>
      <c r="AX272" s="287"/>
      <c r="AY272" s="287"/>
      <c r="AZ272" s="287"/>
      <c r="BA272" s="287"/>
      <c r="BB272" s="287"/>
      <c r="BC272" s="287"/>
    </row>
    <row r="273" ht="15.75" customHeight="1">
      <c r="A273" s="287"/>
      <c r="B273" s="287"/>
      <c r="C273" s="287"/>
      <c r="D273" s="287"/>
      <c r="E273" s="287"/>
      <c r="F273" s="287"/>
      <c r="G273" s="287"/>
      <c r="H273" s="287"/>
      <c r="I273" s="287"/>
      <c r="J273" s="287"/>
      <c r="K273" s="287"/>
      <c r="L273" s="287"/>
      <c r="M273" s="287"/>
      <c r="N273" s="287"/>
      <c r="O273" s="287"/>
      <c r="P273" s="287"/>
      <c r="Q273" s="287"/>
      <c r="R273" s="287"/>
      <c r="S273" s="287"/>
      <c r="T273" s="287"/>
      <c r="U273" s="287"/>
      <c r="V273" s="287"/>
      <c r="W273" s="287"/>
      <c r="X273" s="287"/>
      <c r="Y273" s="287"/>
      <c r="Z273" s="287"/>
      <c r="AA273" s="287"/>
      <c r="AB273" s="287"/>
      <c r="AC273" s="287"/>
      <c r="AD273" s="287"/>
      <c r="AE273" s="287"/>
      <c r="AF273" s="287"/>
      <c r="AG273" s="287"/>
      <c r="AH273" s="287"/>
      <c r="AI273" s="287"/>
      <c r="AJ273" s="287"/>
      <c r="AK273" s="287"/>
      <c r="AL273" s="287"/>
      <c r="AM273" s="287"/>
      <c r="AN273" s="287"/>
      <c r="AO273" s="287"/>
      <c r="AP273" s="287"/>
      <c r="AQ273" s="287"/>
      <c r="AR273" s="287"/>
      <c r="AS273" s="287"/>
      <c r="AT273" s="287"/>
      <c r="AU273" s="287"/>
      <c r="AV273" s="287"/>
      <c r="AW273" s="287"/>
      <c r="AX273" s="287"/>
      <c r="AY273" s="287"/>
      <c r="AZ273" s="287"/>
      <c r="BA273" s="287"/>
      <c r="BB273" s="287"/>
      <c r="BC273" s="287"/>
    </row>
    <row r="274" ht="15.75" customHeight="1">
      <c r="A274" s="287"/>
      <c r="B274" s="287"/>
      <c r="C274" s="287"/>
      <c r="D274" s="287"/>
      <c r="E274" s="287"/>
      <c r="F274" s="287"/>
      <c r="G274" s="287"/>
      <c r="H274" s="287"/>
      <c r="I274" s="287"/>
      <c r="J274" s="287"/>
      <c r="K274" s="287"/>
      <c r="L274" s="287"/>
      <c r="M274" s="287"/>
      <c r="N274" s="287"/>
      <c r="O274" s="287"/>
      <c r="P274" s="287"/>
      <c r="Q274" s="287"/>
      <c r="R274" s="287"/>
      <c r="S274" s="287"/>
      <c r="T274" s="287"/>
      <c r="U274" s="287"/>
      <c r="V274" s="287"/>
      <c r="W274" s="287"/>
      <c r="X274" s="287"/>
      <c r="Y274" s="287"/>
      <c r="Z274" s="287"/>
      <c r="AA274" s="287"/>
      <c r="AB274" s="287"/>
      <c r="AC274" s="287"/>
      <c r="AD274" s="287"/>
      <c r="AE274" s="287"/>
      <c r="AF274" s="287"/>
      <c r="AG274" s="287"/>
      <c r="AH274" s="287"/>
      <c r="AI274" s="287"/>
      <c r="AJ274" s="287"/>
      <c r="AK274" s="287"/>
      <c r="AL274" s="287"/>
      <c r="AM274" s="287"/>
      <c r="AN274" s="287"/>
      <c r="AO274" s="287"/>
      <c r="AP274" s="287"/>
      <c r="AQ274" s="287"/>
      <c r="AR274" s="287"/>
      <c r="AS274" s="287"/>
      <c r="AT274" s="287"/>
      <c r="AU274" s="287"/>
      <c r="AV274" s="287"/>
      <c r="AW274" s="287"/>
      <c r="AX274" s="287"/>
      <c r="AY274" s="287"/>
      <c r="AZ274" s="287"/>
      <c r="BA274" s="287"/>
      <c r="BB274" s="287"/>
      <c r="BC274" s="287"/>
    </row>
    <row r="275" ht="15.75" customHeight="1">
      <c r="A275" s="287"/>
      <c r="B275" s="287"/>
      <c r="C275" s="287"/>
      <c r="D275" s="287"/>
      <c r="E275" s="287"/>
      <c r="F275" s="287"/>
      <c r="G275" s="287"/>
      <c r="H275" s="287"/>
      <c r="I275" s="287"/>
      <c r="J275" s="287"/>
      <c r="K275" s="287"/>
      <c r="L275" s="287"/>
      <c r="M275" s="287"/>
      <c r="N275" s="287"/>
      <c r="O275" s="287"/>
      <c r="P275" s="287"/>
      <c r="Q275" s="287"/>
      <c r="R275" s="287"/>
      <c r="S275" s="287"/>
      <c r="T275" s="287"/>
      <c r="U275" s="287"/>
      <c r="V275" s="287"/>
      <c r="W275" s="287"/>
      <c r="X275" s="287"/>
      <c r="Y275" s="287"/>
      <c r="Z275" s="287"/>
      <c r="AA275" s="287"/>
      <c r="AB275" s="287"/>
      <c r="AC275" s="287"/>
      <c r="AD275" s="287"/>
      <c r="AE275" s="287"/>
      <c r="AF275" s="287"/>
      <c r="AG275" s="287"/>
      <c r="AH275" s="287"/>
      <c r="AI275" s="287"/>
      <c r="AJ275" s="287"/>
      <c r="AK275" s="287"/>
      <c r="AL275" s="287"/>
      <c r="AM275" s="287"/>
      <c r="AN275" s="287"/>
      <c r="AO275" s="287"/>
      <c r="AP275" s="287"/>
      <c r="AQ275" s="287"/>
      <c r="AR275" s="287"/>
      <c r="AS275" s="287"/>
      <c r="AT275" s="287"/>
      <c r="AU275" s="287"/>
      <c r="AV275" s="287"/>
      <c r="AW275" s="287"/>
      <c r="AX275" s="287"/>
      <c r="AY275" s="287"/>
      <c r="AZ275" s="287"/>
      <c r="BA275" s="287"/>
      <c r="BB275" s="287"/>
      <c r="BC275" s="287"/>
    </row>
    <row r="276" ht="15.75" customHeight="1">
      <c r="A276" s="287"/>
      <c r="B276" s="287"/>
      <c r="C276" s="287"/>
      <c r="D276" s="287"/>
      <c r="E276" s="287"/>
      <c r="F276" s="287"/>
      <c r="G276" s="287"/>
      <c r="H276" s="287"/>
      <c r="I276" s="287"/>
      <c r="J276" s="287"/>
      <c r="K276" s="287"/>
      <c r="L276" s="287"/>
      <c r="M276" s="287"/>
      <c r="N276" s="287"/>
      <c r="O276" s="287"/>
      <c r="P276" s="287"/>
      <c r="Q276" s="287"/>
      <c r="R276" s="287"/>
      <c r="S276" s="287"/>
      <c r="T276" s="287"/>
      <c r="U276" s="287"/>
      <c r="V276" s="287"/>
      <c r="W276" s="287"/>
      <c r="X276" s="287"/>
      <c r="Y276" s="287"/>
      <c r="Z276" s="287"/>
      <c r="AA276" s="287"/>
      <c r="AB276" s="287"/>
      <c r="AC276" s="287"/>
      <c r="AD276" s="287"/>
      <c r="AE276" s="287"/>
      <c r="AF276" s="287"/>
      <c r="AG276" s="287"/>
      <c r="AH276" s="287"/>
      <c r="AI276" s="287"/>
      <c r="AJ276" s="287"/>
      <c r="AK276" s="287"/>
      <c r="AL276" s="287"/>
      <c r="AM276" s="287"/>
      <c r="AN276" s="287"/>
      <c r="AO276" s="287"/>
      <c r="AP276" s="287"/>
      <c r="AQ276" s="287"/>
      <c r="AR276" s="287"/>
      <c r="AS276" s="287"/>
      <c r="AT276" s="287"/>
      <c r="AU276" s="287"/>
      <c r="AV276" s="287"/>
      <c r="AW276" s="287"/>
      <c r="AX276" s="287"/>
      <c r="AY276" s="287"/>
      <c r="AZ276" s="287"/>
      <c r="BA276" s="287"/>
      <c r="BB276" s="287"/>
      <c r="BC276" s="287"/>
    </row>
    <row r="277" ht="15.75" customHeight="1">
      <c r="A277" s="287"/>
      <c r="B277" s="287"/>
      <c r="C277" s="287"/>
      <c r="D277" s="287"/>
      <c r="E277" s="287"/>
      <c r="F277" s="287"/>
      <c r="G277" s="287"/>
      <c r="H277" s="287"/>
      <c r="I277" s="287"/>
      <c r="J277" s="287"/>
      <c r="K277" s="287"/>
      <c r="L277" s="287"/>
      <c r="M277" s="287"/>
      <c r="N277" s="287"/>
      <c r="O277" s="287"/>
      <c r="P277" s="287"/>
      <c r="Q277" s="287"/>
      <c r="R277" s="287"/>
      <c r="S277" s="287"/>
      <c r="T277" s="287"/>
      <c r="U277" s="287"/>
      <c r="V277" s="287"/>
      <c r="W277" s="287"/>
      <c r="X277" s="287"/>
      <c r="Y277" s="287"/>
      <c r="Z277" s="287"/>
      <c r="AA277" s="287"/>
      <c r="AB277" s="287"/>
      <c r="AC277" s="287"/>
      <c r="AD277" s="287"/>
      <c r="AE277" s="287"/>
      <c r="AF277" s="287"/>
      <c r="AG277" s="287"/>
      <c r="AH277" s="287"/>
      <c r="AI277" s="287"/>
      <c r="AJ277" s="287"/>
      <c r="AK277" s="287"/>
      <c r="AL277" s="287"/>
      <c r="AM277" s="287"/>
      <c r="AN277" s="287"/>
      <c r="AO277" s="287"/>
      <c r="AP277" s="287"/>
      <c r="AQ277" s="287"/>
      <c r="AR277" s="287"/>
      <c r="AS277" s="287"/>
      <c r="AT277" s="287"/>
      <c r="AU277" s="287"/>
      <c r="AV277" s="287"/>
      <c r="AW277" s="287"/>
      <c r="AX277" s="287"/>
      <c r="AY277" s="287"/>
      <c r="AZ277" s="287"/>
      <c r="BA277" s="287"/>
      <c r="BB277" s="287"/>
      <c r="BC277" s="287"/>
    </row>
    <row r="278" ht="15.75" customHeight="1">
      <c r="A278" s="287"/>
      <c r="B278" s="287"/>
      <c r="C278" s="287"/>
      <c r="D278" s="287"/>
      <c r="E278" s="287"/>
      <c r="F278" s="287"/>
      <c r="G278" s="287"/>
      <c r="H278" s="287"/>
      <c r="I278" s="287"/>
      <c r="J278" s="287"/>
      <c r="K278" s="287"/>
      <c r="L278" s="287"/>
      <c r="M278" s="287"/>
      <c r="N278" s="287"/>
      <c r="O278" s="287"/>
      <c r="P278" s="287"/>
      <c r="Q278" s="287"/>
      <c r="R278" s="287"/>
      <c r="S278" s="287"/>
      <c r="T278" s="287"/>
      <c r="U278" s="287"/>
      <c r="V278" s="287"/>
      <c r="W278" s="287"/>
      <c r="X278" s="287"/>
      <c r="Y278" s="287"/>
      <c r="Z278" s="287"/>
      <c r="AA278" s="287"/>
      <c r="AB278" s="287"/>
      <c r="AC278" s="287"/>
      <c r="AD278" s="287"/>
      <c r="AE278" s="287"/>
      <c r="AF278" s="287"/>
      <c r="AG278" s="287"/>
      <c r="AH278" s="287"/>
      <c r="AI278" s="287"/>
      <c r="AJ278" s="287"/>
      <c r="AK278" s="287"/>
      <c r="AL278" s="287"/>
      <c r="AM278" s="287"/>
      <c r="AN278" s="287"/>
      <c r="AO278" s="287"/>
      <c r="AP278" s="287"/>
      <c r="AQ278" s="287"/>
      <c r="AR278" s="287"/>
      <c r="AS278" s="287"/>
      <c r="AT278" s="287"/>
      <c r="AU278" s="287"/>
      <c r="AV278" s="287"/>
      <c r="AW278" s="287"/>
      <c r="AX278" s="287"/>
      <c r="AY278" s="287"/>
      <c r="AZ278" s="287"/>
      <c r="BA278" s="287"/>
      <c r="BB278" s="287"/>
      <c r="BC278" s="287"/>
    </row>
    <row r="279" ht="15.75" customHeight="1">
      <c r="A279" s="287"/>
      <c r="B279" s="287"/>
      <c r="C279" s="287"/>
      <c r="D279" s="287"/>
      <c r="E279" s="287"/>
      <c r="F279" s="287"/>
      <c r="G279" s="287"/>
      <c r="H279" s="287"/>
      <c r="I279" s="287"/>
      <c r="J279" s="287"/>
      <c r="K279" s="287"/>
      <c r="L279" s="287"/>
      <c r="M279" s="287"/>
      <c r="N279" s="287"/>
      <c r="O279" s="287"/>
      <c r="P279" s="287"/>
      <c r="Q279" s="287"/>
      <c r="R279" s="287"/>
      <c r="S279" s="287"/>
      <c r="T279" s="287"/>
      <c r="U279" s="287"/>
      <c r="V279" s="287"/>
      <c r="W279" s="287"/>
      <c r="X279" s="287"/>
      <c r="Y279" s="287"/>
      <c r="Z279" s="287"/>
      <c r="AA279" s="287"/>
      <c r="AB279" s="287"/>
      <c r="AC279" s="287"/>
      <c r="AD279" s="287"/>
      <c r="AE279" s="287"/>
      <c r="AF279" s="287"/>
      <c r="AG279" s="287"/>
      <c r="AH279" s="287"/>
      <c r="AI279" s="287"/>
      <c r="AJ279" s="287"/>
      <c r="AK279" s="287"/>
      <c r="AL279" s="287"/>
      <c r="AM279" s="287"/>
      <c r="AN279" s="287"/>
      <c r="AO279" s="287"/>
      <c r="AP279" s="287"/>
      <c r="AQ279" s="287"/>
      <c r="AR279" s="287"/>
      <c r="AS279" s="287"/>
      <c r="AT279" s="287"/>
      <c r="AU279" s="287"/>
      <c r="AV279" s="287"/>
      <c r="AW279" s="287"/>
      <c r="AX279" s="287"/>
      <c r="AY279" s="287"/>
      <c r="AZ279" s="287"/>
      <c r="BA279" s="287"/>
      <c r="BB279" s="287"/>
      <c r="BC279" s="287"/>
    </row>
    <row r="280" ht="15.75" customHeight="1">
      <c r="A280" s="287"/>
      <c r="B280" s="287"/>
      <c r="C280" s="287"/>
      <c r="D280" s="287"/>
      <c r="E280" s="287"/>
      <c r="F280" s="287"/>
      <c r="G280" s="287"/>
      <c r="H280" s="287"/>
      <c r="I280" s="287"/>
      <c r="J280" s="287"/>
      <c r="K280" s="287"/>
      <c r="L280" s="287"/>
      <c r="M280" s="287"/>
      <c r="N280" s="287"/>
      <c r="O280" s="287"/>
      <c r="P280" s="287"/>
      <c r="Q280" s="287"/>
      <c r="R280" s="287"/>
      <c r="S280" s="287"/>
      <c r="T280" s="287"/>
      <c r="U280" s="287"/>
      <c r="V280" s="287"/>
      <c r="W280" s="287"/>
      <c r="X280" s="287"/>
      <c r="Y280" s="287"/>
      <c r="Z280" s="287"/>
      <c r="AA280" s="287"/>
      <c r="AB280" s="287"/>
      <c r="AC280" s="287"/>
      <c r="AD280" s="287"/>
      <c r="AE280" s="287"/>
      <c r="AF280" s="287"/>
      <c r="AG280" s="287"/>
      <c r="AH280" s="287"/>
      <c r="AI280" s="287"/>
      <c r="AJ280" s="287"/>
      <c r="AK280" s="287"/>
      <c r="AL280" s="287"/>
      <c r="AM280" s="287"/>
      <c r="AN280" s="287"/>
      <c r="AO280" s="287"/>
      <c r="AP280" s="287"/>
      <c r="AQ280" s="287"/>
      <c r="AR280" s="287"/>
      <c r="AS280" s="287"/>
      <c r="AT280" s="287"/>
      <c r="AU280" s="287"/>
      <c r="AV280" s="287"/>
      <c r="AW280" s="287"/>
      <c r="AX280" s="287"/>
      <c r="AY280" s="287"/>
      <c r="AZ280" s="287"/>
      <c r="BA280" s="287"/>
      <c r="BB280" s="287"/>
      <c r="BC280" s="287"/>
    </row>
    <row r="281" ht="15.75" customHeight="1">
      <c r="A281" s="287"/>
      <c r="B281" s="287"/>
      <c r="C281" s="287"/>
      <c r="D281" s="287"/>
      <c r="E281" s="287"/>
      <c r="F281" s="287"/>
      <c r="G281" s="287"/>
      <c r="H281" s="287"/>
      <c r="I281" s="287"/>
      <c r="J281" s="287"/>
      <c r="K281" s="287"/>
      <c r="L281" s="287"/>
      <c r="M281" s="287"/>
      <c r="N281" s="287"/>
      <c r="O281" s="287"/>
      <c r="P281" s="287"/>
      <c r="Q281" s="287"/>
      <c r="R281" s="287"/>
      <c r="S281" s="287"/>
      <c r="T281" s="287"/>
      <c r="U281" s="287"/>
      <c r="V281" s="287"/>
      <c r="W281" s="287"/>
      <c r="X281" s="287"/>
      <c r="Y281" s="287"/>
      <c r="Z281" s="287"/>
      <c r="AA281" s="287"/>
      <c r="AB281" s="287"/>
      <c r="AC281" s="287"/>
      <c r="AD281" s="287"/>
      <c r="AE281" s="287"/>
      <c r="AF281" s="287"/>
      <c r="AG281" s="287"/>
      <c r="AH281" s="287"/>
      <c r="AI281" s="287"/>
      <c r="AJ281" s="287"/>
      <c r="AK281" s="287"/>
      <c r="AL281" s="287"/>
      <c r="AM281" s="287"/>
      <c r="AN281" s="287"/>
      <c r="AO281" s="287"/>
      <c r="AP281" s="287"/>
      <c r="AQ281" s="287"/>
      <c r="AR281" s="287"/>
      <c r="AS281" s="287"/>
      <c r="AT281" s="287"/>
      <c r="AU281" s="287"/>
      <c r="AV281" s="287"/>
      <c r="AW281" s="287"/>
      <c r="AX281" s="287"/>
      <c r="AY281" s="287"/>
      <c r="AZ281" s="287"/>
      <c r="BA281" s="287"/>
      <c r="BB281" s="287"/>
      <c r="BC281" s="287"/>
    </row>
    <row r="282" ht="15.75" customHeight="1">
      <c r="A282" s="287"/>
      <c r="B282" s="287"/>
      <c r="C282" s="287"/>
      <c r="D282" s="287"/>
      <c r="E282" s="287"/>
      <c r="F282" s="287"/>
      <c r="G282" s="287"/>
      <c r="H282" s="287"/>
      <c r="I282" s="287"/>
      <c r="J282" s="287"/>
      <c r="K282" s="287"/>
      <c r="L282" s="287"/>
      <c r="M282" s="287"/>
      <c r="N282" s="287"/>
      <c r="O282" s="287"/>
      <c r="P282" s="287"/>
      <c r="Q282" s="287"/>
      <c r="R282" s="287"/>
      <c r="S282" s="287"/>
      <c r="T282" s="287"/>
      <c r="U282" s="287"/>
      <c r="V282" s="287"/>
      <c r="W282" s="287"/>
      <c r="X282" s="287"/>
      <c r="Y282" s="287"/>
      <c r="Z282" s="287"/>
      <c r="AA282" s="287"/>
      <c r="AB282" s="287"/>
      <c r="AC282" s="287"/>
      <c r="AD282" s="287"/>
      <c r="AE282" s="287"/>
      <c r="AF282" s="287"/>
      <c r="AG282" s="287"/>
      <c r="AH282" s="287"/>
      <c r="AI282" s="287"/>
      <c r="AJ282" s="287"/>
      <c r="AK282" s="287"/>
      <c r="AL282" s="287"/>
      <c r="AM282" s="287"/>
      <c r="AN282" s="287"/>
      <c r="AO282" s="287"/>
      <c r="AP282" s="287"/>
      <c r="AQ282" s="287"/>
      <c r="AR282" s="287"/>
      <c r="AS282" s="287"/>
      <c r="AT282" s="287"/>
      <c r="AU282" s="287"/>
      <c r="AV282" s="287"/>
      <c r="AW282" s="287"/>
      <c r="AX282" s="287"/>
      <c r="AY282" s="287"/>
      <c r="AZ282" s="287"/>
      <c r="BA282" s="287"/>
      <c r="BB282" s="287"/>
      <c r="BC282" s="287"/>
    </row>
    <row r="283" ht="15.75" customHeight="1">
      <c r="A283" s="287"/>
      <c r="B283" s="287"/>
      <c r="C283" s="287"/>
      <c r="D283" s="287"/>
      <c r="E283" s="287"/>
      <c r="F283" s="287"/>
      <c r="G283" s="287"/>
      <c r="H283" s="287"/>
      <c r="I283" s="287"/>
      <c r="J283" s="287"/>
      <c r="K283" s="287"/>
      <c r="L283" s="287"/>
      <c r="M283" s="287"/>
      <c r="N283" s="287"/>
      <c r="O283" s="287"/>
      <c r="P283" s="287"/>
      <c r="Q283" s="287"/>
      <c r="R283" s="287"/>
      <c r="S283" s="287"/>
      <c r="T283" s="287"/>
      <c r="U283" s="287"/>
      <c r="V283" s="287"/>
      <c r="W283" s="287"/>
      <c r="X283" s="287"/>
      <c r="Y283" s="287"/>
      <c r="Z283" s="287"/>
      <c r="AA283" s="287"/>
      <c r="AB283" s="287"/>
      <c r="AC283" s="287"/>
      <c r="AD283" s="287"/>
      <c r="AE283" s="287"/>
      <c r="AF283" s="287"/>
      <c r="AG283" s="287"/>
      <c r="AH283" s="287"/>
      <c r="AI283" s="287"/>
      <c r="AJ283" s="287"/>
      <c r="AK283" s="287"/>
      <c r="AL283" s="287"/>
      <c r="AM283" s="287"/>
      <c r="AN283" s="287"/>
      <c r="AO283" s="287"/>
      <c r="AP283" s="287"/>
      <c r="AQ283" s="287"/>
      <c r="AR283" s="287"/>
      <c r="AS283" s="287"/>
      <c r="AT283" s="287"/>
      <c r="AU283" s="287"/>
      <c r="AV283" s="287"/>
      <c r="AW283" s="287"/>
      <c r="AX283" s="287"/>
      <c r="AY283" s="287"/>
      <c r="AZ283" s="287"/>
      <c r="BA283" s="287"/>
      <c r="BB283" s="287"/>
      <c r="BC283" s="287"/>
    </row>
    <row r="284" ht="15.75" customHeight="1">
      <c r="A284" s="287"/>
      <c r="B284" s="287"/>
      <c r="C284" s="287"/>
      <c r="D284" s="287"/>
      <c r="E284" s="287"/>
      <c r="F284" s="287"/>
      <c r="G284" s="287"/>
      <c r="H284" s="287"/>
      <c r="I284" s="287"/>
      <c r="J284" s="287"/>
      <c r="K284" s="287"/>
      <c r="L284" s="287"/>
      <c r="M284" s="287"/>
      <c r="N284" s="287"/>
      <c r="O284" s="287"/>
      <c r="P284" s="287"/>
      <c r="Q284" s="287"/>
      <c r="R284" s="287"/>
      <c r="S284" s="287"/>
      <c r="T284" s="287"/>
      <c r="U284" s="287"/>
      <c r="V284" s="287"/>
      <c r="W284" s="287"/>
      <c r="X284" s="287"/>
      <c r="Y284" s="287"/>
      <c r="Z284" s="287"/>
      <c r="AA284" s="287"/>
      <c r="AB284" s="287"/>
      <c r="AC284" s="287"/>
      <c r="AD284" s="287"/>
      <c r="AE284" s="287"/>
      <c r="AF284" s="287"/>
      <c r="AG284" s="287"/>
      <c r="AH284" s="287"/>
      <c r="AI284" s="287"/>
      <c r="AJ284" s="287"/>
      <c r="AK284" s="287"/>
      <c r="AL284" s="287"/>
      <c r="AM284" s="287"/>
      <c r="AN284" s="287"/>
      <c r="AO284" s="287"/>
      <c r="AP284" s="287"/>
      <c r="AQ284" s="287"/>
      <c r="AR284" s="287"/>
      <c r="AS284" s="287"/>
      <c r="AT284" s="287"/>
      <c r="AU284" s="287"/>
      <c r="AV284" s="287"/>
      <c r="AW284" s="287"/>
      <c r="AX284" s="287"/>
      <c r="AY284" s="287"/>
      <c r="AZ284" s="287"/>
      <c r="BA284" s="287"/>
      <c r="BB284" s="287"/>
      <c r="BC284" s="287"/>
    </row>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sheetData>
  <mergeCells count="460">
    <mergeCell ref="M21:P21"/>
    <mergeCell ref="M22:P22"/>
    <mergeCell ref="M23:P23"/>
    <mergeCell ref="M24:P24"/>
    <mergeCell ref="M25:P25"/>
    <mergeCell ref="M26:P26"/>
    <mergeCell ref="M27:P27"/>
    <mergeCell ref="M35:P35"/>
    <mergeCell ref="M36:P36"/>
    <mergeCell ref="M28:P28"/>
    <mergeCell ref="M29:P29"/>
    <mergeCell ref="M30:P30"/>
    <mergeCell ref="M31:P31"/>
    <mergeCell ref="M32:P32"/>
    <mergeCell ref="M33:P33"/>
    <mergeCell ref="M34:P34"/>
    <mergeCell ref="B10:D10"/>
    <mergeCell ref="B11:D11"/>
    <mergeCell ref="E12:I12"/>
    <mergeCell ref="J12:K12"/>
    <mergeCell ref="L12:P12"/>
    <mergeCell ref="R12:U13"/>
    <mergeCell ref="V12:W13"/>
    <mergeCell ref="L13:P13"/>
    <mergeCell ref="J15:K15"/>
    <mergeCell ref="L15:P15"/>
    <mergeCell ref="E13:I13"/>
    <mergeCell ref="J13:K13"/>
    <mergeCell ref="E14:I14"/>
    <mergeCell ref="J14:K14"/>
    <mergeCell ref="L14:P14"/>
    <mergeCell ref="R14:U15"/>
    <mergeCell ref="V14:W15"/>
    <mergeCell ref="B15:D15"/>
    <mergeCell ref="E15:I15"/>
    <mergeCell ref="B17:N18"/>
    <mergeCell ref="O17:S18"/>
    <mergeCell ref="T17:W18"/>
    <mergeCell ref="X17:AB18"/>
    <mergeCell ref="AC17:AG18"/>
    <mergeCell ref="C19:F19"/>
    <mergeCell ref="M19:P19"/>
    <mergeCell ref="W19:Z19"/>
    <mergeCell ref="C20:F20"/>
    <mergeCell ref="M20:P20"/>
    <mergeCell ref="C21:F21"/>
    <mergeCell ref="W22:Z22"/>
    <mergeCell ref="W20:Z20"/>
    <mergeCell ref="W21:Z21"/>
    <mergeCell ref="W23:Z23"/>
    <mergeCell ref="W24:Z24"/>
    <mergeCell ref="W25:Z25"/>
    <mergeCell ref="W26:Z26"/>
    <mergeCell ref="W27:Z27"/>
    <mergeCell ref="W28:Z28"/>
    <mergeCell ref="W29:Z29"/>
    <mergeCell ref="W30:Z30"/>
    <mergeCell ref="W31:Z31"/>
    <mergeCell ref="W32:Z32"/>
    <mergeCell ref="W33:Z33"/>
    <mergeCell ref="W34:Z34"/>
    <mergeCell ref="B2:AS6"/>
    <mergeCell ref="AT2:AV3"/>
    <mergeCell ref="AW2:AY3"/>
    <mergeCell ref="AZ2:BB3"/>
    <mergeCell ref="AT4:AV6"/>
    <mergeCell ref="AW4:AY6"/>
    <mergeCell ref="AZ4:BB6"/>
    <mergeCell ref="X10:Y10"/>
    <mergeCell ref="Z10:AC11"/>
    <mergeCell ref="X11:Y11"/>
    <mergeCell ref="X12:Y12"/>
    <mergeCell ref="Z12:AC13"/>
    <mergeCell ref="X13:Y13"/>
    <mergeCell ref="AD10:AE11"/>
    <mergeCell ref="AF10:AG10"/>
    <mergeCell ref="AF11:AG11"/>
    <mergeCell ref="AD12:AE13"/>
    <mergeCell ref="AF12:AG12"/>
    <mergeCell ref="AF13:AG13"/>
    <mergeCell ref="B8:P9"/>
    <mergeCell ref="R8:AO9"/>
    <mergeCell ref="AQ8:BB9"/>
    <mergeCell ref="E10:P10"/>
    <mergeCell ref="R10:U11"/>
    <mergeCell ref="V10:W11"/>
    <mergeCell ref="AN10:AO10"/>
    <mergeCell ref="E11:P11"/>
    <mergeCell ref="B12:D12"/>
    <mergeCell ref="B13:D13"/>
    <mergeCell ref="B14:D14"/>
    <mergeCell ref="X14:Y14"/>
    <mergeCell ref="Z14:AC15"/>
    <mergeCell ref="AD14:AE15"/>
    <mergeCell ref="AF14:AG14"/>
    <mergeCell ref="X15:Y15"/>
    <mergeCell ref="AF15:AG15"/>
    <mergeCell ref="AN13:AO13"/>
    <mergeCell ref="AN14:AO14"/>
    <mergeCell ref="AY28:BB28"/>
    <mergeCell ref="AY29:BB29"/>
    <mergeCell ref="AQ26:AV26"/>
    <mergeCell ref="AW26:BB26"/>
    <mergeCell ref="AQ27:AT28"/>
    <mergeCell ref="AU27:AX28"/>
    <mergeCell ref="AY27:BB27"/>
    <mergeCell ref="AQ29:AT30"/>
    <mergeCell ref="AU29:AX30"/>
    <mergeCell ref="AY30:BB30"/>
    <mergeCell ref="C29:F29"/>
    <mergeCell ref="C30:F30"/>
    <mergeCell ref="C31:F31"/>
    <mergeCell ref="C32:F32"/>
    <mergeCell ref="C33:F33"/>
    <mergeCell ref="C34:F34"/>
    <mergeCell ref="C35:F35"/>
    <mergeCell ref="C36:F36"/>
    <mergeCell ref="C22:F22"/>
    <mergeCell ref="C23:F23"/>
    <mergeCell ref="C24:F24"/>
    <mergeCell ref="C25:F25"/>
    <mergeCell ref="C26:F26"/>
    <mergeCell ref="C27:F27"/>
    <mergeCell ref="C28:F28"/>
    <mergeCell ref="AG32:AJ32"/>
    <mergeCell ref="AG33:AJ33"/>
    <mergeCell ref="AG35:AJ35"/>
    <mergeCell ref="AG25:AJ25"/>
    <mergeCell ref="AG26:AJ26"/>
    <mergeCell ref="AG27:AJ27"/>
    <mergeCell ref="AG28:AJ28"/>
    <mergeCell ref="AG29:AJ29"/>
    <mergeCell ref="AG30:AJ30"/>
    <mergeCell ref="AG31:AJ31"/>
    <mergeCell ref="AU33:AV34"/>
    <mergeCell ref="AW33:AZ34"/>
    <mergeCell ref="AG34:AJ34"/>
    <mergeCell ref="AQ31:AT32"/>
    <mergeCell ref="AU31:AX32"/>
    <mergeCell ref="AY31:AZ31"/>
    <mergeCell ref="BA31:BB31"/>
    <mergeCell ref="AY32:AZ32"/>
    <mergeCell ref="BA32:BB32"/>
    <mergeCell ref="BA33:BB34"/>
    <mergeCell ref="AH12:AK13"/>
    <mergeCell ref="AH14:AK15"/>
    <mergeCell ref="AL14:AM15"/>
    <mergeCell ref="AH17:AK18"/>
    <mergeCell ref="AH10:AK11"/>
    <mergeCell ref="AL10:AM11"/>
    <mergeCell ref="AQ10:BB19"/>
    <mergeCell ref="AN11:AO11"/>
    <mergeCell ref="AL12:AM13"/>
    <mergeCell ref="AN12:AO12"/>
    <mergeCell ref="AN15:AO15"/>
    <mergeCell ref="AY25:AZ25"/>
    <mergeCell ref="BA25:BB25"/>
    <mergeCell ref="AL17:AO18"/>
    <mergeCell ref="AG19:AJ19"/>
    <mergeCell ref="AG20:AJ20"/>
    <mergeCell ref="AG21:AJ21"/>
    <mergeCell ref="AG22:AJ22"/>
    <mergeCell ref="AG23:AJ23"/>
    <mergeCell ref="AG24:AJ24"/>
    <mergeCell ref="AQ21:BB22"/>
    <mergeCell ref="AQ23:AV23"/>
    <mergeCell ref="AW23:BB23"/>
    <mergeCell ref="AQ24:AV24"/>
    <mergeCell ref="AW24:BB24"/>
    <mergeCell ref="AQ25:AV25"/>
    <mergeCell ref="AW25:AX25"/>
    <mergeCell ref="AQ40:BB40"/>
    <mergeCell ref="AQ41:BB41"/>
    <mergeCell ref="AQ42:BB42"/>
    <mergeCell ref="AQ43:BB43"/>
    <mergeCell ref="AQ33:AT34"/>
    <mergeCell ref="AQ35:AT36"/>
    <mergeCell ref="AU35:AV36"/>
    <mergeCell ref="AW35:AZ36"/>
    <mergeCell ref="BA35:BB36"/>
    <mergeCell ref="AG36:AJ36"/>
    <mergeCell ref="AQ38:BB39"/>
    <mergeCell ref="S40:X40"/>
    <mergeCell ref="Y40:AB40"/>
    <mergeCell ref="S41:X41"/>
    <mergeCell ref="Y41:AB41"/>
    <mergeCell ref="AC40:AG40"/>
    <mergeCell ref="AH40:AK40"/>
    <mergeCell ref="AC41:AG41"/>
    <mergeCell ref="AH41:AK41"/>
    <mergeCell ref="AL41:AO41"/>
    <mergeCell ref="W35:Z35"/>
    <mergeCell ref="W36:Z36"/>
    <mergeCell ref="B38:AO39"/>
    <mergeCell ref="J40:L40"/>
    <mergeCell ref="M40:O40"/>
    <mergeCell ref="P40:R40"/>
    <mergeCell ref="AL40:AO40"/>
    <mergeCell ref="M42:O42"/>
    <mergeCell ref="P42:R42"/>
    <mergeCell ref="S42:X42"/>
    <mergeCell ref="Y42:AB42"/>
    <mergeCell ref="AC42:AG42"/>
    <mergeCell ref="AH42:AK42"/>
    <mergeCell ref="AL42:AO42"/>
    <mergeCell ref="B40:I40"/>
    <mergeCell ref="B41:I41"/>
    <mergeCell ref="J41:L41"/>
    <mergeCell ref="M41:O41"/>
    <mergeCell ref="P41:R41"/>
    <mergeCell ref="B42:I42"/>
    <mergeCell ref="J42:L42"/>
    <mergeCell ref="AH43:AK43"/>
    <mergeCell ref="AL43:AO43"/>
    <mergeCell ref="B43:I43"/>
    <mergeCell ref="J43:L43"/>
    <mergeCell ref="M43:O43"/>
    <mergeCell ref="P43:R43"/>
    <mergeCell ref="S43:X43"/>
    <mergeCell ref="Y43:AB43"/>
    <mergeCell ref="AC43:AG43"/>
    <mergeCell ref="Q58:U59"/>
    <mergeCell ref="V58:Z59"/>
    <mergeCell ref="Q60:U61"/>
    <mergeCell ref="G58:K59"/>
    <mergeCell ref="L58:P59"/>
    <mergeCell ref="B60:F61"/>
    <mergeCell ref="G60:K61"/>
    <mergeCell ref="L60:P61"/>
    <mergeCell ref="B66:R70"/>
    <mergeCell ref="B71:Q72"/>
    <mergeCell ref="B56:F57"/>
    <mergeCell ref="G56:K57"/>
    <mergeCell ref="L56:P57"/>
    <mergeCell ref="Q56:U57"/>
    <mergeCell ref="V56:Z57"/>
    <mergeCell ref="AA56:AE57"/>
    <mergeCell ref="B58:F59"/>
    <mergeCell ref="AA58:AE59"/>
    <mergeCell ref="AF58:AJ59"/>
    <mergeCell ref="AK58:AO59"/>
    <mergeCell ref="V60:AN60"/>
    <mergeCell ref="V61:AO61"/>
    <mergeCell ref="B63:BB64"/>
    <mergeCell ref="B65:R65"/>
    <mergeCell ref="W73:Z73"/>
    <mergeCell ref="AA73:AD73"/>
    <mergeCell ref="Z77:AK80"/>
    <mergeCell ref="AL77:AW80"/>
    <mergeCell ref="AY77:BB80"/>
    <mergeCell ref="S65:AI65"/>
    <mergeCell ref="AJ65:BB65"/>
    <mergeCell ref="S66:AI70"/>
    <mergeCell ref="AJ66:BB73"/>
    <mergeCell ref="W71:Z72"/>
    <mergeCell ref="AA71:AD72"/>
    <mergeCell ref="AE71:AI72"/>
    <mergeCell ref="AE73:AI73"/>
    <mergeCell ref="B73:R73"/>
    <mergeCell ref="B75:M76"/>
    <mergeCell ref="N75:Y76"/>
    <mergeCell ref="Z75:AK76"/>
    <mergeCell ref="AL75:AW76"/>
    <mergeCell ref="AY75:BB76"/>
    <mergeCell ref="B84:E87"/>
    <mergeCell ref="F84:I87"/>
    <mergeCell ref="J84:M87"/>
    <mergeCell ref="N84:Q87"/>
    <mergeCell ref="R84:U87"/>
    <mergeCell ref="V84:Y87"/>
    <mergeCell ref="Z84:AC87"/>
    <mergeCell ref="A89:BC89"/>
    <mergeCell ref="A90:BC90"/>
    <mergeCell ref="A91:BC91"/>
    <mergeCell ref="A92:BC92"/>
    <mergeCell ref="A93:BC93"/>
    <mergeCell ref="A94:BC94"/>
    <mergeCell ref="A95:BC95"/>
    <mergeCell ref="AH47:AK47"/>
    <mergeCell ref="AL47:AO47"/>
    <mergeCell ref="AQ47:BB47"/>
    <mergeCell ref="B47:I47"/>
    <mergeCell ref="J47:L47"/>
    <mergeCell ref="M47:O47"/>
    <mergeCell ref="P47:R47"/>
    <mergeCell ref="S47:X47"/>
    <mergeCell ref="Y47:AB47"/>
    <mergeCell ref="AC47:AG47"/>
    <mergeCell ref="B48:T49"/>
    <mergeCell ref="V48:AN49"/>
    <mergeCell ref="AQ48:BB48"/>
    <mergeCell ref="B50:F51"/>
    <mergeCell ref="G50:K51"/>
    <mergeCell ref="L50:P51"/>
    <mergeCell ref="Q50:U51"/>
    <mergeCell ref="AF50:AJ51"/>
    <mergeCell ref="V50:Z51"/>
    <mergeCell ref="AA50:AE51"/>
    <mergeCell ref="G52:K53"/>
    <mergeCell ref="L52:P53"/>
    <mergeCell ref="Q52:U53"/>
    <mergeCell ref="V52:Z53"/>
    <mergeCell ref="AA52:AE53"/>
    <mergeCell ref="AQ49:BA54"/>
    <mergeCell ref="AQ55:BB58"/>
    <mergeCell ref="AQ59:BA59"/>
    <mergeCell ref="AQ60:BB60"/>
    <mergeCell ref="AQ61:AX61"/>
    <mergeCell ref="AY61:BB61"/>
    <mergeCell ref="AF56:AJ57"/>
    <mergeCell ref="AK56:AO57"/>
    <mergeCell ref="AH46:AK46"/>
    <mergeCell ref="AL46:AO46"/>
    <mergeCell ref="AQ46:BB46"/>
    <mergeCell ref="BB49:BB54"/>
    <mergeCell ref="AK50:AO51"/>
    <mergeCell ref="AF52:AJ53"/>
    <mergeCell ref="AK52:AO53"/>
    <mergeCell ref="AH44:AK44"/>
    <mergeCell ref="AL44:AO44"/>
    <mergeCell ref="AQ44:BB44"/>
    <mergeCell ref="B44:I44"/>
    <mergeCell ref="J44:L44"/>
    <mergeCell ref="M44:O44"/>
    <mergeCell ref="P44:R44"/>
    <mergeCell ref="S44:X44"/>
    <mergeCell ref="Y44:AB44"/>
    <mergeCell ref="AC44:AG44"/>
    <mergeCell ref="AH45:AK45"/>
    <mergeCell ref="AL45:AO45"/>
    <mergeCell ref="AQ45:BB45"/>
    <mergeCell ref="B45:I45"/>
    <mergeCell ref="J45:L45"/>
    <mergeCell ref="M45:O45"/>
    <mergeCell ref="P45:R45"/>
    <mergeCell ref="S45:X45"/>
    <mergeCell ref="Y45:AB45"/>
    <mergeCell ref="AC45:AG45"/>
    <mergeCell ref="B46:I46"/>
    <mergeCell ref="J46:L46"/>
    <mergeCell ref="M46:O46"/>
    <mergeCell ref="P46:R46"/>
    <mergeCell ref="S46:X46"/>
    <mergeCell ref="Y46:AB46"/>
    <mergeCell ref="AC46:AG46"/>
    <mergeCell ref="AF54:AJ55"/>
    <mergeCell ref="AK54:AO55"/>
    <mergeCell ref="B52:F53"/>
    <mergeCell ref="B54:F55"/>
    <mergeCell ref="G54:K55"/>
    <mergeCell ref="L54:P55"/>
    <mergeCell ref="Q54:U55"/>
    <mergeCell ref="V54:Z55"/>
    <mergeCell ref="AA54:AE55"/>
    <mergeCell ref="S71:V72"/>
    <mergeCell ref="S73:V73"/>
    <mergeCell ref="N77:Y80"/>
    <mergeCell ref="B77:M80"/>
    <mergeCell ref="B82:E83"/>
    <mergeCell ref="F82:I83"/>
    <mergeCell ref="J82:M83"/>
    <mergeCell ref="N82:Q83"/>
    <mergeCell ref="R82:U83"/>
    <mergeCell ref="V82:Y83"/>
    <mergeCell ref="Z82:AC83"/>
    <mergeCell ref="AD82:AG83"/>
    <mergeCell ref="AH82:AK83"/>
    <mergeCell ref="AL82:AO83"/>
    <mergeCell ref="AP82:AS83"/>
    <mergeCell ref="AT82:AW83"/>
    <mergeCell ref="AX82:BB83"/>
    <mergeCell ref="AD84:AG87"/>
    <mergeCell ref="AH84:AK87"/>
    <mergeCell ref="AL84:AO87"/>
    <mergeCell ref="AP84:AS87"/>
    <mergeCell ref="AT84:AW87"/>
    <mergeCell ref="AX84:BB87"/>
    <mergeCell ref="AX88:BB88"/>
    <mergeCell ref="A145:BC145"/>
    <mergeCell ref="A146:BC146"/>
    <mergeCell ref="A147:BC147"/>
    <mergeCell ref="A148:BC148"/>
    <mergeCell ref="A149:BC149"/>
    <mergeCell ref="A150:BC150"/>
    <mergeCell ref="A151:BC151"/>
    <mergeCell ref="A152:BC152"/>
    <mergeCell ref="A153:BC153"/>
    <mergeCell ref="A154:BC154"/>
    <mergeCell ref="A155:BC155"/>
    <mergeCell ref="A156:BC156"/>
    <mergeCell ref="A157:BC157"/>
    <mergeCell ref="A158:BC158"/>
    <mergeCell ref="A159:BC159"/>
    <mergeCell ref="A160:BC160"/>
    <mergeCell ref="A161:BC161"/>
    <mergeCell ref="A162:BC162"/>
    <mergeCell ref="A163:BC163"/>
    <mergeCell ref="A164:BC164"/>
    <mergeCell ref="A165:BC165"/>
    <mergeCell ref="A173:BC173"/>
    <mergeCell ref="A174:BC174"/>
    <mergeCell ref="A175:BC175"/>
    <mergeCell ref="A176:BC176"/>
    <mergeCell ref="A177:BC177"/>
    <mergeCell ref="A166:BC166"/>
    <mergeCell ref="A167:BC167"/>
    <mergeCell ref="A168:BC168"/>
    <mergeCell ref="A169:BC169"/>
    <mergeCell ref="A170:BC170"/>
    <mergeCell ref="A171:BC171"/>
    <mergeCell ref="A172:BC172"/>
    <mergeCell ref="A96:BC96"/>
    <mergeCell ref="A97:BC97"/>
    <mergeCell ref="A98:BC98"/>
    <mergeCell ref="A99:BC99"/>
    <mergeCell ref="A100:BC100"/>
    <mergeCell ref="A101:BC101"/>
    <mergeCell ref="A102:BC102"/>
    <mergeCell ref="A103:BC103"/>
    <mergeCell ref="A104:BC104"/>
    <mergeCell ref="A105:BC105"/>
    <mergeCell ref="A106:BC106"/>
    <mergeCell ref="A107:BC107"/>
    <mergeCell ref="A108:BC108"/>
    <mergeCell ref="A109:BC109"/>
    <mergeCell ref="A110:BC110"/>
    <mergeCell ref="A111:BC111"/>
    <mergeCell ref="A112:BC112"/>
    <mergeCell ref="A113:BC113"/>
    <mergeCell ref="A114:BC114"/>
    <mergeCell ref="A115:BC115"/>
    <mergeCell ref="A116:BC116"/>
    <mergeCell ref="A117:BC117"/>
    <mergeCell ref="A118:BC118"/>
    <mergeCell ref="A119:BC119"/>
    <mergeCell ref="A120:BC120"/>
    <mergeCell ref="A121:BC121"/>
    <mergeCell ref="A122:BC122"/>
    <mergeCell ref="A123:BC123"/>
    <mergeCell ref="A124:BC124"/>
    <mergeCell ref="A125:BC125"/>
    <mergeCell ref="A126:BC126"/>
    <mergeCell ref="A127:BC127"/>
    <mergeCell ref="A128:BC128"/>
    <mergeCell ref="A129:BC129"/>
    <mergeCell ref="A130:BC130"/>
    <mergeCell ref="A131:BC131"/>
    <mergeCell ref="A132:BC132"/>
    <mergeCell ref="A133:BC133"/>
    <mergeCell ref="A134:BC134"/>
    <mergeCell ref="A135:BC135"/>
    <mergeCell ref="A136:BC136"/>
    <mergeCell ref="A137:BC137"/>
    <mergeCell ref="A138:BC138"/>
    <mergeCell ref="A139:BC139"/>
    <mergeCell ref="A140:BC140"/>
    <mergeCell ref="A141:BC141"/>
    <mergeCell ref="A142:BC142"/>
    <mergeCell ref="A143:BC143"/>
    <mergeCell ref="A144:BC144"/>
  </mergeCells>
  <conditionalFormatting sqref="B19:B36 L19:L36 V19:V36 AF19:AF36">
    <cfRule type="containsText" dxfId="7" priority="1" operator="containsText" text="✖">
      <formula>NOT(ISERROR(SEARCH(("✖"),(B19))))</formula>
    </cfRule>
  </conditionalFormatting>
  <conditionalFormatting sqref="B19:B36 L19:L36 V19:V36 AF19:AF36">
    <cfRule type="containsText" dxfId="1" priority="2" operator="containsText" text="✔">
      <formula>NOT(ISERROR(SEARCH(("✔"),(B19))))</formula>
    </cfRule>
  </conditionalFormatting>
  <conditionalFormatting sqref="C19:F36 AG19:AJ36 W19:Z36 M19:P36">
    <cfRule type="expression" dxfId="8" priority="3">
      <formula>H19&gt;0</formula>
    </cfRule>
  </conditionalFormatting>
  <conditionalFormatting sqref="C20:F20">
    <cfRule type="expression" dxfId="2" priority="4">
      <formula>H20&gt;0</formula>
    </cfRule>
  </conditionalFormatting>
  <conditionalFormatting sqref="C21:F21">
    <cfRule type="expression" dxfId="2" priority="5">
      <formula>H21&gt;0</formula>
    </cfRule>
  </conditionalFormatting>
  <conditionalFormatting sqref="C22:F22">
    <cfRule type="expression" dxfId="2" priority="6">
      <formula>H22&gt;0</formula>
    </cfRule>
  </conditionalFormatting>
  <conditionalFormatting sqref="C23:F23">
    <cfRule type="expression" dxfId="2" priority="7">
      <formula>H23&gt;0</formula>
    </cfRule>
  </conditionalFormatting>
  <conditionalFormatting sqref="C24:F24">
    <cfRule type="expression" dxfId="2" priority="8">
      <formula>H24&gt;0</formula>
    </cfRule>
  </conditionalFormatting>
  <conditionalFormatting sqref="C25:F25">
    <cfRule type="expression" dxfId="2" priority="9">
      <formula>H25&gt;0</formula>
    </cfRule>
  </conditionalFormatting>
  <conditionalFormatting sqref="C26:F26">
    <cfRule type="expression" dxfId="2" priority="10">
      <formula>H26&gt;0</formula>
    </cfRule>
  </conditionalFormatting>
  <conditionalFormatting sqref="C27:F27">
    <cfRule type="expression" dxfId="2" priority="11">
      <formula>H27&gt;0</formula>
    </cfRule>
  </conditionalFormatting>
  <conditionalFormatting sqref="C28:F28">
    <cfRule type="expression" dxfId="2" priority="12">
      <formula>H28&gt;0</formula>
    </cfRule>
  </conditionalFormatting>
  <conditionalFormatting sqref="C29:F29">
    <cfRule type="expression" dxfId="2" priority="13">
      <formula>H29&gt;0</formula>
    </cfRule>
  </conditionalFormatting>
  <conditionalFormatting sqref="C30:F30">
    <cfRule type="expression" dxfId="2" priority="14">
      <formula>H30&gt;0</formula>
    </cfRule>
  </conditionalFormatting>
  <conditionalFormatting sqref="C31:F31">
    <cfRule type="expression" dxfId="2" priority="15">
      <formula>H31&gt;0</formula>
    </cfRule>
  </conditionalFormatting>
  <conditionalFormatting sqref="C32:F32">
    <cfRule type="expression" dxfId="2" priority="16">
      <formula>H32&gt;0</formula>
    </cfRule>
  </conditionalFormatting>
  <conditionalFormatting sqref="C33:F33">
    <cfRule type="expression" dxfId="2" priority="17">
      <formula>H33&gt;0</formula>
    </cfRule>
  </conditionalFormatting>
  <conditionalFormatting sqref="C34:F34">
    <cfRule type="expression" dxfId="2" priority="18">
      <formula>H34&gt;0</formula>
    </cfRule>
  </conditionalFormatting>
  <conditionalFormatting sqref="C35:F35">
    <cfRule type="expression" dxfId="2" priority="19">
      <formula>H35&gt;0</formula>
    </cfRule>
  </conditionalFormatting>
  <conditionalFormatting sqref="C36:F36">
    <cfRule type="expression" dxfId="2" priority="20">
      <formula>H36&gt;0</formula>
    </cfRule>
  </conditionalFormatting>
  <conditionalFormatting sqref="M19:P19">
    <cfRule type="expression" dxfId="2" priority="21">
      <formula>R19&gt;0</formula>
    </cfRule>
  </conditionalFormatting>
  <conditionalFormatting sqref="M20:P20">
    <cfRule type="expression" dxfId="2" priority="22">
      <formula>R20&gt;0</formula>
    </cfRule>
  </conditionalFormatting>
  <conditionalFormatting sqref="M21:P21">
    <cfRule type="expression" dxfId="2" priority="23">
      <formula>R21&gt;0</formula>
    </cfRule>
  </conditionalFormatting>
  <conditionalFormatting sqref="M22:P22">
    <cfRule type="expression" dxfId="2" priority="24">
      <formula>R22&gt;0</formula>
    </cfRule>
  </conditionalFormatting>
  <conditionalFormatting sqref="M23:P23">
    <cfRule type="expression" dxfId="2" priority="25">
      <formula>R23&gt;0</formula>
    </cfRule>
  </conditionalFormatting>
  <conditionalFormatting sqref="M24:P24">
    <cfRule type="expression" dxfId="2" priority="26">
      <formula>R24&gt;0</formula>
    </cfRule>
  </conditionalFormatting>
  <conditionalFormatting sqref="M25:P25">
    <cfRule type="expression" dxfId="2" priority="27">
      <formula>R25&gt;0</formula>
    </cfRule>
  </conditionalFormatting>
  <conditionalFormatting sqref="M26:P26">
    <cfRule type="expression" dxfId="2" priority="28">
      <formula>R26&gt;0</formula>
    </cfRule>
  </conditionalFormatting>
  <conditionalFormatting sqref="M27:P27">
    <cfRule type="expression" dxfId="2" priority="29">
      <formula>R27&gt;0</formula>
    </cfRule>
  </conditionalFormatting>
  <conditionalFormatting sqref="M28:P28">
    <cfRule type="expression" dxfId="2" priority="30">
      <formula>R28&gt;0</formula>
    </cfRule>
  </conditionalFormatting>
  <conditionalFormatting sqref="M29:P29">
    <cfRule type="expression" dxfId="2" priority="31">
      <formula>R29&gt;0</formula>
    </cfRule>
  </conditionalFormatting>
  <conditionalFormatting sqref="M30:P30">
    <cfRule type="expression" dxfId="2" priority="32">
      <formula>R30&gt;0</formula>
    </cfRule>
  </conditionalFormatting>
  <conditionalFormatting sqref="M31:P31">
    <cfRule type="expression" dxfId="2" priority="33">
      <formula>R31&gt;0</formula>
    </cfRule>
  </conditionalFormatting>
  <conditionalFormatting sqref="M32:P32">
    <cfRule type="expression" dxfId="2" priority="34">
      <formula>R32&gt;0</formula>
    </cfRule>
  </conditionalFormatting>
  <conditionalFormatting sqref="M33:P33">
    <cfRule type="expression" dxfId="2" priority="35">
      <formula>R33&gt;0</formula>
    </cfRule>
  </conditionalFormatting>
  <conditionalFormatting sqref="M34:P34">
    <cfRule type="expression" dxfId="2" priority="36">
      <formula>R34&gt;0</formula>
    </cfRule>
  </conditionalFormatting>
  <conditionalFormatting sqref="M35:P35">
    <cfRule type="expression" dxfId="2" priority="37">
      <formula>R35&gt;0</formula>
    </cfRule>
  </conditionalFormatting>
  <conditionalFormatting sqref="M36:P36">
    <cfRule type="expression" dxfId="2" priority="38">
      <formula>R36&gt;0</formula>
    </cfRule>
  </conditionalFormatting>
  <conditionalFormatting sqref="W19:Z19">
    <cfRule type="expression" dxfId="2" priority="39">
      <formula>AB19&gt;0</formula>
    </cfRule>
  </conditionalFormatting>
  <conditionalFormatting sqref="W20:Z20">
    <cfRule type="expression" dxfId="2" priority="40">
      <formula>AB20&gt;0</formula>
    </cfRule>
  </conditionalFormatting>
  <conditionalFormatting sqref="W21:Z21">
    <cfRule type="expression" dxfId="2" priority="41">
      <formula>AB21&gt;0</formula>
    </cfRule>
  </conditionalFormatting>
  <conditionalFormatting sqref="W22:Z22">
    <cfRule type="expression" dxfId="2" priority="42">
      <formula>AB22&gt;0</formula>
    </cfRule>
  </conditionalFormatting>
  <conditionalFormatting sqref="W23:Z23">
    <cfRule type="expression" dxfId="2" priority="43">
      <formula>AB23&gt;0</formula>
    </cfRule>
  </conditionalFormatting>
  <conditionalFormatting sqref="W24:Z24">
    <cfRule type="expression" dxfId="2" priority="44">
      <formula>AB24&gt;0</formula>
    </cfRule>
  </conditionalFormatting>
  <conditionalFormatting sqref="W25:Z25">
    <cfRule type="expression" dxfId="2" priority="45">
      <formula>AB25&gt;0</formula>
    </cfRule>
  </conditionalFormatting>
  <conditionalFormatting sqref="W26:Z26">
    <cfRule type="expression" dxfId="2" priority="46">
      <formula>AB26&gt;0</formula>
    </cfRule>
  </conditionalFormatting>
  <conditionalFormatting sqref="W27:Z27">
    <cfRule type="expression" dxfId="2" priority="47">
      <formula>AB27&gt;0</formula>
    </cfRule>
  </conditionalFormatting>
  <conditionalFormatting sqref="W28:Z28">
    <cfRule type="expression" dxfId="2" priority="48">
      <formula>AB28&gt;0</formula>
    </cfRule>
  </conditionalFormatting>
  <conditionalFormatting sqref="W29:Z29">
    <cfRule type="expression" dxfId="2" priority="49">
      <formula>AB29&gt;0</formula>
    </cfRule>
  </conditionalFormatting>
  <conditionalFormatting sqref="W30:Z30">
    <cfRule type="expression" dxfId="2" priority="50">
      <formula>AB30&gt;0</formula>
    </cfRule>
  </conditionalFormatting>
  <conditionalFormatting sqref="W31:Z31">
    <cfRule type="expression" dxfId="2" priority="51">
      <formula>AB31&gt;0</formula>
    </cfRule>
  </conditionalFormatting>
  <conditionalFormatting sqref="W32:Z32">
    <cfRule type="expression" dxfId="2" priority="52">
      <formula>AB32&gt;0</formula>
    </cfRule>
  </conditionalFormatting>
  <conditionalFormatting sqref="W33:Z33">
    <cfRule type="expression" dxfId="2" priority="53">
      <formula>AB33&gt;0</formula>
    </cfRule>
  </conditionalFormatting>
  <conditionalFormatting sqref="W34:Z34">
    <cfRule type="expression" dxfId="2" priority="54">
      <formula>AB34&gt;0</formula>
    </cfRule>
  </conditionalFormatting>
  <conditionalFormatting sqref="W35:Z35">
    <cfRule type="expression" dxfId="2" priority="55">
      <formula>AB35&gt;0</formula>
    </cfRule>
  </conditionalFormatting>
  <conditionalFormatting sqref="W36:Z36">
    <cfRule type="expression" dxfId="2" priority="56">
      <formula>AB36&gt;0</formula>
    </cfRule>
  </conditionalFormatting>
  <conditionalFormatting sqref="AG19:AJ19">
    <cfRule type="expression" dxfId="2" priority="57">
      <formula>AL19&gt;0</formula>
    </cfRule>
  </conditionalFormatting>
  <conditionalFormatting sqref="AG20:AJ20">
    <cfRule type="expression" dxfId="2" priority="58">
      <formula>AL20&gt;0</formula>
    </cfRule>
  </conditionalFormatting>
  <conditionalFormatting sqref="AG21:AJ21">
    <cfRule type="expression" dxfId="2" priority="59">
      <formula>AL21&gt;0</formula>
    </cfRule>
  </conditionalFormatting>
  <conditionalFormatting sqref="AG22:AJ22">
    <cfRule type="expression" dxfId="2" priority="60">
      <formula>AL22&gt;0</formula>
    </cfRule>
  </conditionalFormatting>
  <conditionalFormatting sqref="AG23:AJ23">
    <cfRule type="expression" dxfId="2" priority="61">
      <formula>AL23&gt;0</formula>
    </cfRule>
  </conditionalFormatting>
  <conditionalFormatting sqref="AG24:AJ24">
    <cfRule type="expression" dxfId="2" priority="62">
      <formula>AL24&gt;0</formula>
    </cfRule>
  </conditionalFormatting>
  <conditionalFormatting sqref="AG25:AJ25">
    <cfRule type="expression" dxfId="2" priority="63">
      <formula>AL25&gt;0</formula>
    </cfRule>
  </conditionalFormatting>
  <conditionalFormatting sqref="AG26:AJ26">
    <cfRule type="expression" dxfId="2" priority="64">
      <formula>AL26&gt;0</formula>
    </cfRule>
  </conditionalFormatting>
  <conditionalFormatting sqref="AG27:AJ27">
    <cfRule type="expression" dxfId="2" priority="65">
      <formula>AL27&gt;0</formula>
    </cfRule>
  </conditionalFormatting>
  <conditionalFormatting sqref="AG28:AJ28">
    <cfRule type="expression" dxfId="2" priority="66">
      <formula>AL28&gt;0</formula>
    </cfRule>
  </conditionalFormatting>
  <conditionalFormatting sqref="AG29:AJ29">
    <cfRule type="expression" dxfId="2" priority="67">
      <formula>AL29&gt;0</formula>
    </cfRule>
  </conditionalFormatting>
  <conditionalFormatting sqref="AG30:AJ30">
    <cfRule type="expression" dxfId="2" priority="68">
      <formula>AL30&gt;0</formula>
    </cfRule>
  </conditionalFormatting>
  <conditionalFormatting sqref="AG31:AJ31">
    <cfRule type="expression" dxfId="2" priority="69">
      <formula>AL31&gt;0</formula>
    </cfRule>
  </conditionalFormatting>
  <conditionalFormatting sqref="AG32:AJ32">
    <cfRule type="expression" dxfId="2" priority="70">
      <formula>AL32&gt;0</formula>
    </cfRule>
  </conditionalFormatting>
  <conditionalFormatting sqref="AG33:AJ33">
    <cfRule type="expression" dxfId="2" priority="71">
      <formula>AL33&gt;0</formula>
    </cfRule>
  </conditionalFormatting>
  <conditionalFormatting sqref="AG34:AJ34">
    <cfRule type="expression" dxfId="2" priority="72">
      <formula>AL34&gt;0</formula>
    </cfRule>
  </conditionalFormatting>
  <conditionalFormatting sqref="AG35:AJ35">
    <cfRule type="expression" dxfId="2" priority="73">
      <formula>AL35&gt;0</formula>
    </cfRule>
  </conditionalFormatting>
  <conditionalFormatting sqref="AG36:AJ36">
    <cfRule type="expression" dxfId="2" priority="74">
      <formula>AL36&gt;0</formula>
    </cfRule>
  </conditionalFormatting>
  <dataValidations>
    <dataValidation type="list" allowBlank="1" sqref="U49 AO49 BB49 BB59 AO60 R72">
      <formula1>"1,2,3,4,5,6,7,8,9,10"</formula1>
    </dataValidation>
    <dataValidation type="list" allowBlank="1" sqref="AU33 BA33 AU35 BA35 B19:B36 L19:L36 V19:V36 AF19:AF36">
      <formula1>"✖,✔"</formula1>
    </dataValidation>
    <dataValidation type="list" allowBlank="1" sqref="E12">
      <formula1>"간호사,갱 보스,건달,건 몰,건축가,경관,고고학자,곡예사,골동품상,골동품 연구가,과학자,광부,광신자,교수,교주,기술자,기자,깡패,노조 활동가,농부,단독 범죄자,대학생,도둑,도박사,등반가,디자이너,디프로그래머,딜레탕트,떠돌이,리포터,매춘부,맹수사냥꾼,미술가,밀수꾼,밀주업자,바텐더,박물관 큐레이터,배우,벌목꾼,법의학자,변호사,병사,병원 보조원,복서/레슬러,부랑자,부족민,부하 조직원,비서,비행사,사기꾼,사립탐정,사무원,사서,사육사,사진가,사진기자,서적상,선교"&amp;"사,선원,선출직 공무원,성직자,소방관,수병,스턴트맨,스턴트우먼,스파이,신비학자,신사/숙녀,심령학자,심리학자,약사,엔지니어,연구실 조수,연구자,연방 요원,연예인,연주자,외신 기자,운동선수,운전사,웨이터,웨이트리스,위조업자,은행강도,의사,인턴,자객,자연 애호가,작가,잠수부,장교,장물아비,장의사,장인,전속 기사,점장,정신감정사,정신과 의사,정신병원 직원,정신분석가,조련사,조종사,중상급 관리자,집사,카우걸/카우보이,컴퓨터 테크니션,탐광인,탐험가,택시 운전사,판"&amp;"매원,판사,편집자,폭력배,프로그래머,하녀,하인,해커,현상금 사냥꾼,형사,회계사,회사 탐정,ETC"</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55" width="2.5"/>
  </cols>
  <sheetData>
    <row r="1" ht="11.25" customHeight="1">
      <c r="A1" s="1">
        <v>35.0</v>
      </c>
      <c r="B1" s="2"/>
      <c r="C1" s="2"/>
      <c r="D1" s="2"/>
      <c r="E1" s="2"/>
      <c r="F1" s="2"/>
      <c r="G1" s="2"/>
      <c r="H1" s="2"/>
      <c r="I1" s="2"/>
      <c r="J1" s="2"/>
      <c r="K1" s="2"/>
      <c r="L1" s="2"/>
      <c r="M1" s="2"/>
      <c r="N1" s="2"/>
      <c r="O1" s="2"/>
      <c r="P1" s="2"/>
      <c r="Q1" s="2"/>
      <c r="R1" s="2"/>
      <c r="S1" s="2"/>
      <c r="T1" s="2"/>
      <c r="U1" s="2"/>
      <c r="V1" s="2"/>
      <c r="W1" s="2"/>
      <c r="X1" s="2"/>
      <c r="Y1" s="2"/>
      <c r="Z1" s="2"/>
      <c r="AA1" s="2"/>
      <c r="AB1" s="2"/>
      <c r="AC1" s="3"/>
      <c r="AD1" s="3"/>
      <c r="AE1" s="3"/>
      <c r="AF1" s="3"/>
      <c r="AG1" s="3"/>
      <c r="AH1" s="3"/>
      <c r="AI1" s="3"/>
      <c r="AJ1" s="3"/>
      <c r="AK1" s="3"/>
      <c r="AL1" s="3"/>
      <c r="AM1" s="3"/>
      <c r="AN1" s="3"/>
      <c r="AO1" s="3"/>
      <c r="AP1" s="3"/>
      <c r="AQ1" s="3"/>
      <c r="AR1" s="3"/>
      <c r="AS1" s="3"/>
      <c r="AT1" s="3"/>
      <c r="AU1" s="3"/>
      <c r="AV1" s="3"/>
      <c r="AW1" s="3"/>
      <c r="AX1" s="3"/>
      <c r="AY1" s="3"/>
      <c r="AZ1" s="3"/>
      <c r="BA1" s="3"/>
      <c r="BB1" s="3"/>
      <c r="BC1" s="3"/>
    </row>
    <row r="2" ht="9.0" customHeight="1">
      <c r="A2" s="2"/>
      <c r="B2" s="499" t="s">
        <v>0</v>
      </c>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00" t="s">
        <v>1</v>
      </c>
      <c r="AU2" s="5"/>
      <c r="AV2" s="7"/>
      <c r="AW2" s="500" t="s">
        <v>2</v>
      </c>
      <c r="AX2" s="5"/>
      <c r="AY2" s="7"/>
      <c r="AZ2" s="500" t="s">
        <v>3</v>
      </c>
      <c r="BA2" s="5"/>
      <c r="BB2" s="7"/>
      <c r="BC2" s="3"/>
    </row>
    <row r="3" ht="9.0" customHeight="1">
      <c r="A3" s="8"/>
      <c r="B3" s="9"/>
      <c r="AT3" s="10"/>
      <c r="AU3" s="11"/>
      <c r="AV3" s="12"/>
      <c r="AW3" s="10"/>
      <c r="AX3" s="11"/>
      <c r="AY3" s="12"/>
      <c r="AZ3" s="10"/>
      <c r="BA3" s="11"/>
      <c r="BB3" s="12"/>
      <c r="BC3" s="3"/>
    </row>
    <row r="4" ht="9.0" customHeight="1">
      <c r="A4" s="8"/>
      <c r="B4" s="9"/>
      <c r="AT4" s="13"/>
      <c r="AU4" s="5"/>
      <c r="AV4" s="7"/>
      <c r="AW4" s="500" t="s">
        <v>4</v>
      </c>
      <c r="AX4" s="5"/>
      <c r="AY4" s="7"/>
      <c r="AZ4" s="501" t="s">
        <v>5</v>
      </c>
      <c r="BA4" s="5"/>
      <c r="BB4" s="7"/>
      <c r="BC4" s="3"/>
    </row>
    <row r="5" ht="9.0" customHeight="1">
      <c r="A5" s="8"/>
      <c r="B5" s="9"/>
      <c r="AT5" s="9"/>
      <c r="AV5" s="15"/>
      <c r="AW5" s="9"/>
      <c r="AY5" s="15"/>
      <c r="AZ5" s="9"/>
      <c r="BB5" s="15"/>
      <c r="BC5" s="3"/>
    </row>
    <row r="6" ht="9.0" customHeight="1">
      <c r="A6" s="2"/>
      <c r="B6" s="9"/>
      <c r="AT6" s="10"/>
      <c r="AU6" s="11"/>
      <c r="AV6" s="12"/>
      <c r="AW6" s="10"/>
      <c r="AX6" s="11"/>
      <c r="AY6" s="12"/>
      <c r="AZ6" s="10"/>
      <c r="BA6" s="11"/>
      <c r="BB6" s="12"/>
      <c r="BC6" s="2"/>
    </row>
    <row r="7" ht="13.5" customHeight="1">
      <c r="A7" s="16"/>
      <c r="B7" s="17"/>
      <c r="C7" s="17"/>
      <c r="D7" s="17"/>
      <c r="E7" s="17"/>
      <c r="F7" s="17"/>
      <c r="G7" s="17"/>
      <c r="H7" s="17"/>
      <c r="I7" s="17"/>
      <c r="J7" s="17"/>
      <c r="K7" s="17"/>
      <c r="L7" s="17"/>
      <c r="M7" s="17"/>
      <c r="N7" s="17"/>
      <c r="O7" s="18"/>
      <c r="P7" s="18"/>
      <c r="Q7" s="19"/>
      <c r="R7" s="18"/>
      <c r="S7" s="18"/>
      <c r="T7" s="18"/>
      <c r="U7" s="18"/>
      <c r="V7" s="18"/>
      <c r="W7" s="18"/>
      <c r="X7" s="18"/>
      <c r="Y7" s="18"/>
      <c r="Z7" s="18"/>
      <c r="AA7" s="18"/>
      <c r="AB7" s="18"/>
      <c r="AC7" s="18"/>
      <c r="AD7" s="18"/>
      <c r="AE7" s="18"/>
      <c r="AF7" s="18"/>
      <c r="AG7" s="18"/>
      <c r="AH7" s="18"/>
      <c r="AI7" s="18"/>
      <c r="AJ7" s="18"/>
      <c r="AK7" s="18"/>
      <c r="AL7" s="18"/>
      <c r="AM7" s="18"/>
      <c r="AN7" s="18"/>
      <c r="AO7" s="18"/>
      <c r="AP7" s="20"/>
      <c r="AQ7" s="17"/>
      <c r="AR7" s="17"/>
      <c r="AS7" s="17"/>
      <c r="AT7" s="17"/>
      <c r="AU7" s="17"/>
      <c r="AV7" s="17"/>
      <c r="AW7" s="17"/>
      <c r="AX7" s="17"/>
      <c r="AY7" s="17"/>
      <c r="AZ7" s="17"/>
      <c r="BA7" s="17"/>
      <c r="BB7" s="17"/>
      <c r="BC7" s="21"/>
    </row>
    <row r="8" ht="13.5" customHeight="1">
      <c r="A8" s="22"/>
      <c r="B8" s="23" t="s">
        <v>6</v>
      </c>
      <c r="C8" s="24"/>
      <c r="D8" s="24"/>
      <c r="E8" s="24"/>
      <c r="F8" s="24"/>
      <c r="G8" s="24"/>
      <c r="H8" s="24"/>
      <c r="I8" s="24"/>
      <c r="J8" s="24"/>
      <c r="K8" s="24"/>
      <c r="L8" s="24"/>
      <c r="M8" s="24"/>
      <c r="N8" s="24"/>
      <c r="O8" s="24"/>
      <c r="P8" s="25"/>
      <c r="Q8" s="26"/>
      <c r="R8" s="23" t="s">
        <v>7</v>
      </c>
      <c r="S8" s="24"/>
      <c r="T8" s="24"/>
      <c r="U8" s="24"/>
      <c r="V8" s="24"/>
      <c r="W8" s="24"/>
      <c r="X8" s="24"/>
      <c r="Y8" s="24"/>
      <c r="Z8" s="24"/>
      <c r="AA8" s="24"/>
      <c r="AB8" s="24"/>
      <c r="AC8" s="24"/>
      <c r="AD8" s="24"/>
      <c r="AE8" s="24"/>
      <c r="AF8" s="24"/>
      <c r="AG8" s="24"/>
      <c r="AH8" s="24"/>
      <c r="AI8" s="24"/>
      <c r="AJ8" s="24"/>
      <c r="AK8" s="24"/>
      <c r="AL8" s="24"/>
      <c r="AM8" s="24"/>
      <c r="AN8" s="24"/>
      <c r="AO8" s="25"/>
      <c r="AP8" s="27"/>
      <c r="AQ8" s="23" t="s">
        <v>8</v>
      </c>
      <c r="AR8" s="24"/>
      <c r="AS8" s="24"/>
      <c r="AT8" s="24"/>
      <c r="AU8" s="24"/>
      <c r="AV8" s="24"/>
      <c r="AW8" s="24"/>
      <c r="AX8" s="24"/>
      <c r="AY8" s="24"/>
      <c r="AZ8" s="24"/>
      <c r="BA8" s="24"/>
      <c r="BB8" s="25"/>
      <c r="BC8" s="28"/>
    </row>
    <row r="9" ht="13.5" customHeight="1">
      <c r="A9" s="29"/>
      <c r="B9" s="30"/>
      <c r="C9" s="31"/>
      <c r="D9" s="31"/>
      <c r="E9" s="31"/>
      <c r="F9" s="31"/>
      <c r="G9" s="31"/>
      <c r="H9" s="31"/>
      <c r="I9" s="31"/>
      <c r="J9" s="31"/>
      <c r="K9" s="31"/>
      <c r="L9" s="31"/>
      <c r="M9" s="31"/>
      <c r="N9" s="31"/>
      <c r="O9" s="31"/>
      <c r="P9" s="32"/>
      <c r="Q9" s="26"/>
      <c r="R9" s="30"/>
      <c r="S9" s="31"/>
      <c r="T9" s="31"/>
      <c r="U9" s="31"/>
      <c r="V9" s="31"/>
      <c r="W9" s="31"/>
      <c r="X9" s="31"/>
      <c r="Y9" s="31"/>
      <c r="Z9" s="31"/>
      <c r="AA9" s="31"/>
      <c r="AB9" s="31"/>
      <c r="AC9" s="31"/>
      <c r="AD9" s="31"/>
      <c r="AE9" s="31"/>
      <c r="AF9" s="31"/>
      <c r="AG9" s="31"/>
      <c r="AH9" s="31"/>
      <c r="AI9" s="31"/>
      <c r="AJ9" s="31"/>
      <c r="AK9" s="31"/>
      <c r="AL9" s="31"/>
      <c r="AM9" s="31"/>
      <c r="AN9" s="31"/>
      <c r="AO9" s="32"/>
      <c r="AP9" s="27"/>
      <c r="AQ9" s="30"/>
      <c r="AR9" s="31"/>
      <c r="AS9" s="31"/>
      <c r="AT9" s="31"/>
      <c r="AU9" s="31"/>
      <c r="AV9" s="31"/>
      <c r="AW9" s="31"/>
      <c r="AX9" s="31"/>
      <c r="AY9" s="31"/>
      <c r="AZ9" s="31"/>
      <c r="BA9" s="31"/>
      <c r="BB9" s="32"/>
      <c r="BC9" s="28"/>
    </row>
    <row r="10" ht="13.5" customHeight="1">
      <c r="A10" s="22"/>
      <c r="B10" s="33" t="s">
        <v>9</v>
      </c>
      <c r="C10" s="34"/>
      <c r="D10" s="35"/>
      <c r="E10" s="36"/>
      <c r="F10" s="34"/>
      <c r="G10" s="34"/>
      <c r="H10" s="34"/>
      <c r="I10" s="34"/>
      <c r="J10" s="34"/>
      <c r="K10" s="34"/>
      <c r="L10" s="34"/>
      <c r="M10" s="34"/>
      <c r="N10" s="34"/>
      <c r="O10" s="34"/>
      <c r="P10" s="35"/>
      <c r="Q10" s="26"/>
      <c r="R10" s="37" t="s">
        <v>10</v>
      </c>
      <c r="S10" s="24"/>
      <c r="T10" s="24"/>
      <c r="U10" s="25"/>
      <c r="V10" s="38"/>
      <c r="W10" s="25"/>
      <c r="X10" s="502">
        <f>Int(DIVIDE(V10,2))</f>
        <v>0</v>
      </c>
      <c r="Y10" s="35"/>
      <c r="Z10" s="40" t="s">
        <v>11</v>
      </c>
      <c r="AA10" s="24"/>
      <c r="AB10" s="24"/>
      <c r="AC10" s="25"/>
      <c r="AD10" s="38"/>
      <c r="AE10" s="25"/>
      <c r="AF10" s="502">
        <f>Int(DIVIDE(AD10,2))</f>
        <v>0</v>
      </c>
      <c r="AG10" s="35"/>
      <c r="AH10" s="40" t="s">
        <v>12</v>
      </c>
      <c r="AI10" s="24"/>
      <c r="AJ10" s="24"/>
      <c r="AK10" s="25"/>
      <c r="AL10" s="38"/>
      <c r="AM10" s="25"/>
      <c r="AN10" s="502">
        <f>Int(DIVIDE(AL10,2))</f>
        <v>0</v>
      </c>
      <c r="AO10" s="35"/>
      <c r="AP10" s="28"/>
      <c r="AQ10" s="290"/>
      <c r="BB10" s="15"/>
      <c r="BC10" s="3"/>
    </row>
    <row r="11" ht="13.5" customHeight="1">
      <c r="A11" s="22"/>
      <c r="B11" s="33" t="s">
        <v>13</v>
      </c>
      <c r="C11" s="34"/>
      <c r="D11" s="35"/>
      <c r="E11" s="42"/>
      <c r="F11" s="34"/>
      <c r="G11" s="34"/>
      <c r="H11" s="34"/>
      <c r="I11" s="34"/>
      <c r="J11" s="34"/>
      <c r="K11" s="34"/>
      <c r="L11" s="34"/>
      <c r="M11" s="34"/>
      <c r="N11" s="34"/>
      <c r="O11" s="34"/>
      <c r="P11" s="35"/>
      <c r="Q11" s="26"/>
      <c r="R11" s="30"/>
      <c r="S11" s="31"/>
      <c r="T11" s="31"/>
      <c r="U11" s="32"/>
      <c r="V11" s="30"/>
      <c r="W11" s="32"/>
      <c r="X11" s="503">
        <f>int(DIVIDE(V10,5))</f>
        <v>0</v>
      </c>
      <c r="Y11" s="35"/>
      <c r="Z11" s="30"/>
      <c r="AA11" s="31"/>
      <c r="AB11" s="31"/>
      <c r="AC11" s="32"/>
      <c r="AD11" s="30"/>
      <c r="AE11" s="32"/>
      <c r="AF11" s="503">
        <f>int(DIVIDE(AD10,5))</f>
        <v>0</v>
      </c>
      <c r="AG11" s="35"/>
      <c r="AH11" s="30"/>
      <c r="AI11" s="31"/>
      <c r="AJ11" s="31"/>
      <c r="AK11" s="32"/>
      <c r="AL11" s="30"/>
      <c r="AM11" s="32"/>
      <c r="AN11" s="503">
        <f>int(DIVIDE(AL10,5))</f>
        <v>0</v>
      </c>
      <c r="AO11" s="35"/>
      <c r="AP11" s="28"/>
      <c r="AQ11" s="9"/>
      <c r="BB11" s="15"/>
      <c r="BC11" s="2"/>
    </row>
    <row r="12" ht="13.5" customHeight="1">
      <c r="A12" s="22"/>
      <c r="B12" s="44" t="s">
        <v>14</v>
      </c>
      <c r="C12" s="34"/>
      <c r="D12" s="35"/>
      <c r="E12" s="45" t="s">
        <v>164</v>
      </c>
      <c r="J12" s="46" t="s">
        <v>16</v>
      </c>
      <c r="K12" s="35"/>
      <c r="L12" s="36"/>
      <c r="M12" s="34"/>
      <c r="N12" s="34"/>
      <c r="O12" s="34"/>
      <c r="P12" s="35"/>
      <c r="Q12" s="26"/>
      <c r="R12" s="37" t="s">
        <v>17</v>
      </c>
      <c r="S12" s="24"/>
      <c r="T12" s="24"/>
      <c r="U12" s="25"/>
      <c r="V12" s="38"/>
      <c r="W12" s="25"/>
      <c r="X12" s="502">
        <f>Int(DIVIDE(V12,2))</f>
        <v>0</v>
      </c>
      <c r="Y12" s="35"/>
      <c r="Z12" s="37" t="s">
        <v>18</v>
      </c>
      <c r="AA12" s="24"/>
      <c r="AB12" s="24"/>
      <c r="AC12" s="25"/>
      <c r="AD12" s="38"/>
      <c r="AE12" s="25"/>
      <c r="AF12" s="502">
        <f>Int(DIVIDE(AD12,2))</f>
        <v>0</v>
      </c>
      <c r="AG12" s="35"/>
      <c r="AH12" s="40" t="s">
        <v>19</v>
      </c>
      <c r="AI12" s="24"/>
      <c r="AJ12" s="24"/>
      <c r="AK12" s="25"/>
      <c r="AL12" s="38"/>
      <c r="AM12" s="25"/>
      <c r="AN12" s="502">
        <f>Int(DIVIDE(AL12,2))</f>
        <v>0</v>
      </c>
      <c r="AO12" s="35"/>
      <c r="AP12" s="28"/>
      <c r="AQ12" s="9"/>
      <c r="BB12" s="15"/>
      <c r="BC12" s="3"/>
    </row>
    <row r="13" ht="13.5" customHeight="1">
      <c r="A13" s="22"/>
      <c r="B13" s="33" t="s">
        <v>20</v>
      </c>
      <c r="C13" s="34"/>
      <c r="D13" s="35"/>
      <c r="E13" s="47"/>
      <c r="F13" s="34"/>
      <c r="G13" s="34"/>
      <c r="H13" s="34"/>
      <c r="I13" s="35"/>
      <c r="J13" s="48" t="s">
        <v>21</v>
      </c>
      <c r="K13" s="35"/>
      <c r="L13" s="36"/>
      <c r="M13" s="34"/>
      <c r="N13" s="34"/>
      <c r="O13" s="34"/>
      <c r="P13" s="35"/>
      <c r="Q13" s="26"/>
      <c r="R13" s="30"/>
      <c r="S13" s="31"/>
      <c r="T13" s="31"/>
      <c r="U13" s="32"/>
      <c r="V13" s="30"/>
      <c r="W13" s="32"/>
      <c r="X13" s="503">
        <f>int(DIVIDE(V12,5))</f>
        <v>0</v>
      </c>
      <c r="Y13" s="35"/>
      <c r="Z13" s="30"/>
      <c r="AA13" s="31"/>
      <c r="AB13" s="31"/>
      <c r="AC13" s="32"/>
      <c r="AD13" s="30"/>
      <c r="AE13" s="32"/>
      <c r="AF13" s="503">
        <f>int(DIVIDE(AD12,5))</f>
        <v>0</v>
      </c>
      <c r="AG13" s="35"/>
      <c r="AH13" s="30"/>
      <c r="AI13" s="31"/>
      <c r="AJ13" s="31"/>
      <c r="AK13" s="32"/>
      <c r="AL13" s="30"/>
      <c r="AM13" s="32"/>
      <c r="AN13" s="503">
        <f>int(DIVIDE(AL12,5))</f>
        <v>0</v>
      </c>
      <c r="AO13" s="35"/>
      <c r="AP13" s="28"/>
      <c r="AQ13" s="9"/>
      <c r="BB13" s="15"/>
      <c r="BC13" s="3"/>
    </row>
    <row r="14" ht="13.5" customHeight="1">
      <c r="A14" s="22"/>
      <c r="B14" s="33" t="s">
        <v>22</v>
      </c>
      <c r="C14" s="34"/>
      <c r="D14" s="35"/>
      <c r="E14" s="47"/>
      <c r="F14" s="34"/>
      <c r="G14" s="34"/>
      <c r="H14" s="34"/>
      <c r="I14" s="35"/>
      <c r="J14" s="48" t="s">
        <v>23</v>
      </c>
      <c r="K14" s="35"/>
      <c r="L14" s="36"/>
      <c r="M14" s="34"/>
      <c r="N14" s="34"/>
      <c r="O14" s="34"/>
      <c r="P14" s="35"/>
      <c r="Q14" s="26"/>
      <c r="R14" s="37" t="s">
        <v>24</v>
      </c>
      <c r="S14" s="24"/>
      <c r="T14" s="24"/>
      <c r="U14" s="25"/>
      <c r="V14" s="38"/>
      <c r="W14" s="25"/>
      <c r="X14" s="504">
        <f>Int(DIVIDE(V14,2))</f>
        <v>0</v>
      </c>
      <c r="Y14" s="35"/>
      <c r="Z14" s="40" t="s">
        <v>25</v>
      </c>
      <c r="AA14" s="24"/>
      <c r="AB14" s="24"/>
      <c r="AC14" s="25"/>
      <c r="AD14" s="38"/>
      <c r="AE14" s="25"/>
      <c r="AF14" s="504">
        <f>Int(DIVIDE(AD14,2))</f>
        <v>0</v>
      </c>
      <c r="AG14" s="35"/>
      <c r="AH14" s="37" t="s">
        <v>26</v>
      </c>
      <c r="AI14" s="24"/>
      <c r="AJ14" s="24"/>
      <c r="AK14" s="25"/>
      <c r="AL14" s="38"/>
      <c r="AM14" s="25"/>
      <c r="AN14" s="504">
        <f>Int(DIVIDE(AL14,2))</f>
        <v>0</v>
      </c>
      <c r="AO14" s="35"/>
      <c r="AP14" s="28"/>
      <c r="AQ14" s="9"/>
      <c r="BB14" s="15"/>
      <c r="BC14" s="3"/>
    </row>
    <row r="15" ht="13.5" customHeight="1">
      <c r="A15" s="22"/>
      <c r="B15" s="33" t="s">
        <v>27</v>
      </c>
      <c r="C15" s="34"/>
      <c r="D15" s="35"/>
      <c r="E15" s="47"/>
      <c r="F15" s="34"/>
      <c r="G15" s="34"/>
      <c r="H15" s="34"/>
      <c r="I15" s="35"/>
      <c r="J15" s="48" t="s">
        <v>28</v>
      </c>
      <c r="K15" s="35"/>
      <c r="L15" s="36"/>
      <c r="M15" s="34"/>
      <c r="N15" s="34"/>
      <c r="O15" s="34"/>
      <c r="P15" s="35"/>
      <c r="Q15" s="26"/>
      <c r="R15" s="30"/>
      <c r="S15" s="31"/>
      <c r="T15" s="31"/>
      <c r="U15" s="32"/>
      <c r="V15" s="30"/>
      <c r="W15" s="32"/>
      <c r="X15" s="505">
        <f>int(DIVIDE(V14,5))</f>
        <v>0</v>
      </c>
      <c r="Y15" s="35"/>
      <c r="Z15" s="30"/>
      <c r="AA15" s="31"/>
      <c r="AB15" s="31"/>
      <c r="AC15" s="32"/>
      <c r="AD15" s="30"/>
      <c r="AE15" s="32"/>
      <c r="AF15" s="505">
        <f>int(DIVIDE(AD14,5))</f>
        <v>0</v>
      </c>
      <c r="AG15" s="35"/>
      <c r="AH15" s="30"/>
      <c r="AI15" s="31"/>
      <c r="AJ15" s="31"/>
      <c r="AK15" s="32"/>
      <c r="AL15" s="30"/>
      <c r="AM15" s="32"/>
      <c r="AN15" s="505">
        <f>int(DIVIDE(AL14,5))</f>
        <v>0</v>
      </c>
      <c r="AO15" s="35"/>
      <c r="AP15" s="28"/>
      <c r="AQ15" s="9"/>
      <c r="BB15" s="15"/>
      <c r="BC15" s="3"/>
    </row>
    <row r="16" ht="13.5" customHeight="1">
      <c r="A16" s="2"/>
      <c r="B16" s="51"/>
      <c r="C16" s="51"/>
      <c r="D16" s="51"/>
      <c r="E16" s="51"/>
      <c r="F16" s="51"/>
      <c r="G16" s="51"/>
      <c r="H16" s="51"/>
      <c r="I16" s="51"/>
      <c r="J16" s="51"/>
      <c r="K16" s="51"/>
      <c r="L16" s="51"/>
      <c r="M16" s="51"/>
      <c r="N16" s="51"/>
      <c r="O16" s="51"/>
      <c r="P16" s="51"/>
      <c r="Q16" s="52"/>
      <c r="R16" s="51"/>
      <c r="S16" s="51"/>
      <c r="T16" s="51"/>
      <c r="U16" s="51"/>
      <c r="V16" s="51"/>
      <c r="W16" s="51"/>
      <c r="X16" s="51"/>
      <c r="Y16" s="51"/>
      <c r="Z16" s="51"/>
      <c r="AA16" s="51"/>
      <c r="AB16" s="51"/>
      <c r="AC16" s="53"/>
      <c r="AD16" s="53"/>
      <c r="AE16" s="53"/>
      <c r="AF16" s="53"/>
      <c r="AG16" s="53"/>
      <c r="AH16" s="53"/>
      <c r="AI16" s="53"/>
      <c r="AJ16" s="53"/>
      <c r="AK16" s="53"/>
      <c r="AL16" s="53"/>
      <c r="AM16" s="53"/>
      <c r="AN16" s="53"/>
      <c r="AO16" s="53"/>
      <c r="AP16" s="3"/>
      <c r="AQ16" s="9"/>
      <c r="BB16" s="15"/>
      <c r="BC16" s="3"/>
    </row>
    <row r="17" ht="13.5" customHeight="1">
      <c r="A17" s="22"/>
      <c r="B17" s="506" t="s">
        <v>29</v>
      </c>
      <c r="C17" s="5"/>
      <c r="D17" s="5"/>
      <c r="E17" s="5"/>
      <c r="F17" s="5"/>
      <c r="G17" s="5"/>
      <c r="H17" s="5"/>
      <c r="I17" s="5"/>
      <c r="J17" s="5"/>
      <c r="K17" s="5"/>
      <c r="L17" s="5"/>
      <c r="M17" s="5"/>
      <c r="N17" s="55"/>
      <c r="O17" s="507" t="s">
        <v>30</v>
      </c>
      <c r="P17" s="5"/>
      <c r="Q17" s="5"/>
      <c r="R17" s="5"/>
      <c r="S17" s="5"/>
      <c r="T17" s="508">
        <f>IF(E12="간호사", AL12*4,
IF(E12="갱 보스", AL12*2+AD12*2,
IF(E12="건달", AL12*2+MAX(V10*2,AD10*2),
IF(E12="건 몰", AL12*2+AD12*2,
IF(E12="건축가", AL12*4,
IF(E12="경관", AL12*2+MAX(V10*2,AD10*2),
IF(E12="고고학자", AL12*4,
IF(E12="곡예사", AL12*2+AD10*2,
IF(E12="골동품상", AL12*4,
IF(E12="골동품 연구가", AL12*4,
IF(E12="과학자", AL12*4,
IF(E12="광부", AL12*2+MAX(V10*2,AD10*2),
IF(E12="광신자", AL12*2+MAX(AD12*2,AL10*2),
IF(E12="교수", AL12*4,
IF(E12="교주", AL12*2+AD12*2,
IF(E12="기술자", AL12*4,
IF(E12="기자", AL12*4,
IF(E12="깡패", AL12*2+V10*2,
IF(E12="노조 활동가", AL12*4,
IF(E12="농부", AL12*2+MAX(V10*2,AD10*2),
IF(E12="단독 범죄자", AL12*2+MAX(AD10*2,AD12*2),
IF(E12="대학생", AL12*4,
IF(E12="도둑", AL12*2+AD10*2,
IF(E12="도박사", AL12*2+MAX(AD10*2,AD12*2),
IF(E12="등반가", AL12*2+MAX(V10*2,AD10*2),
IF(E12="디자이너", AL12*4,
IF(E12="디프로그래머", AL12*4,
IF(E12="딜레탕트", AL12*2+AD12*2,
IF(E12="떠돌이", AL12*2+MAX(AD10*2,AD12*2),
IF(E12="리포터", AL12*4,
IF(E12="매춘부", AL12*2+AD12*2,
IF(E12="맹수사냥꾼", AL12*2+MAX(V10*2,AD10*2),
IF(E12="미술가", AL12*2+MAX(AD10*2,AL10*2),
IF(E12="밀수꾼", AL12*2+MAX(AD10*2,AD12*2),
IF(E12="밀주업자", AL12*2+V10*2,
IF(E12="바텐더", AL12*2+AD12*2,
IF(E12="박물관 큐레이터", AL12*4,
IF(E12="배우", AL12*2+AD12*2,
IF(E12="벌목꾼", AL12*2+MAX(V10*2,AD10*2),
IF(E12="법의학자", AL12*4,
IF(E12="변호사", AL12*4,
IF(E12="병사", AL12*2+MAX(V10*2,AD10*2),
IF(E12="병원 보조원", AL12*2+V10*2,
IF(E12="복서/레슬러", AL12*2+V10*2,
IF(E12="부랑자", AL12*2+MAX(AD12*2,V10*2,AD10*2),
IF(E12="부족민", AL12*2+MAX(V10*2,AD10*2),
IF(E12="부하 조직원", AL12*2+MAX(V10*2,AD10*2),
IF(E12="비서", AL12*2+MAX(AD10*2,AD12*2),
IF(E12="비숙련공", AL12*2+MAX(V10*2,AD10*2),
IF(E12="비행사", AL12*4,
IF(E12="사립탐정", AL12*2+MAX(V10*2,AD10*2),
IF(E12="사무원", AL12*4,
IF(E12="사서", AL12*4,
IF(E12="사육사", AL12*4,
IF(E12="사진가", AL12*4,
IF(E12="사진기자", AL12*4,
IF(E12="서적상", AL12*4,
IF(E12="선교사", AL12*2+AD12*2,
IF(E12="선원", AL12*2+MAX(V10*2,AD10*2),
IF(E12="선출직 공무원", AL12*2+AD12*2,
IF(E12="성직자", AL12*4,
IF(E12="소방관", AL12*2+MAX(V10*2,AD10*2),
IF(E12="수병", AL12*2+MAX(V10*2,AD10*2),
IF(E12="스턴트맨", AL12*2+MAX(V10*2,AD10*2),
IF(E12="스턴트우먼", AL12*2+MAX(V10*2,AD10*2),
IF(E12="스파이", AL12*2+MAX(AD10*2,AD12*2),
IF(E12="신비학자", AL12*4,
IF(E12="신사/숙녀", AL12*2+AD12*2,
IF(E12="심령학자", AL12*4,
IF(E12="심리학자", AL12*4,
IF(E12="약사", AL12*4,
IF(E12="엔지니어", AL12*4,
IF(E12="연구실 조수", AL12*4,
IF(E12="연구자", AL12*4,
IF(E12="연방 요원", AL12*4,
IF(E12="연예인", AL12*2+AD12*2,
IF(E12="연주자", AL12*2+MAX(AD10*2,AD12*2),
IF(E12="외신 기자", AL12*4,
IF(E12="운동선수", AL12*2+MAX(V10*2,AD10*2),
IF(E12="운전사", AL12*2+MAX(V10*2,AD10*2),
IF(E12="웨이터", AL12*2+MAX(AD10*2,AD12*2),
IF(E12="웨이트리스", AL12*2+MAX(AD10*2,AD12*2),
IF(E12="위조업자", AL12*4,
IF(E12="은행강도", AL12*2+MAX(V10*2,AD10*2),
IF(E12="의사", AL12*4,
IF(E12="인턴", AL12*4,
IF(E12="자객", AL12*2+MAX(V10*2,AD10*2),
IF(E12="자연 애호가", ,
IF(E12="작가", AL12*4,
IF(E12="잠수부", AL12*2+AD10*2,
IF(E12="장교", AL12*2+MAX(V10*2,AD10*2),
IF(E12="장물아비", AL12*2+AD12*2,
IF(E12="장의사", AL12*4,
IF(E12="장인", AL12*2+AD10*2,
IF(E12="전속 기사", AL12*2+AD10*2,
IF(E12="점장", AL12*2+MAX(AD10*2,AD12*2),
IF(E12="정신감정사", AL12*4,
IF(E12="정신과 의사", AL12*4,
IF(E12="정신병원 직원", AL12*2+MAX(V10*2,AD10*2),
IF(E12="정신분석가", AL12*4,
IF(E12="조련사", AL12*2+MAX(AD12*2,AL10*2),
IF(E12="조종사", AL12*2+AD10*2,
IF(E12="중상급 관리자", AL12*4,
IF(E12="집사", AL12*4,
IF(E12="카우걸/카우보이", AL12*2+MAX(V10*2,AD10*2),
IF(E12="컴퓨터 테크니션", AL12*4,
IF(E12="탐광인", AL12*2+MAX(V10*2,AD10*2),
IF(E12="탐험가", AL12*2+MAX(AD12*2,V10*2,AD10*2),
IF(E12="택시 운전사", AL12*2+AD10*2,
IF(E12="판매원", AL12*2+AD12*2,
IF(E12="판사", AL12*4,
IF(E12="편집자", AL12*4,
IF(E12="폭력배", AL12*2+V10*2,
IF(E12="프로그래머", AL12*4,
IF(E12="하녀", AL12*4,
IF(E12="하인", AL12*4,
IF(E12="해커", AL12*4,
IF(E12="현상금 사냥꾼", AL12*2+MAX(V10*2,AD10*2),
IF(E12="형사", AL12*2+MAX(V10*2,AD10*2),
IF(E12="회계사", AL12*4,
IF(E12="ETC", AL12*4,
IF(E12="회사 탐정", AL12*2+MAX(V10*2,AD10*2),"0"))))))))))))))))))))))))))))))))))))))))))))))))))))))))))))))))))))))))))))))))))))))))))))))))))))))))))))))))))))))))))</f>
        <v>0</v>
      </c>
      <c r="U17" s="5"/>
      <c r="V17" s="5"/>
      <c r="W17" s="7"/>
      <c r="X17" s="507" t="s">
        <v>31</v>
      </c>
      <c r="Y17" s="5"/>
      <c r="Z17" s="5"/>
      <c r="AA17" s="5"/>
      <c r="AB17" s="5"/>
      <c r="AC17" s="508">
        <f>(AD14*2)</f>
        <v>0</v>
      </c>
      <c r="AD17" s="5"/>
      <c r="AE17" s="5"/>
      <c r="AF17" s="5"/>
      <c r="AG17" s="7"/>
      <c r="AH17" s="507" t="s">
        <v>32</v>
      </c>
      <c r="AI17" s="5"/>
      <c r="AJ17" s="5"/>
      <c r="AK17" s="5"/>
      <c r="AL17" s="508">
        <f>(SUM(T17,AC17))-(SUM(H19:H36,R19:R36,AB19:AB36,AL19:AL36))+AY61+AB19</f>
        <v>0</v>
      </c>
      <c r="AM17" s="5"/>
      <c r="AN17" s="5"/>
      <c r="AO17" s="7"/>
      <c r="AP17" s="28"/>
      <c r="AQ17" s="9"/>
      <c r="BB17" s="15"/>
      <c r="BC17" s="3"/>
    </row>
    <row r="18" ht="13.5" customHeight="1">
      <c r="A18" s="22"/>
      <c r="B18" s="10"/>
      <c r="C18" s="11"/>
      <c r="D18" s="11"/>
      <c r="E18" s="11"/>
      <c r="F18" s="11"/>
      <c r="G18" s="11"/>
      <c r="H18" s="11"/>
      <c r="I18" s="11"/>
      <c r="J18" s="11"/>
      <c r="K18" s="11"/>
      <c r="L18" s="11"/>
      <c r="M18" s="11"/>
      <c r="N18" s="58"/>
      <c r="O18" s="10"/>
      <c r="P18" s="11"/>
      <c r="Q18" s="11"/>
      <c r="R18" s="11"/>
      <c r="S18" s="11"/>
      <c r="T18" s="59"/>
      <c r="U18" s="11"/>
      <c r="V18" s="11"/>
      <c r="W18" s="12"/>
      <c r="X18" s="10"/>
      <c r="Y18" s="11"/>
      <c r="Z18" s="11"/>
      <c r="AA18" s="11"/>
      <c r="AB18" s="11"/>
      <c r="AC18" s="59"/>
      <c r="AD18" s="11"/>
      <c r="AE18" s="11"/>
      <c r="AF18" s="11"/>
      <c r="AG18" s="12"/>
      <c r="AH18" s="10"/>
      <c r="AI18" s="11"/>
      <c r="AJ18" s="11"/>
      <c r="AK18" s="11"/>
      <c r="AL18" s="59"/>
      <c r="AM18" s="11"/>
      <c r="AN18" s="11"/>
      <c r="AO18" s="12"/>
      <c r="AP18" s="60"/>
      <c r="AQ18" s="9"/>
      <c r="BB18" s="15"/>
      <c r="BC18" s="3"/>
    </row>
    <row r="19" ht="16.5" customHeight="1">
      <c r="A19" s="22"/>
      <c r="B19" s="483" t="s">
        <v>33</v>
      </c>
      <c r="C19" s="509" t="s">
        <v>34</v>
      </c>
      <c r="G19" s="509">
        <v>25.0</v>
      </c>
      <c r="H19" s="404"/>
      <c r="I19" s="510">
        <f t="shared" ref="I19:I36" si="1">SUM(G19,H19)</f>
        <v>25</v>
      </c>
      <c r="J19" s="511">
        <f>int(DIVIDE(I19,2))</f>
        <v>12</v>
      </c>
      <c r="K19" s="512">
        <f t="shared" ref="K19:K36" si="2">int(DIVIDE(I19,5))</f>
        <v>5</v>
      </c>
      <c r="L19" s="342" t="s">
        <v>33</v>
      </c>
      <c r="M19" s="509" t="s">
        <v>35</v>
      </c>
      <c r="Q19" s="509">
        <v>0.0</v>
      </c>
      <c r="R19" s="408"/>
      <c r="S19" s="510">
        <f t="shared" ref="S19:S36" si="3">SUM(Q19,R19)</f>
        <v>0</v>
      </c>
      <c r="T19" s="513">
        <f t="shared" ref="T19:T36" si="4">Int(DIVIDE(S19,2))</f>
        <v>0</v>
      </c>
      <c r="U19" s="514">
        <f t="shared" ref="U19:U36" si="5">int(DIVIDE(S19,5))</f>
        <v>0</v>
      </c>
      <c r="V19" s="342" t="s">
        <v>33</v>
      </c>
      <c r="W19" s="509" t="s">
        <v>36</v>
      </c>
      <c r="AA19" s="509">
        <v>0.0</v>
      </c>
      <c r="AB19" s="411"/>
      <c r="AC19" s="510">
        <f t="shared" ref="AC19:AC36" si="6">SUM(AA19,AB19)</f>
        <v>0</v>
      </c>
      <c r="AD19" s="513">
        <f t="shared" ref="AD19:AD36" si="7">Int(DIVIDE(AC19,2))</f>
        <v>0</v>
      </c>
      <c r="AE19" s="514">
        <f t="shared" ref="AE19:AE36" si="8">int(DIVIDE(AC19,5))</f>
        <v>0</v>
      </c>
      <c r="AF19" s="342" t="s">
        <v>33</v>
      </c>
      <c r="AG19" s="509" t="s">
        <v>37</v>
      </c>
      <c r="AK19" s="515">
        <v>1.0</v>
      </c>
      <c r="AL19" s="413"/>
      <c r="AM19" s="516">
        <f t="shared" ref="AM19:AM36" si="9">SUM(AK19,AL19)</f>
        <v>1</v>
      </c>
      <c r="AN19" s="511">
        <f t="shared" ref="AN19:AN36" si="10">Int(DIVIDE(AM19,2))</f>
        <v>0</v>
      </c>
      <c r="AO19" s="512">
        <f t="shared" ref="AO19:AO36" si="11">int(DIVIDE(AM19,5))</f>
        <v>0</v>
      </c>
      <c r="AP19" s="60"/>
      <c r="AQ19" s="10"/>
      <c r="AR19" s="11"/>
      <c r="AS19" s="11"/>
      <c r="AT19" s="11"/>
      <c r="AU19" s="11"/>
      <c r="AV19" s="11"/>
      <c r="AW19" s="11"/>
      <c r="AX19" s="11"/>
      <c r="AY19" s="11"/>
      <c r="AZ19" s="11"/>
      <c r="BA19" s="11"/>
      <c r="BB19" s="12"/>
      <c r="BC19" s="3"/>
    </row>
    <row r="20" ht="16.5" customHeight="1">
      <c r="A20" s="22"/>
      <c r="B20" s="342" t="s">
        <v>33</v>
      </c>
      <c r="C20" s="509" t="s">
        <v>38</v>
      </c>
      <c r="G20" s="509">
        <v>20.0</v>
      </c>
      <c r="H20" s="408"/>
      <c r="I20" s="510">
        <f t="shared" si="1"/>
        <v>20</v>
      </c>
      <c r="J20" s="511">
        <f t="shared" ref="J20:J22" si="12">Int(DIVIDE(I20,2))</f>
        <v>10</v>
      </c>
      <c r="K20" s="512">
        <f t="shared" si="2"/>
        <v>4</v>
      </c>
      <c r="L20" s="342" t="s">
        <v>33</v>
      </c>
      <c r="M20" s="509" t="s">
        <v>39</v>
      </c>
      <c r="Q20" s="509">
        <v>5.0</v>
      </c>
      <c r="R20" s="413"/>
      <c r="S20" s="510">
        <f t="shared" si="3"/>
        <v>5</v>
      </c>
      <c r="T20" s="513">
        <f t="shared" si="4"/>
        <v>2</v>
      </c>
      <c r="U20" s="514">
        <f t="shared" si="5"/>
        <v>1</v>
      </c>
      <c r="V20" s="356" t="s">
        <v>33</v>
      </c>
      <c r="W20" s="509" t="s">
        <v>40</v>
      </c>
      <c r="AA20" s="509">
        <v>5.0</v>
      </c>
      <c r="AB20" s="408"/>
      <c r="AC20" s="510">
        <f t="shared" si="6"/>
        <v>5</v>
      </c>
      <c r="AD20" s="513">
        <f t="shared" si="7"/>
        <v>2</v>
      </c>
      <c r="AE20" s="514">
        <f t="shared" si="8"/>
        <v>1</v>
      </c>
      <c r="AF20" s="342" t="s">
        <v>33</v>
      </c>
      <c r="AG20" s="509" t="s">
        <v>41</v>
      </c>
      <c r="AK20" s="515">
        <v>30.0</v>
      </c>
      <c r="AL20" s="408"/>
      <c r="AM20" s="516">
        <f t="shared" si="9"/>
        <v>30</v>
      </c>
      <c r="AN20" s="511">
        <f t="shared" si="10"/>
        <v>15</v>
      </c>
      <c r="AO20" s="512">
        <f t="shared" si="11"/>
        <v>6</v>
      </c>
      <c r="AP20" s="28"/>
      <c r="AQ20" s="98"/>
      <c r="AR20" s="98"/>
      <c r="AS20" s="98"/>
      <c r="AT20" s="98"/>
      <c r="AU20" s="98"/>
      <c r="AV20" s="98"/>
      <c r="AW20" s="98"/>
      <c r="AX20" s="98"/>
      <c r="AY20" s="98"/>
      <c r="AZ20" s="98"/>
      <c r="BA20" s="98"/>
      <c r="BB20" s="98"/>
      <c r="BC20" s="3"/>
    </row>
    <row r="21" ht="16.5" customHeight="1">
      <c r="A21" s="22"/>
      <c r="B21" s="342" t="s">
        <v>33</v>
      </c>
      <c r="C21" s="509" t="s">
        <v>42</v>
      </c>
      <c r="G21" s="509">
        <v>20.0</v>
      </c>
      <c r="H21" s="408"/>
      <c r="I21" s="510">
        <f t="shared" si="1"/>
        <v>20</v>
      </c>
      <c r="J21" s="511">
        <f t="shared" si="12"/>
        <v>10</v>
      </c>
      <c r="K21" s="512">
        <f t="shared" si="2"/>
        <v>4</v>
      </c>
      <c r="L21" s="483" t="s">
        <v>33</v>
      </c>
      <c r="M21" s="509" t="s">
        <v>43</v>
      </c>
      <c r="Q21" s="509">
        <v>10.0</v>
      </c>
      <c r="R21" s="413"/>
      <c r="S21" s="510">
        <f t="shared" si="3"/>
        <v>10</v>
      </c>
      <c r="T21" s="513">
        <f t="shared" si="4"/>
        <v>5</v>
      </c>
      <c r="U21" s="514">
        <f t="shared" si="5"/>
        <v>2</v>
      </c>
      <c r="V21" s="342" t="s">
        <v>33</v>
      </c>
      <c r="W21" s="509" t="s">
        <v>44</v>
      </c>
      <c r="AA21" s="509">
        <v>1.0</v>
      </c>
      <c r="AB21" s="413"/>
      <c r="AC21" s="510">
        <f t="shared" si="6"/>
        <v>1</v>
      </c>
      <c r="AD21" s="513">
        <f t="shared" si="7"/>
        <v>0</v>
      </c>
      <c r="AE21" s="514">
        <f t="shared" si="8"/>
        <v>0</v>
      </c>
      <c r="AF21" s="342" t="s">
        <v>33</v>
      </c>
      <c r="AG21" s="509" t="s">
        <v>45</v>
      </c>
      <c r="AK21" s="515">
        <v>10.0</v>
      </c>
      <c r="AL21" s="413"/>
      <c r="AM21" s="516">
        <f t="shared" si="9"/>
        <v>10</v>
      </c>
      <c r="AN21" s="511">
        <f t="shared" si="10"/>
        <v>5</v>
      </c>
      <c r="AO21" s="512">
        <f t="shared" si="11"/>
        <v>2</v>
      </c>
      <c r="AP21" s="99"/>
      <c r="AQ21" s="506" t="s">
        <v>46</v>
      </c>
      <c r="AR21" s="5"/>
      <c r="AS21" s="5"/>
      <c r="AT21" s="5"/>
      <c r="AU21" s="5"/>
      <c r="AV21" s="5"/>
      <c r="AW21" s="5"/>
      <c r="AX21" s="5"/>
      <c r="AY21" s="5"/>
      <c r="AZ21" s="5"/>
      <c r="BA21" s="5"/>
      <c r="BB21" s="7"/>
      <c r="BC21" s="3"/>
    </row>
    <row r="22" ht="16.5" customHeight="1">
      <c r="A22" s="22"/>
      <c r="B22" s="342" t="s">
        <v>33</v>
      </c>
      <c r="C22" s="509" t="s">
        <v>47</v>
      </c>
      <c r="G22" s="509">
        <v>5.0</v>
      </c>
      <c r="H22" s="408"/>
      <c r="I22" s="510">
        <f t="shared" si="1"/>
        <v>5</v>
      </c>
      <c r="J22" s="511">
        <f t="shared" si="12"/>
        <v>2</v>
      </c>
      <c r="K22" s="512">
        <f t="shared" si="2"/>
        <v>1</v>
      </c>
      <c r="L22" s="342" t="s">
        <v>33</v>
      </c>
      <c r="M22" s="517" t="s">
        <v>48</v>
      </c>
      <c r="Q22" s="509">
        <v>1.0</v>
      </c>
      <c r="R22" s="408"/>
      <c r="S22" s="510">
        <f t="shared" si="3"/>
        <v>1</v>
      </c>
      <c r="T22" s="513">
        <f t="shared" si="4"/>
        <v>0</v>
      </c>
      <c r="U22" s="514">
        <f t="shared" si="5"/>
        <v>0</v>
      </c>
      <c r="V22" s="342" t="s">
        <v>33</v>
      </c>
      <c r="W22" s="509" t="s">
        <v>49</v>
      </c>
      <c r="AA22" s="509">
        <v>10.0</v>
      </c>
      <c r="AB22" s="408"/>
      <c r="AC22" s="510">
        <f t="shared" si="6"/>
        <v>10</v>
      </c>
      <c r="AD22" s="513">
        <f t="shared" si="7"/>
        <v>5</v>
      </c>
      <c r="AE22" s="514">
        <f t="shared" si="8"/>
        <v>2</v>
      </c>
      <c r="AF22" s="342" t="s">
        <v>33</v>
      </c>
      <c r="AG22" s="509" t="s">
        <v>50</v>
      </c>
      <c r="AK22" s="515">
        <v>20.0</v>
      </c>
      <c r="AL22" s="408"/>
      <c r="AM22" s="516">
        <f t="shared" si="9"/>
        <v>20</v>
      </c>
      <c r="AN22" s="511">
        <f t="shared" si="10"/>
        <v>10</v>
      </c>
      <c r="AO22" s="512">
        <f t="shared" si="11"/>
        <v>4</v>
      </c>
      <c r="AP22" s="28"/>
      <c r="AQ22" s="10"/>
      <c r="AR22" s="11"/>
      <c r="AS22" s="11"/>
      <c r="AT22" s="11"/>
      <c r="AU22" s="11"/>
      <c r="AV22" s="11"/>
      <c r="AW22" s="11"/>
      <c r="AX22" s="11"/>
      <c r="AY22" s="11"/>
      <c r="AZ22" s="11"/>
      <c r="BA22" s="11"/>
      <c r="BB22" s="12"/>
      <c r="BC22" s="3"/>
    </row>
    <row r="23" ht="16.5" customHeight="1">
      <c r="A23" s="22"/>
      <c r="B23" s="342" t="s">
        <v>33</v>
      </c>
      <c r="C23" s="509" t="s">
        <v>51</v>
      </c>
      <c r="G23" s="509">
        <v>1.0</v>
      </c>
      <c r="H23" s="408"/>
      <c r="I23" s="510">
        <f t="shared" si="1"/>
        <v>1</v>
      </c>
      <c r="J23" s="511">
        <f>int(DIVIDE(I23,2))</f>
        <v>0</v>
      </c>
      <c r="K23" s="512">
        <f t="shared" si="2"/>
        <v>0</v>
      </c>
      <c r="L23" s="342" t="s">
        <v>33</v>
      </c>
      <c r="M23" s="518"/>
      <c r="Q23" s="509"/>
      <c r="R23" s="413"/>
      <c r="S23" s="510">
        <f t="shared" si="3"/>
        <v>0</v>
      </c>
      <c r="T23" s="513">
        <f t="shared" si="4"/>
        <v>0</v>
      </c>
      <c r="U23" s="514">
        <f t="shared" si="5"/>
        <v>0</v>
      </c>
      <c r="V23" s="342" t="s">
        <v>33</v>
      </c>
      <c r="W23" s="509" t="s">
        <v>52</v>
      </c>
      <c r="AA23" s="509">
        <v>15.0</v>
      </c>
      <c r="AB23" s="413"/>
      <c r="AC23" s="510">
        <f t="shared" si="6"/>
        <v>15</v>
      </c>
      <c r="AD23" s="513">
        <f t="shared" si="7"/>
        <v>7</v>
      </c>
      <c r="AE23" s="514">
        <f t="shared" si="8"/>
        <v>3</v>
      </c>
      <c r="AF23" s="342" t="s">
        <v>33</v>
      </c>
      <c r="AG23" s="509" t="s">
        <v>53</v>
      </c>
      <c r="AK23" s="515">
        <v>20.0</v>
      </c>
      <c r="AL23" s="408"/>
      <c r="AM23" s="516">
        <f t="shared" si="9"/>
        <v>20</v>
      </c>
      <c r="AN23" s="511">
        <f t="shared" si="10"/>
        <v>10</v>
      </c>
      <c r="AO23" s="512">
        <f t="shared" si="11"/>
        <v>4</v>
      </c>
      <c r="AP23" s="28"/>
      <c r="AQ23" s="519" t="s">
        <v>54</v>
      </c>
      <c r="AR23" s="105"/>
      <c r="AS23" s="105"/>
      <c r="AT23" s="105"/>
      <c r="AU23" s="105"/>
      <c r="AV23" s="105"/>
      <c r="AW23" s="520">
        <f>if((V10+V14)&lt;=64,-2,if((V10+V14)&lt;=84,-1,if((V10+V14)&lt;=124,0,if((V10+V14)&lt;=164,"+1D4",if((V10+V14)&lt;=204,"+1D6",if((V10+V14)&lt;=284,"+2D6",if((V10+V14)&lt;=20364,"+3D6",if((V10+V14)&lt;=444,"+4D6",if((V10+V14)&lt;=524,"+5D6")))))))))
</f>
        <v>-2</v>
      </c>
      <c r="AX23" s="105"/>
      <c r="AY23" s="105"/>
      <c r="AZ23" s="105"/>
      <c r="BA23" s="105"/>
      <c r="BB23" s="107"/>
      <c r="BC23" s="3"/>
    </row>
    <row r="24" ht="16.5" customHeight="1">
      <c r="A24" s="22"/>
      <c r="B24" s="342" t="s">
        <v>33</v>
      </c>
      <c r="C24" s="509" t="s">
        <v>55</v>
      </c>
      <c r="G24" s="509">
        <v>10.0</v>
      </c>
      <c r="H24" s="408"/>
      <c r="I24" s="510">
        <f t="shared" si="1"/>
        <v>10</v>
      </c>
      <c r="J24" s="511">
        <f t="shared" ref="J24:J26" si="13">Int(DIVIDE(I24,2))</f>
        <v>5</v>
      </c>
      <c r="K24" s="512">
        <f t="shared" si="2"/>
        <v>2</v>
      </c>
      <c r="L24" s="342" t="s">
        <v>33</v>
      </c>
      <c r="M24" s="518"/>
      <c r="Q24" s="509"/>
      <c r="R24" s="413"/>
      <c r="S24" s="510">
        <f t="shared" si="3"/>
        <v>0</v>
      </c>
      <c r="T24" s="513">
        <f t="shared" si="4"/>
        <v>0</v>
      </c>
      <c r="U24" s="514">
        <f t="shared" si="5"/>
        <v>0</v>
      </c>
      <c r="V24" s="342" t="s">
        <v>33</v>
      </c>
      <c r="W24" s="509" t="s">
        <v>56</v>
      </c>
      <c r="AA24" s="509">
        <v>15.0</v>
      </c>
      <c r="AB24" s="408"/>
      <c r="AC24" s="510">
        <f t="shared" si="6"/>
        <v>15</v>
      </c>
      <c r="AD24" s="513">
        <f t="shared" si="7"/>
        <v>7</v>
      </c>
      <c r="AE24" s="514">
        <f t="shared" si="8"/>
        <v>3</v>
      </c>
      <c r="AF24" s="342" t="s">
        <v>33</v>
      </c>
      <c r="AG24" s="509" t="s">
        <v>57</v>
      </c>
      <c r="AK24" s="515">
        <v>20.0</v>
      </c>
      <c r="AL24" s="408"/>
      <c r="AM24" s="516">
        <f t="shared" si="9"/>
        <v>20</v>
      </c>
      <c r="AN24" s="511">
        <f t="shared" si="10"/>
        <v>10</v>
      </c>
      <c r="AO24" s="512">
        <f t="shared" si="11"/>
        <v>4</v>
      </c>
      <c r="AP24" s="28"/>
      <c r="AQ24" s="519" t="s">
        <v>58</v>
      </c>
      <c r="AR24" s="105"/>
      <c r="AS24" s="105"/>
      <c r="AT24" s="105"/>
      <c r="AU24" s="105"/>
      <c r="AV24" s="105"/>
      <c r="AW24" s="520">
        <f>if((V10+V14)&lt;=64,-2,if((V10+V14)&lt;=84,-1,if((V10+V14)&lt;=124,0,if((V10+V14)&lt;=164,"+1",if((V10+V14)&lt;=204,"+2",if((V10+V14)&lt;=284,"+3",if((V10+V14)&lt;=20364,"+4",if((V10+V14)&lt;=444,"+5",if((V10+V14)&lt;=524,"+6")))))))))</f>
        <v>-2</v>
      </c>
      <c r="AX24" s="105"/>
      <c r="AY24" s="105"/>
      <c r="AZ24" s="105"/>
      <c r="BA24" s="105"/>
      <c r="BB24" s="107"/>
      <c r="BC24" s="3"/>
    </row>
    <row r="25" ht="16.5" customHeight="1">
      <c r="A25" s="22"/>
      <c r="B25" s="342" t="s">
        <v>33</v>
      </c>
      <c r="C25" s="509" t="s">
        <v>59</v>
      </c>
      <c r="G25" s="509">
        <v>10.0</v>
      </c>
      <c r="H25" s="413"/>
      <c r="I25" s="510">
        <f t="shared" si="1"/>
        <v>10</v>
      </c>
      <c r="J25" s="511">
        <f t="shared" si="13"/>
        <v>5</v>
      </c>
      <c r="K25" s="512">
        <f t="shared" si="2"/>
        <v>2</v>
      </c>
      <c r="L25" s="342" t="s">
        <v>33</v>
      </c>
      <c r="M25" s="509" t="s">
        <v>60</v>
      </c>
      <c r="Q25" s="509">
        <v>5.0</v>
      </c>
      <c r="R25" s="408"/>
      <c r="S25" s="510">
        <f t="shared" si="3"/>
        <v>5</v>
      </c>
      <c r="T25" s="513">
        <f t="shared" si="4"/>
        <v>2</v>
      </c>
      <c r="U25" s="514">
        <f t="shared" si="5"/>
        <v>1</v>
      </c>
      <c r="V25" s="342" t="s">
        <v>33</v>
      </c>
      <c r="W25" s="509" t="s">
        <v>61</v>
      </c>
      <c r="AA25" s="509">
        <v>5.0</v>
      </c>
      <c r="AB25" s="408"/>
      <c r="AC25" s="510">
        <f t="shared" si="6"/>
        <v>5</v>
      </c>
      <c r="AD25" s="513">
        <f t="shared" si="7"/>
        <v>2</v>
      </c>
      <c r="AE25" s="514">
        <f t="shared" si="8"/>
        <v>1</v>
      </c>
      <c r="AF25" s="342" t="s">
        <v>33</v>
      </c>
      <c r="AG25" s="509" t="s">
        <v>62</v>
      </c>
      <c r="AK25" s="515">
        <f>Int(DIVIDE(AD10,2))</f>
        <v>0</v>
      </c>
      <c r="AL25" s="413"/>
      <c r="AM25" s="516">
        <f t="shared" si="9"/>
        <v>0</v>
      </c>
      <c r="AN25" s="511">
        <f t="shared" si="10"/>
        <v>0</v>
      </c>
      <c r="AO25" s="512">
        <f t="shared" si="11"/>
        <v>0</v>
      </c>
      <c r="AP25" s="60"/>
      <c r="AQ25" s="519" t="s">
        <v>62</v>
      </c>
      <c r="AR25" s="105"/>
      <c r="AS25" s="105"/>
      <c r="AT25" s="105"/>
      <c r="AU25" s="105"/>
      <c r="AV25" s="105"/>
      <c r="AW25" s="520">
        <f>Int(DIVIDE(AD10,2))</f>
        <v>0</v>
      </c>
      <c r="AX25" s="105"/>
      <c r="AY25" s="521">
        <f>int(AW25/2)</f>
        <v>0</v>
      </c>
      <c r="AZ25" s="105"/>
      <c r="BA25" s="522">
        <f>int(AW25/5)</f>
        <v>0</v>
      </c>
      <c r="BB25" s="107"/>
      <c r="BC25" s="3"/>
    </row>
    <row r="26" ht="16.5" customHeight="1">
      <c r="A26" s="22"/>
      <c r="B26" s="342" t="s">
        <v>33</v>
      </c>
      <c r="C26" s="509" t="s">
        <v>63</v>
      </c>
      <c r="G26" s="509">
        <v>20.0</v>
      </c>
      <c r="H26" s="408"/>
      <c r="I26" s="510">
        <f t="shared" si="1"/>
        <v>20</v>
      </c>
      <c r="J26" s="511">
        <f t="shared" si="13"/>
        <v>10</v>
      </c>
      <c r="K26" s="512">
        <f t="shared" si="2"/>
        <v>4</v>
      </c>
      <c r="L26" s="342" t="s">
        <v>33</v>
      </c>
      <c r="M26" s="509" t="s">
        <v>64</v>
      </c>
      <c r="Q26" s="509">
        <v>1.0</v>
      </c>
      <c r="R26" s="413"/>
      <c r="S26" s="510">
        <f t="shared" si="3"/>
        <v>1</v>
      </c>
      <c r="T26" s="513">
        <f t="shared" si="4"/>
        <v>0</v>
      </c>
      <c r="U26" s="514">
        <f t="shared" si="5"/>
        <v>0</v>
      </c>
      <c r="V26" s="342" t="s">
        <v>33</v>
      </c>
      <c r="W26" s="509" t="s">
        <v>65</v>
      </c>
      <c r="AA26" s="509">
        <v>10.0</v>
      </c>
      <c r="AB26" s="413"/>
      <c r="AC26" s="510">
        <f t="shared" si="6"/>
        <v>10</v>
      </c>
      <c r="AD26" s="513">
        <f t="shared" si="7"/>
        <v>5</v>
      </c>
      <c r="AE26" s="514">
        <f t="shared" si="8"/>
        <v>2</v>
      </c>
      <c r="AF26" s="342" t="s">
        <v>33</v>
      </c>
      <c r="AG26" s="509" t="s">
        <v>66</v>
      </c>
      <c r="AK26" s="515">
        <v>5.0</v>
      </c>
      <c r="AL26" s="408"/>
      <c r="AM26" s="516">
        <f t="shared" si="9"/>
        <v>5</v>
      </c>
      <c r="AN26" s="511">
        <f t="shared" si="10"/>
        <v>2</v>
      </c>
      <c r="AO26" s="512">
        <f t="shared" si="11"/>
        <v>1</v>
      </c>
      <c r="AP26" s="60"/>
      <c r="AQ26" s="523" t="s">
        <v>67</v>
      </c>
      <c r="AR26" s="105"/>
      <c r="AS26" s="105"/>
      <c r="AT26" s="105"/>
      <c r="AU26" s="105"/>
      <c r="AV26" s="107"/>
      <c r="AW26" s="524">
        <f>IF(AND(V10&gt;V14,AD10&gt;V14),if(int(divide(L13,10))&gt;=4,12-int(divide(L13,10)),9),if(and(V10&lt;V14,AD10&lt;V14),if(int(divide(L13,10))&gt;=4,10-int(divide(L13,10)),7),if(int(divide(L13,10))&gt;=4,11-int(divide(L13,10)),8)))</f>
        <v>8</v>
      </c>
      <c r="AX26" s="105"/>
      <c r="AY26" s="105"/>
      <c r="AZ26" s="105"/>
      <c r="BA26" s="105"/>
      <c r="BB26" s="107"/>
      <c r="BC26" s="3"/>
    </row>
    <row r="27" ht="16.5" customHeight="1">
      <c r="A27" s="22"/>
      <c r="B27" s="342" t="s">
        <v>33</v>
      </c>
      <c r="C27" s="509" t="s">
        <v>68</v>
      </c>
      <c r="G27" s="509">
        <v>1.0</v>
      </c>
      <c r="H27" s="413"/>
      <c r="I27" s="510">
        <f t="shared" si="1"/>
        <v>1</v>
      </c>
      <c r="J27" s="511">
        <f>int(DIVIDE(I27,2))</f>
        <v>0</v>
      </c>
      <c r="K27" s="512">
        <f t="shared" si="2"/>
        <v>0</v>
      </c>
      <c r="L27" s="342" t="s">
        <v>33</v>
      </c>
      <c r="M27" s="509" t="s">
        <v>69</v>
      </c>
      <c r="Q27" s="509">
        <v>5.0</v>
      </c>
      <c r="R27" s="413"/>
      <c r="S27" s="510">
        <f t="shared" si="3"/>
        <v>5</v>
      </c>
      <c r="T27" s="513">
        <f t="shared" si="4"/>
        <v>2</v>
      </c>
      <c r="U27" s="514">
        <f t="shared" si="5"/>
        <v>1</v>
      </c>
      <c r="V27" s="342" t="s">
        <v>33</v>
      </c>
      <c r="W27" s="518" t="str">
        <f>"모국어"&amp;IF(ISBLANK(L14),"",":"&amp;L14)</f>
        <v>모국어</v>
      </c>
      <c r="AA27" s="509">
        <f>(AL12*1)</f>
        <v>0</v>
      </c>
      <c r="AB27" s="413"/>
      <c r="AC27" s="510">
        <f t="shared" si="6"/>
        <v>0</v>
      </c>
      <c r="AD27" s="513">
        <f t="shared" si="7"/>
        <v>0</v>
      </c>
      <c r="AE27" s="514">
        <f t="shared" si="8"/>
        <v>0</v>
      </c>
      <c r="AF27" s="342" t="s">
        <v>33</v>
      </c>
      <c r="AG27" s="509" t="s">
        <v>70</v>
      </c>
      <c r="AK27" s="515">
        <v>20.0</v>
      </c>
      <c r="AL27" s="413"/>
      <c r="AM27" s="516">
        <f t="shared" si="9"/>
        <v>20</v>
      </c>
      <c r="AN27" s="511">
        <f t="shared" si="10"/>
        <v>10</v>
      </c>
      <c r="AO27" s="512">
        <f t="shared" si="11"/>
        <v>4</v>
      </c>
      <c r="AP27" s="60"/>
      <c r="AQ27" s="525" t="s">
        <v>71</v>
      </c>
      <c r="AR27" s="5"/>
      <c r="AS27" s="5"/>
      <c r="AT27" s="7"/>
      <c r="AU27" s="113"/>
      <c r="AV27" s="5"/>
      <c r="AW27" s="5"/>
      <c r="AX27" s="7"/>
      <c r="AY27" s="526" t="s">
        <v>72</v>
      </c>
      <c r="AZ27" s="105"/>
      <c r="BA27" s="105"/>
      <c r="BB27" s="107"/>
      <c r="BC27" s="3"/>
    </row>
    <row r="28" ht="16.5" customHeight="1">
      <c r="A28" s="22"/>
      <c r="B28" s="342" t="s">
        <v>33</v>
      </c>
      <c r="C28" s="518" t="s">
        <v>73</v>
      </c>
      <c r="G28" s="509">
        <v>1.0</v>
      </c>
      <c r="H28" s="413"/>
      <c r="I28" s="510">
        <f t="shared" si="1"/>
        <v>1</v>
      </c>
      <c r="J28" s="511">
        <f t="shared" ref="J28:J29" si="14">Int(DIVIDE(I28,2))</f>
        <v>0</v>
      </c>
      <c r="K28" s="512">
        <f t="shared" si="2"/>
        <v>0</v>
      </c>
      <c r="L28" s="342" t="s">
        <v>33</v>
      </c>
      <c r="M28" s="509" t="s">
        <v>74</v>
      </c>
      <c r="Q28" s="509">
        <v>1.0</v>
      </c>
      <c r="R28" s="413"/>
      <c r="S28" s="510">
        <f t="shared" si="3"/>
        <v>1</v>
      </c>
      <c r="T28" s="513">
        <f t="shared" si="4"/>
        <v>0</v>
      </c>
      <c r="U28" s="514">
        <f t="shared" si="5"/>
        <v>0</v>
      </c>
      <c r="V28" s="342" t="s">
        <v>33</v>
      </c>
      <c r="W28" s="518" t="s">
        <v>75</v>
      </c>
      <c r="AA28" s="509">
        <v>1.0</v>
      </c>
      <c r="AB28" s="413"/>
      <c r="AC28" s="510">
        <f t="shared" si="6"/>
        <v>1</v>
      </c>
      <c r="AD28" s="513">
        <f t="shared" si="7"/>
        <v>0</v>
      </c>
      <c r="AE28" s="514">
        <f t="shared" si="8"/>
        <v>0</v>
      </c>
      <c r="AF28" s="342" t="s">
        <v>33</v>
      </c>
      <c r="AG28" s="509" t="s">
        <v>76</v>
      </c>
      <c r="AK28" s="515">
        <v>10.0</v>
      </c>
      <c r="AL28" s="408"/>
      <c r="AM28" s="516">
        <f t="shared" si="9"/>
        <v>10</v>
      </c>
      <c r="AN28" s="511">
        <f t="shared" si="10"/>
        <v>5</v>
      </c>
      <c r="AO28" s="512">
        <f t="shared" si="11"/>
        <v>2</v>
      </c>
      <c r="AP28" s="60"/>
      <c r="AQ28" s="10"/>
      <c r="AR28" s="11"/>
      <c r="AS28" s="11"/>
      <c r="AT28" s="12"/>
      <c r="AU28" s="10"/>
      <c r="AV28" s="11"/>
      <c r="AW28" s="11"/>
      <c r="AX28" s="12"/>
      <c r="AY28" s="527">
        <f>Int((V14+V12)/10)</f>
        <v>0</v>
      </c>
      <c r="AZ28" s="105"/>
      <c r="BA28" s="105"/>
      <c r="BB28" s="107"/>
      <c r="BC28" s="3"/>
    </row>
    <row r="29" ht="16.5" customHeight="1">
      <c r="A29" s="22"/>
      <c r="B29" s="342" t="s">
        <v>33</v>
      </c>
      <c r="C29" s="517"/>
      <c r="G29" s="528"/>
      <c r="H29" s="408"/>
      <c r="I29" s="510">
        <f t="shared" si="1"/>
        <v>0</v>
      </c>
      <c r="J29" s="511">
        <f t="shared" si="14"/>
        <v>0</v>
      </c>
      <c r="K29" s="512">
        <f t="shared" si="2"/>
        <v>0</v>
      </c>
      <c r="L29" s="342" t="s">
        <v>33</v>
      </c>
      <c r="M29" s="509" t="s">
        <v>77</v>
      </c>
      <c r="Q29" s="509">
        <v>5.0</v>
      </c>
      <c r="R29" s="413"/>
      <c r="S29" s="510">
        <f t="shared" si="3"/>
        <v>5</v>
      </c>
      <c r="T29" s="513">
        <f t="shared" si="4"/>
        <v>2</v>
      </c>
      <c r="U29" s="514">
        <f t="shared" si="5"/>
        <v>1</v>
      </c>
      <c r="V29" s="342" t="s">
        <v>33</v>
      </c>
      <c r="W29" s="518"/>
      <c r="AA29" s="509"/>
      <c r="AB29" s="413"/>
      <c r="AC29" s="510">
        <f t="shared" si="6"/>
        <v>0</v>
      </c>
      <c r="AD29" s="513">
        <f t="shared" si="7"/>
        <v>0</v>
      </c>
      <c r="AE29" s="514">
        <f t="shared" si="8"/>
        <v>0</v>
      </c>
      <c r="AF29" s="342" t="s">
        <v>33</v>
      </c>
      <c r="AG29" s="509" t="s">
        <v>78</v>
      </c>
      <c r="AK29" s="515">
        <v>1.0</v>
      </c>
      <c r="AL29" s="413"/>
      <c r="AM29" s="516">
        <f t="shared" si="9"/>
        <v>1</v>
      </c>
      <c r="AN29" s="511">
        <f t="shared" si="10"/>
        <v>0</v>
      </c>
      <c r="AO29" s="512">
        <f t="shared" si="11"/>
        <v>0</v>
      </c>
      <c r="AP29" s="28"/>
      <c r="AQ29" s="525" t="s">
        <v>79</v>
      </c>
      <c r="AR29" s="5"/>
      <c r="AS29" s="5"/>
      <c r="AT29" s="7"/>
      <c r="AU29" s="113"/>
      <c r="AV29" s="5"/>
      <c r="AW29" s="5"/>
      <c r="AX29" s="7"/>
      <c r="AY29" s="526" t="s">
        <v>80</v>
      </c>
      <c r="AZ29" s="105"/>
      <c r="BA29" s="105"/>
      <c r="BB29" s="107"/>
      <c r="BC29" s="3"/>
    </row>
    <row r="30" ht="16.5" customHeight="1">
      <c r="A30" s="22"/>
      <c r="B30" s="342" t="s">
        <v>33</v>
      </c>
      <c r="C30" s="509" t="s">
        <v>81</v>
      </c>
      <c r="G30" s="515">
        <v>10.0</v>
      </c>
      <c r="H30" s="413"/>
      <c r="I30" s="510">
        <f t="shared" si="1"/>
        <v>10</v>
      </c>
      <c r="J30" s="511">
        <f>int(DIVIDE(I30,2))</f>
        <v>5</v>
      </c>
      <c r="K30" s="512">
        <f t="shared" si="2"/>
        <v>2</v>
      </c>
      <c r="L30" s="342" t="s">
        <v>33</v>
      </c>
      <c r="M30" s="509" t="s">
        <v>82</v>
      </c>
      <c r="Q30" s="509">
        <v>5.0</v>
      </c>
      <c r="R30" s="408"/>
      <c r="S30" s="510">
        <f t="shared" si="3"/>
        <v>5</v>
      </c>
      <c r="T30" s="513">
        <f t="shared" si="4"/>
        <v>2</v>
      </c>
      <c r="U30" s="514">
        <f t="shared" si="5"/>
        <v>1</v>
      </c>
      <c r="V30" s="342" t="s">
        <v>33</v>
      </c>
      <c r="W30" s="509" t="s">
        <v>83</v>
      </c>
      <c r="AA30" s="515">
        <v>20.0</v>
      </c>
      <c r="AB30" s="408"/>
      <c r="AC30" s="516">
        <f t="shared" si="6"/>
        <v>20</v>
      </c>
      <c r="AD30" s="511">
        <f t="shared" si="7"/>
        <v>10</v>
      </c>
      <c r="AE30" s="512">
        <f t="shared" si="8"/>
        <v>4</v>
      </c>
      <c r="AF30" s="342" t="s">
        <v>33</v>
      </c>
      <c r="AG30" s="518" t="s">
        <v>84</v>
      </c>
      <c r="AK30" s="515">
        <v>20.0</v>
      </c>
      <c r="AL30" s="413"/>
      <c r="AM30" s="510">
        <f t="shared" si="9"/>
        <v>20</v>
      </c>
      <c r="AN30" s="513">
        <f t="shared" si="10"/>
        <v>10</v>
      </c>
      <c r="AO30" s="514">
        <f t="shared" si="11"/>
        <v>4</v>
      </c>
      <c r="AP30" s="28"/>
      <c r="AQ30" s="10"/>
      <c r="AR30" s="11"/>
      <c r="AS30" s="11"/>
      <c r="AT30" s="12"/>
      <c r="AU30" s="10"/>
      <c r="AV30" s="11"/>
      <c r="AW30" s="11"/>
      <c r="AX30" s="12"/>
      <c r="AY30" s="527">
        <f>int(AL10/5)</f>
        <v>0</v>
      </c>
      <c r="AZ30" s="105"/>
      <c r="BA30" s="105"/>
      <c r="BB30" s="107"/>
      <c r="BC30" s="3"/>
    </row>
    <row r="31" ht="16.5" customHeight="1">
      <c r="A31" s="22"/>
      <c r="B31" s="342" t="s">
        <v>33</v>
      </c>
      <c r="C31" s="509" t="s">
        <v>85</v>
      </c>
      <c r="G31" s="515">
        <v>10.0</v>
      </c>
      <c r="H31" s="413"/>
      <c r="I31" s="510">
        <f t="shared" si="1"/>
        <v>10</v>
      </c>
      <c r="J31" s="511">
        <f t="shared" ref="J31:J36" si="15">Int(DIVIDE(I31,2))</f>
        <v>5</v>
      </c>
      <c r="K31" s="512">
        <f t="shared" si="2"/>
        <v>2</v>
      </c>
      <c r="L31" s="342" t="s">
        <v>33</v>
      </c>
      <c r="M31" s="509"/>
      <c r="Q31" s="509"/>
      <c r="R31" s="413"/>
      <c r="S31" s="510">
        <f t="shared" si="3"/>
        <v>0</v>
      </c>
      <c r="T31" s="513">
        <f t="shared" si="4"/>
        <v>0</v>
      </c>
      <c r="U31" s="514">
        <f t="shared" si="5"/>
        <v>0</v>
      </c>
      <c r="V31" s="342" t="s">
        <v>33</v>
      </c>
      <c r="W31" s="518" t="s">
        <v>86</v>
      </c>
      <c r="AA31" s="515">
        <v>25.0</v>
      </c>
      <c r="AB31" s="408"/>
      <c r="AC31" s="516">
        <f t="shared" si="6"/>
        <v>25</v>
      </c>
      <c r="AD31" s="511">
        <f t="shared" si="7"/>
        <v>12</v>
      </c>
      <c r="AE31" s="512">
        <f t="shared" si="8"/>
        <v>5</v>
      </c>
      <c r="AF31" s="342" t="s">
        <v>33</v>
      </c>
      <c r="AG31" s="518" t="s">
        <v>87</v>
      </c>
      <c r="AK31" s="515">
        <v>25.0</v>
      </c>
      <c r="AL31" s="413"/>
      <c r="AM31" s="510">
        <f t="shared" si="9"/>
        <v>25</v>
      </c>
      <c r="AN31" s="513">
        <f t="shared" si="10"/>
        <v>12</v>
      </c>
      <c r="AO31" s="514">
        <f t="shared" si="11"/>
        <v>5</v>
      </c>
      <c r="AP31" s="28"/>
      <c r="AQ31" s="525" t="s">
        <v>88</v>
      </c>
      <c r="AR31" s="5"/>
      <c r="AS31" s="5"/>
      <c r="AT31" s="7"/>
      <c r="AU31" s="113"/>
      <c r="AV31" s="5"/>
      <c r="AW31" s="5"/>
      <c r="AX31" s="7"/>
      <c r="AY31" s="526" t="s">
        <v>89</v>
      </c>
      <c r="AZ31" s="107"/>
      <c r="BA31" s="526" t="s">
        <v>90</v>
      </c>
      <c r="BB31" s="107"/>
      <c r="BC31" s="3"/>
    </row>
    <row r="32" ht="16.5" customHeight="1">
      <c r="A32" s="22"/>
      <c r="B32" s="342" t="s">
        <v>33</v>
      </c>
      <c r="C32" s="509" t="s">
        <v>91</v>
      </c>
      <c r="G32" s="515">
        <v>5.0</v>
      </c>
      <c r="H32" s="408"/>
      <c r="I32" s="510">
        <f t="shared" si="1"/>
        <v>5</v>
      </c>
      <c r="J32" s="511">
        <f t="shared" si="15"/>
        <v>2</v>
      </c>
      <c r="K32" s="512">
        <f t="shared" si="2"/>
        <v>1</v>
      </c>
      <c r="L32" s="342" t="s">
        <v>33</v>
      </c>
      <c r="M32" s="529" t="s">
        <v>92</v>
      </c>
      <c r="Q32" s="515">
        <v>1.0</v>
      </c>
      <c r="R32" s="413"/>
      <c r="S32" s="510">
        <f t="shared" si="3"/>
        <v>1</v>
      </c>
      <c r="T32" s="513">
        <f t="shared" si="4"/>
        <v>0</v>
      </c>
      <c r="U32" s="514">
        <f t="shared" si="5"/>
        <v>0</v>
      </c>
      <c r="V32" s="342" t="s">
        <v>33</v>
      </c>
      <c r="W32" s="518" t="s">
        <v>93</v>
      </c>
      <c r="AA32" s="515">
        <v>20.0</v>
      </c>
      <c r="AB32" s="413"/>
      <c r="AC32" s="516">
        <f t="shared" si="6"/>
        <v>20</v>
      </c>
      <c r="AD32" s="511">
        <f t="shared" si="7"/>
        <v>10</v>
      </c>
      <c r="AE32" s="512">
        <f t="shared" si="8"/>
        <v>4</v>
      </c>
      <c r="AF32" s="342" t="s">
        <v>33</v>
      </c>
      <c r="AG32" s="518" t="s">
        <v>94</v>
      </c>
      <c r="AK32" s="515">
        <v>15.0</v>
      </c>
      <c r="AL32" s="413"/>
      <c r="AM32" s="510">
        <f t="shared" si="9"/>
        <v>15</v>
      </c>
      <c r="AN32" s="513">
        <f t="shared" si="10"/>
        <v>7</v>
      </c>
      <c r="AO32" s="514">
        <f t="shared" si="11"/>
        <v>3</v>
      </c>
      <c r="AP32" s="28"/>
      <c r="AQ32" s="10"/>
      <c r="AR32" s="11"/>
      <c r="AS32" s="11"/>
      <c r="AT32" s="12"/>
      <c r="AU32" s="10"/>
      <c r="AV32" s="11"/>
      <c r="AW32" s="11"/>
      <c r="AX32" s="12"/>
      <c r="AY32" s="527" t="str">
        <f>IF(AL10=0,"자동",MIN(AL10,BA32))</f>
        <v>자동</v>
      </c>
      <c r="AZ32" s="107"/>
      <c r="BA32" s="527">
        <f>99-AB19</f>
        <v>99</v>
      </c>
      <c r="BB32" s="107"/>
      <c r="BC32" s="3"/>
    </row>
    <row r="33" ht="16.5" customHeight="1">
      <c r="A33" s="22"/>
      <c r="B33" s="342" t="s">
        <v>33</v>
      </c>
      <c r="C33" s="509" t="s">
        <v>165</v>
      </c>
      <c r="G33" s="509">
        <v>5.0</v>
      </c>
      <c r="H33" s="413"/>
      <c r="I33" s="510">
        <f t="shared" si="1"/>
        <v>5</v>
      </c>
      <c r="J33" s="511">
        <f t="shared" si="15"/>
        <v>2</v>
      </c>
      <c r="K33" s="512">
        <f t="shared" si="2"/>
        <v>1</v>
      </c>
      <c r="L33" s="342" t="s">
        <v>33</v>
      </c>
      <c r="M33" s="529" t="s">
        <v>95</v>
      </c>
      <c r="Q33" s="515">
        <v>5.0</v>
      </c>
      <c r="R33" s="413"/>
      <c r="S33" s="510">
        <f t="shared" si="3"/>
        <v>5</v>
      </c>
      <c r="T33" s="513">
        <f t="shared" si="4"/>
        <v>2</v>
      </c>
      <c r="U33" s="514">
        <f t="shared" si="5"/>
        <v>1</v>
      </c>
      <c r="V33" s="342" t="s">
        <v>33</v>
      </c>
      <c r="W33" s="518" t="s">
        <v>96</v>
      </c>
      <c r="AA33" s="515">
        <v>15.0</v>
      </c>
      <c r="AB33" s="413"/>
      <c r="AC33" s="516">
        <f t="shared" si="6"/>
        <v>15</v>
      </c>
      <c r="AD33" s="511">
        <f t="shared" si="7"/>
        <v>7</v>
      </c>
      <c r="AE33" s="512">
        <f t="shared" si="8"/>
        <v>3</v>
      </c>
      <c r="AF33" s="342" t="s">
        <v>33</v>
      </c>
      <c r="AG33" s="518" t="s">
        <v>97</v>
      </c>
      <c r="AK33" s="515">
        <v>10.0</v>
      </c>
      <c r="AL33" s="413"/>
      <c r="AM33" s="510">
        <f t="shared" si="9"/>
        <v>10</v>
      </c>
      <c r="AN33" s="513">
        <f t="shared" si="10"/>
        <v>5</v>
      </c>
      <c r="AO33" s="514">
        <f t="shared" si="11"/>
        <v>2</v>
      </c>
      <c r="AP33" s="28"/>
      <c r="AQ33" s="128" t="s">
        <v>98</v>
      </c>
      <c r="AR33" s="5"/>
      <c r="AS33" s="5"/>
      <c r="AT33" s="7"/>
      <c r="AU33" s="129" t="s">
        <v>33</v>
      </c>
      <c r="AV33" s="7"/>
      <c r="AW33" s="130" t="s">
        <v>99</v>
      </c>
      <c r="AX33" s="5"/>
      <c r="AY33" s="5"/>
      <c r="AZ33" s="7"/>
      <c r="BA33" s="131" t="s">
        <v>33</v>
      </c>
      <c r="BB33" s="7"/>
      <c r="BC33" s="3"/>
    </row>
    <row r="34" ht="16.5" customHeight="1">
      <c r="A34" s="22"/>
      <c r="B34" s="342" t="s">
        <v>33</v>
      </c>
      <c r="C34" s="509"/>
      <c r="G34" s="509"/>
      <c r="H34" s="413"/>
      <c r="I34" s="510">
        <f t="shared" si="1"/>
        <v>0</v>
      </c>
      <c r="J34" s="511">
        <f t="shared" si="15"/>
        <v>0</v>
      </c>
      <c r="K34" s="512">
        <f t="shared" si="2"/>
        <v>0</v>
      </c>
      <c r="L34" s="342" t="s">
        <v>33</v>
      </c>
      <c r="M34" s="529" t="s">
        <v>100</v>
      </c>
      <c r="Q34" s="515">
        <v>1.0</v>
      </c>
      <c r="R34" s="413"/>
      <c r="S34" s="510">
        <f t="shared" si="3"/>
        <v>1</v>
      </c>
      <c r="T34" s="513">
        <f t="shared" si="4"/>
        <v>0</v>
      </c>
      <c r="U34" s="514">
        <f t="shared" si="5"/>
        <v>0</v>
      </c>
      <c r="V34" s="342" t="s">
        <v>33</v>
      </c>
      <c r="W34" s="518" t="s">
        <v>101</v>
      </c>
      <c r="AA34" s="515">
        <v>20.0</v>
      </c>
      <c r="AB34" s="413"/>
      <c r="AC34" s="516">
        <f t="shared" si="6"/>
        <v>20</v>
      </c>
      <c r="AD34" s="511">
        <f t="shared" si="7"/>
        <v>10</v>
      </c>
      <c r="AE34" s="512">
        <f t="shared" si="8"/>
        <v>4</v>
      </c>
      <c r="AF34" s="342" t="s">
        <v>33</v>
      </c>
      <c r="AG34" s="518" t="s">
        <v>102</v>
      </c>
      <c r="AK34" s="515">
        <v>15.0</v>
      </c>
      <c r="AL34" s="413"/>
      <c r="AM34" s="510">
        <f t="shared" si="9"/>
        <v>15</v>
      </c>
      <c r="AN34" s="513">
        <f t="shared" si="10"/>
        <v>7</v>
      </c>
      <c r="AO34" s="514">
        <f t="shared" si="11"/>
        <v>3</v>
      </c>
      <c r="AP34" s="28"/>
      <c r="AQ34" s="10"/>
      <c r="AR34" s="11"/>
      <c r="AS34" s="11"/>
      <c r="AT34" s="12"/>
      <c r="AU34" s="10"/>
      <c r="AV34" s="12"/>
      <c r="AW34" s="10"/>
      <c r="AX34" s="11"/>
      <c r="AY34" s="11"/>
      <c r="AZ34" s="12"/>
      <c r="BA34" s="10"/>
      <c r="BB34" s="12"/>
      <c r="BC34" s="3"/>
    </row>
    <row r="35" ht="16.5" customHeight="1">
      <c r="A35" s="22"/>
      <c r="B35" s="342" t="s">
        <v>33</v>
      </c>
      <c r="C35" s="529" t="s">
        <v>103</v>
      </c>
      <c r="G35" s="509">
        <v>1.0</v>
      </c>
      <c r="H35" s="413"/>
      <c r="I35" s="510">
        <f t="shared" si="1"/>
        <v>1</v>
      </c>
      <c r="J35" s="511">
        <f t="shared" si="15"/>
        <v>0</v>
      </c>
      <c r="K35" s="512">
        <f t="shared" si="2"/>
        <v>0</v>
      </c>
      <c r="L35" s="342" t="s">
        <v>33</v>
      </c>
      <c r="M35" s="529" t="s">
        <v>104</v>
      </c>
      <c r="Q35" s="515">
        <v>1.0</v>
      </c>
      <c r="R35" s="413"/>
      <c r="S35" s="510">
        <f t="shared" si="3"/>
        <v>1</v>
      </c>
      <c r="T35" s="513">
        <f t="shared" si="4"/>
        <v>0</v>
      </c>
      <c r="U35" s="514">
        <f t="shared" si="5"/>
        <v>0</v>
      </c>
      <c r="V35" s="342" t="s">
        <v>33</v>
      </c>
      <c r="W35" s="518" t="s">
        <v>105</v>
      </c>
      <c r="AA35" s="515">
        <v>5.0</v>
      </c>
      <c r="AB35" s="413"/>
      <c r="AC35" s="516">
        <f t="shared" si="6"/>
        <v>5</v>
      </c>
      <c r="AD35" s="511">
        <f t="shared" si="7"/>
        <v>2</v>
      </c>
      <c r="AE35" s="512">
        <f t="shared" si="8"/>
        <v>1</v>
      </c>
      <c r="AF35" s="342" t="s">
        <v>33</v>
      </c>
      <c r="AG35" s="518" t="s">
        <v>106</v>
      </c>
      <c r="AK35" s="515">
        <v>10.0</v>
      </c>
      <c r="AL35" s="413"/>
      <c r="AM35" s="516">
        <f t="shared" si="9"/>
        <v>10</v>
      </c>
      <c r="AN35" s="511">
        <f t="shared" si="10"/>
        <v>5</v>
      </c>
      <c r="AO35" s="512">
        <f t="shared" si="11"/>
        <v>2</v>
      </c>
      <c r="AP35" s="28"/>
      <c r="AQ35" s="133" t="s">
        <v>107</v>
      </c>
      <c r="AR35" s="5"/>
      <c r="AS35" s="5"/>
      <c r="AT35" s="7"/>
      <c r="AU35" s="134" t="s">
        <v>33</v>
      </c>
      <c r="AV35" s="7"/>
      <c r="AW35" s="135" t="s">
        <v>108</v>
      </c>
      <c r="AX35" s="5"/>
      <c r="AY35" s="5"/>
      <c r="AZ35" s="7"/>
      <c r="BA35" s="136" t="s">
        <v>33</v>
      </c>
      <c r="BB35" s="7"/>
      <c r="BC35" s="3"/>
    </row>
    <row r="36" ht="16.5" customHeight="1">
      <c r="A36" s="22"/>
      <c r="B36" s="342" t="s">
        <v>33</v>
      </c>
      <c r="C36" s="529" t="s">
        <v>109</v>
      </c>
      <c r="G36" s="509">
        <v>1.0</v>
      </c>
      <c r="H36" s="413"/>
      <c r="I36" s="510">
        <f t="shared" si="1"/>
        <v>1</v>
      </c>
      <c r="J36" s="511">
        <f t="shared" si="15"/>
        <v>0</v>
      </c>
      <c r="K36" s="512">
        <f t="shared" si="2"/>
        <v>0</v>
      </c>
      <c r="L36" s="342" t="s">
        <v>33</v>
      </c>
      <c r="M36" s="529" t="s">
        <v>110</v>
      </c>
      <c r="Q36" s="515">
        <v>1.0</v>
      </c>
      <c r="R36" s="413"/>
      <c r="S36" s="510">
        <f t="shared" si="3"/>
        <v>1</v>
      </c>
      <c r="T36" s="513">
        <f t="shared" si="4"/>
        <v>0</v>
      </c>
      <c r="U36" s="514">
        <f t="shared" si="5"/>
        <v>0</v>
      </c>
      <c r="V36" s="342" t="s">
        <v>33</v>
      </c>
      <c r="W36" s="509" t="s">
        <v>111</v>
      </c>
      <c r="AA36" s="509">
        <v>10.0</v>
      </c>
      <c r="AB36" s="413"/>
      <c r="AC36" s="510">
        <f t="shared" si="6"/>
        <v>10</v>
      </c>
      <c r="AD36" s="513">
        <f t="shared" si="7"/>
        <v>5</v>
      </c>
      <c r="AE36" s="514">
        <f t="shared" si="8"/>
        <v>2</v>
      </c>
      <c r="AF36" s="342" t="s">
        <v>33</v>
      </c>
      <c r="AG36" s="509" t="s">
        <v>112</v>
      </c>
      <c r="AK36" s="515">
        <v>10.0</v>
      </c>
      <c r="AL36" s="413"/>
      <c r="AM36" s="516">
        <f t="shared" si="9"/>
        <v>10</v>
      </c>
      <c r="AN36" s="511">
        <f t="shared" si="10"/>
        <v>5</v>
      </c>
      <c r="AO36" s="512">
        <f t="shared" si="11"/>
        <v>2</v>
      </c>
      <c r="AP36" s="28"/>
      <c r="AQ36" s="10"/>
      <c r="AR36" s="11"/>
      <c r="AS36" s="11"/>
      <c r="AT36" s="12"/>
      <c r="AU36" s="10"/>
      <c r="AV36" s="12"/>
      <c r="AW36" s="10"/>
      <c r="AX36" s="11"/>
      <c r="AY36" s="11"/>
      <c r="AZ36" s="12"/>
      <c r="BA36" s="10"/>
      <c r="BB36" s="12"/>
      <c r="BC36" s="3"/>
    </row>
    <row r="37" ht="15.0" customHeight="1">
      <c r="A37" s="2"/>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3"/>
      <c r="AD37" s="53"/>
      <c r="AE37" s="53"/>
      <c r="AF37" s="53"/>
      <c r="AG37" s="53"/>
      <c r="AH37" s="53"/>
      <c r="AI37" s="53"/>
      <c r="AJ37" s="53"/>
      <c r="AK37" s="53"/>
      <c r="AL37" s="53"/>
      <c r="AM37" s="53"/>
      <c r="AN37" s="53"/>
      <c r="AO37" s="53"/>
      <c r="AP37" s="3"/>
      <c r="AQ37" s="8"/>
      <c r="AR37" s="8"/>
      <c r="AS37" s="8"/>
      <c r="AT37" s="8"/>
      <c r="AU37" s="8"/>
      <c r="AV37" s="8"/>
      <c r="AW37" s="8"/>
      <c r="AX37" s="8"/>
      <c r="AY37" s="8"/>
      <c r="AZ37" s="8"/>
      <c r="BA37" s="8"/>
      <c r="BB37" s="8"/>
      <c r="BC37" s="3"/>
    </row>
    <row r="38" ht="13.5" customHeight="1">
      <c r="A38" s="22"/>
      <c r="B38" s="530" t="s">
        <v>113</v>
      </c>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5"/>
      <c r="AP38" s="28"/>
      <c r="AQ38" s="531" t="s">
        <v>15</v>
      </c>
      <c r="AR38" s="5"/>
      <c r="AS38" s="5"/>
      <c r="AT38" s="5"/>
      <c r="AU38" s="5"/>
      <c r="AV38" s="5"/>
      <c r="AW38" s="5"/>
      <c r="AX38" s="5"/>
      <c r="AY38" s="5"/>
      <c r="AZ38" s="5"/>
      <c r="BA38" s="5"/>
      <c r="BB38" s="7"/>
      <c r="BC38" s="3"/>
    </row>
    <row r="39" ht="13.5" customHeight="1">
      <c r="A39" s="22"/>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2"/>
      <c r="AP39" s="28"/>
      <c r="AQ39" s="10"/>
      <c r="AR39" s="11"/>
      <c r="AS39" s="11"/>
      <c r="AT39" s="11"/>
      <c r="AU39" s="11"/>
      <c r="AV39" s="11"/>
      <c r="AW39" s="11"/>
      <c r="AX39" s="11"/>
      <c r="AY39" s="11"/>
      <c r="AZ39" s="11"/>
      <c r="BA39" s="11"/>
      <c r="BB39" s="12"/>
      <c r="BC39" s="3"/>
    </row>
    <row r="40" ht="13.5" customHeight="1">
      <c r="A40" s="22"/>
      <c r="B40" s="155" t="s">
        <v>113</v>
      </c>
      <c r="C40" s="34"/>
      <c r="D40" s="34"/>
      <c r="E40" s="34"/>
      <c r="F40" s="34"/>
      <c r="G40" s="34"/>
      <c r="H40" s="34"/>
      <c r="I40" s="35"/>
      <c r="J40" s="155" t="s">
        <v>114</v>
      </c>
      <c r="K40" s="34"/>
      <c r="L40" s="35"/>
      <c r="M40" s="155" t="s">
        <v>115</v>
      </c>
      <c r="N40" s="34"/>
      <c r="O40" s="35"/>
      <c r="P40" s="155" t="s">
        <v>116</v>
      </c>
      <c r="Q40" s="34"/>
      <c r="R40" s="35"/>
      <c r="S40" s="155" t="s">
        <v>117</v>
      </c>
      <c r="T40" s="34"/>
      <c r="U40" s="34"/>
      <c r="V40" s="34"/>
      <c r="W40" s="34"/>
      <c r="X40" s="35"/>
      <c r="Y40" s="155" t="s">
        <v>118</v>
      </c>
      <c r="Z40" s="34"/>
      <c r="AA40" s="34"/>
      <c r="AB40" s="35"/>
      <c r="AC40" s="155" t="s">
        <v>119</v>
      </c>
      <c r="AD40" s="34"/>
      <c r="AE40" s="34"/>
      <c r="AF40" s="34"/>
      <c r="AG40" s="35"/>
      <c r="AH40" s="155" t="s">
        <v>120</v>
      </c>
      <c r="AI40" s="34"/>
      <c r="AJ40" s="34"/>
      <c r="AK40" s="35"/>
      <c r="AL40" s="155" t="s">
        <v>121</v>
      </c>
      <c r="AM40" s="34"/>
      <c r="AN40" s="34"/>
      <c r="AO40" s="35"/>
      <c r="AP40" s="28"/>
      <c r="AQ40" s="156"/>
      <c r="AR40" s="157"/>
      <c r="AS40" s="157"/>
      <c r="AT40" s="157"/>
      <c r="AU40" s="157"/>
      <c r="AV40" s="157"/>
      <c r="AW40" s="157"/>
      <c r="AX40" s="157"/>
      <c r="AY40" s="157"/>
      <c r="AZ40" s="157"/>
      <c r="BA40" s="157"/>
      <c r="BB40" s="158"/>
      <c r="BC40" s="3"/>
    </row>
    <row r="41" ht="13.5" customHeight="1">
      <c r="A41" s="2"/>
      <c r="B41" s="159" t="s">
        <v>122</v>
      </c>
      <c r="I41" s="160"/>
      <c r="J41" s="161">
        <v>25.0</v>
      </c>
      <c r="M41" s="161">
        <f t="shared" ref="M41:M47" si="16">Int(DIVIDE(J41,2))</f>
        <v>12</v>
      </c>
      <c r="O41" s="160"/>
      <c r="P41" s="161">
        <f t="shared" ref="P41:P47" si="17">Int(DIVIDE(J41,5))</f>
        <v>5</v>
      </c>
      <c r="R41" s="160"/>
      <c r="S41" s="162" t="s">
        <v>123</v>
      </c>
      <c r="X41" s="160"/>
      <c r="Y41" s="161" t="s">
        <v>124</v>
      </c>
      <c r="AB41" s="160"/>
      <c r="AC41" s="161">
        <v>1.0</v>
      </c>
      <c r="AG41" s="160"/>
      <c r="AH41" s="161" t="s">
        <v>124</v>
      </c>
      <c r="AK41" s="160"/>
      <c r="AL41" s="161" t="s">
        <v>124</v>
      </c>
      <c r="AO41" s="15"/>
      <c r="AP41" s="3"/>
      <c r="AQ41" s="163" t="str">
        <f>IF(S19=0,"무일푼, 노숙.",(IF(AND(1&lt;=S19,10&gt;S19),"가난, 최소한의 재산만 소유.",IF(AND(10&lt;=S19,50&gt;S19),"보통, 적당히 안락한 생활.",(IF(AND(50&lt;=S19,90&gt;S19),"부유, 약간의 사치 가능.",(IF(AND(90&lt;=S19,99&gt;S19),"자산가, 막대한 부와 사치.",(IF(S19=99,"갑부, 돈은 문제가 되지 않는 수준."))))))))))</f>
        <v>무일푼, 노숙.</v>
      </c>
      <c r="AR41" s="164"/>
      <c r="AS41" s="164"/>
      <c r="AT41" s="164"/>
      <c r="AU41" s="164"/>
      <c r="AV41" s="164"/>
      <c r="AW41" s="164"/>
      <c r="AX41" s="164"/>
      <c r="AY41" s="164"/>
      <c r="AZ41" s="164"/>
      <c r="BA41" s="164"/>
      <c r="BB41" s="165"/>
      <c r="BC41" s="3"/>
    </row>
    <row r="42" ht="13.5" customHeight="1">
      <c r="A42" s="22"/>
      <c r="B42" s="166"/>
      <c r="C42" s="167"/>
      <c r="D42" s="167"/>
      <c r="E42" s="167"/>
      <c r="F42" s="167"/>
      <c r="G42" s="167"/>
      <c r="H42" s="167"/>
      <c r="I42" s="168"/>
      <c r="J42" s="169"/>
      <c r="K42" s="167"/>
      <c r="L42" s="168"/>
      <c r="M42" s="170">
        <f t="shared" si="16"/>
        <v>0</v>
      </c>
      <c r="N42" s="167"/>
      <c r="O42" s="168"/>
      <c r="P42" s="170">
        <f t="shared" si="17"/>
        <v>0</v>
      </c>
      <c r="Q42" s="167"/>
      <c r="R42" s="168"/>
      <c r="S42" s="171"/>
      <c r="T42" s="167"/>
      <c r="U42" s="167"/>
      <c r="V42" s="167"/>
      <c r="W42" s="167"/>
      <c r="X42" s="168"/>
      <c r="Y42" s="169"/>
      <c r="Z42" s="167"/>
      <c r="AA42" s="167"/>
      <c r="AB42" s="168"/>
      <c r="AC42" s="169"/>
      <c r="AD42" s="167"/>
      <c r="AE42" s="167"/>
      <c r="AF42" s="167"/>
      <c r="AG42" s="168"/>
      <c r="AH42" s="169"/>
      <c r="AI42" s="167"/>
      <c r="AJ42" s="167"/>
      <c r="AK42" s="168"/>
      <c r="AL42" s="169"/>
      <c r="AM42" s="167"/>
      <c r="AN42" s="167"/>
      <c r="AO42" s="172"/>
      <c r="AP42" s="28"/>
      <c r="AQ42" s="163" t="str">
        <f>IF(V10=0,"서있거나 컵을 들 힘조차 없음.",(IF(AND(1&lt;=V10,30&gt;V10),"힘없고 허약한 사람.",IF(AND(30&lt;=V10,70&gt;V10),"평균적 근력의 소유자.",(IF(AND(70&lt;=V10,85&gt;V10),"근력이 좋은 사람.",(IF(AND(85&lt;=V10,99&gt;V10),"보기 드물게 강한 사람.",(IF(V10=99,"인간의 한계에 다다른 강한 근력."))))))))))</f>
        <v>서있거나 컵을 들 힘조차 없음.</v>
      </c>
      <c r="AR42" s="164"/>
      <c r="AS42" s="164"/>
      <c r="AT42" s="164"/>
      <c r="AU42" s="164"/>
      <c r="AV42" s="164"/>
      <c r="AW42" s="164"/>
      <c r="AX42" s="164"/>
      <c r="AY42" s="164"/>
      <c r="AZ42" s="164"/>
      <c r="BA42" s="164"/>
      <c r="BB42" s="165"/>
      <c r="BC42" s="3"/>
    </row>
    <row r="43" ht="13.5" customHeight="1">
      <c r="A43" s="22"/>
      <c r="B43" s="173"/>
      <c r="C43" s="167"/>
      <c r="D43" s="167"/>
      <c r="E43" s="167"/>
      <c r="F43" s="167"/>
      <c r="G43" s="167"/>
      <c r="H43" s="167"/>
      <c r="I43" s="168"/>
      <c r="J43" s="169"/>
      <c r="K43" s="167"/>
      <c r="L43" s="168"/>
      <c r="M43" s="170">
        <f t="shared" si="16"/>
        <v>0</v>
      </c>
      <c r="N43" s="167"/>
      <c r="O43" s="168"/>
      <c r="P43" s="170">
        <f t="shared" si="17"/>
        <v>0</v>
      </c>
      <c r="Q43" s="167"/>
      <c r="R43" s="168"/>
      <c r="S43" s="169"/>
      <c r="T43" s="167"/>
      <c r="U43" s="167"/>
      <c r="V43" s="167"/>
      <c r="W43" s="167"/>
      <c r="X43" s="168"/>
      <c r="Y43" s="169"/>
      <c r="Z43" s="167"/>
      <c r="AA43" s="167"/>
      <c r="AB43" s="168"/>
      <c r="AC43" s="169"/>
      <c r="AD43" s="167"/>
      <c r="AE43" s="167"/>
      <c r="AF43" s="167"/>
      <c r="AG43" s="168"/>
      <c r="AH43" s="169"/>
      <c r="AI43" s="167"/>
      <c r="AJ43" s="167"/>
      <c r="AK43" s="168"/>
      <c r="AL43" s="169"/>
      <c r="AM43" s="167"/>
      <c r="AN43" s="167"/>
      <c r="AO43" s="172"/>
      <c r="AP43" s="28"/>
      <c r="AQ43" s="163" t="str">
        <f>IF(V12=0,"산 송장.",(IF(AND(1&lt;=V12,10&gt;V12),"병자. 혼자 움직일 수 없음.",(IF(AND(10&lt;=V12,30&gt;V12),"건강 나쁨. 면역력이 아주 약하다.",IF(AND(30&lt;=V12,70&gt;V12),"평균적으로 건강한 사람.",(IF(AND(70&lt;=V12,99&gt;V12),"잔병치레 없는 수준의 건강함.",(IF(V12=99,"철의 인간, 엄청나게 건강."))))))))))</f>
        <v>산 송장.</v>
      </c>
      <c r="AR43" s="164"/>
      <c r="AS43" s="164"/>
      <c r="AT43" s="164"/>
      <c r="AU43" s="164"/>
      <c r="AV43" s="164"/>
      <c r="AW43" s="164"/>
      <c r="AX43" s="164"/>
      <c r="AY43" s="164"/>
      <c r="AZ43" s="164"/>
      <c r="BA43" s="164"/>
      <c r="BB43" s="165"/>
      <c r="BC43" s="3"/>
    </row>
    <row r="44" ht="13.5" customHeight="1">
      <c r="A44" s="22"/>
      <c r="B44" s="173"/>
      <c r="C44" s="167"/>
      <c r="D44" s="167"/>
      <c r="E44" s="167"/>
      <c r="F44" s="167"/>
      <c r="G44" s="167"/>
      <c r="H44" s="167"/>
      <c r="I44" s="168"/>
      <c r="J44" s="169"/>
      <c r="K44" s="167"/>
      <c r="L44" s="168"/>
      <c r="M44" s="174">
        <f t="shared" si="16"/>
        <v>0</v>
      </c>
      <c r="N44" s="167"/>
      <c r="O44" s="168"/>
      <c r="P44" s="174">
        <f t="shared" si="17"/>
        <v>0</v>
      </c>
      <c r="Q44" s="167"/>
      <c r="R44" s="168"/>
      <c r="S44" s="169"/>
      <c r="T44" s="167"/>
      <c r="U44" s="167"/>
      <c r="V44" s="167"/>
      <c r="W44" s="167"/>
      <c r="X44" s="168"/>
      <c r="Y44" s="169"/>
      <c r="Z44" s="167"/>
      <c r="AA44" s="167"/>
      <c r="AB44" s="168"/>
      <c r="AC44" s="169"/>
      <c r="AD44" s="167"/>
      <c r="AE44" s="167"/>
      <c r="AF44" s="167"/>
      <c r="AG44" s="168"/>
      <c r="AH44" s="169"/>
      <c r="AI44" s="167"/>
      <c r="AJ44" s="167"/>
      <c r="AK44" s="168"/>
      <c r="AL44" s="169"/>
      <c r="AM44" s="167"/>
      <c r="AN44" s="167"/>
      <c r="AO44" s="172"/>
      <c r="AP44" s="28"/>
      <c r="AQ44" s="163" t="str">
        <f>IF(AL12=0,"갓난아기 수준의 교육.",(IF(AND(1&lt;=AL12,30&gt;AL12),"제대로 된 교육을 받지 못했다.",IF(AND(30&lt;=AL12,70&gt;AL12),"평균적인 수준의 교육을 받음.",(IF(AND(70&lt;=AL12,85&gt;AL12),"대졸 수준 이상의 교육을 받음.",(IF(AND(85&lt;=AL12,99&gt;AL12),"교육받은 분야의 전문가.",(IF(AL12=99,"세계적으로 저명한 엘리트."))))))))))</f>
        <v>갓난아기 수준의 교육.</v>
      </c>
      <c r="AR44" s="164"/>
      <c r="AS44" s="164"/>
      <c r="AT44" s="164"/>
      <c r="AU44" s="164"/>
      <c r="AV44" s="164"/>
      <c r="AW44" s="164"/>
      <c r="AX44" s="164"/>
      <c r="AY44" s="164"/>
      <c r="AZ44" s="164"/>
      <c r="BA44" s="164"/>
      <c r="BB44" s="165"/>
      <c r="BC44" s="3"/>
    </row>
    <row r="45" ht="13.5" customHeight="1">
      <c r="A45" s="22"/>
      <c r="B45" s="173"/>
      <c r="C45" s="167"/>
      <c r="D45" s="167"/>
      <c r="E45" s="167"/>
      <c r="F45" s="167"/>
      <c r="G45" s="167"/>
      <c r="H45" s="167"/>
      <c r="I45" s="168"/>
      <c r="J45" s="169"/>
      <c r="K45" s="167"/>
      <c r="L45" s="168"/>
      <c r="M45" s="174">
        <f t="shared" si="16"/>
        <v>0</v>
      </c>
      <c r="N45" s="167"/>
      <c r="O45" s="168"/>
      <c r="P45" s="174">
        <f t="shared" si="17"/>
        <v>0</v>
      </c>
      <c r="Q45" s="167"/>
      <c r="R45" s="168"/>
      <c r="S45" s="169"/>
      <c r="T45" s="167"/>
      <c r="U45" s="167"/>
      <c r="V45" s="167"/>
      <c r="W45" s="167"/>
      <c r="X45" s="168"/>
      <c r="Y45" s="169"/>
      <c r="Z45" s="167"/>
      <c r="AA45" s="167"/>
      <c r="AB45" s="168"/>
      <c r="AC45" s="169"/>
      <c r="AD45" s="167"/>
      <c r="AE45" s="167"/>
      <c r="AF45" s="167"/>
      <c r="AG45" s="168"/>
      <c r="AH45" s="169"/>
      <c r="AI45" s="167"/>
      <c r="AJ45" s="167"/>
      <c r="AK45" s="168"/>
      <c r="AL45" s="169"/>
      <c r="AM45" s="167"/>
      <c r="AN45" s="167"/>
      <c r="AO45" s="172"/>
      <c r="AP45" s="28"/>
      <c r="AQ45" s="163" t="str">
        <f>IF(AD10=0,"도움이 없이는 움직일 수 없다.",(IF(AND(1&lt;=AD10,30&gt;AD10),"느리고 덤벙대며 둔하다.",IF(AND(30&lt;=AD10,70&gt;AD10),"일반 사람의 민첩성.",(IF(AND(70&lt;=AD10,85&gt;AD10),"민첩하고 반응속도가 빠른 사람.",(IF(AND(85&lt;=AD10,99&gt;AD10),"국가대표 체조 선수 수준의 민첩성.",(IF(AD10=99,"세계 최고 민첩성의 소유자."))))))))))</f>
        <v>도움이 없이는 움직일 수 없다.</v>
      </c>
      <c r="AR45" s="164"/>
      <c r="AS45" s="164"/>
      <c r="AT45" s="164"/>
      <c r="AU45" s="164"/>
      <c r="AV45" s="164"/>
      <c r="AW45" s="164"/>
      <c r="AX45" s="164"/>
      <c r="AY45" s="164"/>
      <c r="AZ45" s="164"/>
      <c r="BA45" s="164"/>
      <c r="BB45" s="165"/>
      <c r="BC45" s="3"/>
    </row>
    <row r="46" ht="13.5" customHeight="1">
      <c r="A46" s="22"/>
      <c r="B46" s="173"/>
      <c r="C46" s="167"/>
      <c r="D46" s="167"/>
      <c r="E46" s="167"/>
      <c r="F46" s="167"/>
      <c r="G46" s="167"/>
      <c r="H46" s="167"/>
      <c r="I46" s="168"/>
      <c r="J46" s="169"/>
      <c r="K46" s="167"/>
      <c r="L46" s="168"/>
      <c r="M46" s="174">
        <f t="shared" si="16"/>
        <v>0</v>
      </c>
      <c r="N46" s="167"/>
      <c r="O46" s="168"/>
      <c r="P46" s="174">
        <f t="shared" si="17"/>
        <v>0</v>
      </c>
      <c r="Q46" s="167"/>
      <c r="R46" s="168"/>
      <c r="S46" s="169"/>
      <c r="T46" s="167"/>
      <c r="U46" s="167"/>
      <c r="V46" s="167"/>
      <c r="W46" s="167"/>
      <c r="X46" s="168"/>
      <c r="Y46" s="169"/>
      <c r="Z46" s="167"/>
      <c r="AA46" s="167"/>
      <c r="AB46" s="168"/>
      <c r="AC46" s="169"/>
      <c r="AD46" s="167"/>
      <c r="AE46" s="167"/>
      <c r="AF46" s="167"/>
      <c r="AG46" s="168"/>
      <c r="AH46" s="169"/>
      <c r="AI46" s="167"/>
      <c r="AJ46" s="167"/>
      <c r="AK46" s="168"/>
      <c r="AL46" s="169"/>
      <c r="AM46" s="167"/>
      <c r="AN46" s="167"/>
      <c r="AO46" s="172"/>
      <c r="AP46" s="28"/>
      <c r="AQ46" s="163" t="str">
        <f>IF(AD14=0,"주변의 아무 것도 이해하지 못함.",(IF(AND(1&lt;=AD14,30&gt;AD14),"배우는 것이 느림, 기초적 학습만 가능.",IF(AND(30&lt;=AD14,70&gt;AD14),"보통 사람의 아이큐.",(IF(AND(70&lt;=AD14,85&gt;AD14),"재치가 있고 머리회전이 빠르다.",(IF(AND(85&lt;=AD14,99&gt;AD14),"머리가 좋아 다양한 지식을 가지고 있다.",(IF(AD14=99,"아인슈타인 수준의 두뇌."))))))))))</f>
        <v>주변의 아무 것도 이해하지 못함.</v>
      </c>
      <c r="AR46" s="164"/>
      <c r="AS46" s="164"/>
      <c r="AT46" s="164"/>
      <c r="AU46" s="164"/>
      <c r="AV46" s="164"/>
      <c r="AW46" s="164"/>
      <c r="AX46" s="164"/>
      <c r="AY46" s="164"/>
      <c r="AZ46" s="164"/>
      <c r="BA46" s="164"/>
      <c r="BB46" s="165"/>
      <c r="BC46" s="3"/>
    </row>
    <row r="47" ht="13.5" customHeight="1">
      <c r="A47" s="22"/>
      <c r="B47" s="175"/>
      <c r="C47" s="176"/>
      <c r="D47" s="176"/>
      <c r="E47" s="176"/>
      <c r="F47" s="176"/>
      <c r="G47" s="176"/>
      <c r="H47" s="176"/>
      <c r="I47" s="177"/>
      <c r="J47" s="178"/>
      <c r="K47" s="176"/>
      <c r="L47" s="177"/>
      <c r="M47" s="179">
        <f t="shared" si="16"/>
        <v>0</v>
      </c>
      <c r="N47" s="176"/>
      <c r="O47" s="177"/>
      <c r="P47" s="179">
        <f t="shared" si="17"/>
        <v>0</v>
      </c>
      <c r="Q47" s="176"/>
      <c r="R47" s="177"/>
      <c r="S47" s="178"/>
      <c r="T47" s="176"/>
      <c r="U47" s="176"/>
      <c r="V47" s="176"/>
      <c r="W47" s="176"/>
      <c r="X47" s="177"/>
      <c r="Y47" s="178"/>
      <c r="Z47" s="176"/>
      <c r="AA47" s="176"/>
      <c r="AB47" s="177"/>
      <c r="AC47" s="178"/>
      <c r="AD47" s="176"/>
      <c r="AE47" s="176"/>
      <c r="AF47" s="176"/>
      <c r="AG47" s="177"/>
      <c r="AH47" s="178"/>
      <c r="AI47" s="176"/>
      <c r="AJ47" s="176"/>
      <c r="AK47" s="177"/>
      <c r="AL47" s="178"/>
      <c r="AM47" s="176"/>
      <c r="AN47" s="176"/>
      <c r="AO47" s="180"/>
      <c r="AP47" s="28"/>
      <c r="AQ47" s="163" t="str">
        <f>IF(AL10=0,"어떠한 의지도 의욕도 없는 사람.",(IF(AND(1&lt;=AL10,30&gt;AL10),"의지가 약하고 남들에게 곧잘 휘둘림.",IF(AND(30&lt;=AL10,70&gt;AL10),"보통 사람의 의지를 가졌다.",(IF(AND(70&lt;=AL10,85&gt;AL10),"의지가 강한 사람.",(IF(AND(85&lt;=AL10,99&gt;AL10),"아주 높은 정신력, 영적 감이 있을 수도.",(IF(AL10=99,"철의 의지. 이세계와 깊게 연관됨."))))))))))</f>
        <v>어떠한 의지도 의욕도 없는 사람.</v>
      </c>
      <c r="AR47" s="164"/>
      <c r="AS47" s="164"/>
      <c r="AT47" s="164"/>
      <c r="AU47" s="164"/>
      <c r="AV47" s="164"/>
      <c r="AW47" s="164"/>
      <c r="AX47" s="164"/>
      <c r="AY47" s="164"/>
      <c r="AZ47" s="164"/>
      <c r="BA47" s="164"/>
      <c r="BB47" s="165"/>
      <c r="BC47" s="3"/>
    </row>
    <row r="48" ht="13.5" customHeight="1">
      <c r="A48" s="22"/>
      <c r="B48" s="23" t="s">
        <v>125</v>
      </c>
      <c r="C48" s="24"/>
      <c r="D48" s="24"/>
      <c r="E48" s="24"/>
      <c r="F48" s="24"/>
      <c r="G48" s="24"/>
      <c r="H48" s="24"/>
      <c r="I48" s="24"/>
      <c r="J48" s="24"/>
      <c r="K48" s="24"/>
      <c r="L48" s="24"/>
      <c r="M48" s="24"/>
      <c r="N48" s="24"/>
      <c r="O48" s="24"/>
      <c r="P48" s="24"/>
      <c r="Q48" s="24"/>
      <c r="R48" s="24"/>
      <c r="S48" s="24"/>
      <c r="T48" s="24"/>
      <c r="U48" s="532"/>
      <c r="V48" s="533" t="s">
        <v>126</v>
      </c>
      <c r="W48" s="24"/>
      <c r="X48" s="24"/>
      <c r="Y48" s="24"/>
      <c r="Z48" s="24"/>
      <c r="AA48" s="24"/>
      <c r="AB48" s="24"/>
      <c r="AC48" s="24"/>
      <c r="AD48" s="24"/>
      <c r="AE48" s="24"/>
      <c r="AF48" s="24"/>
      <c r="AG48" s="24"/>
      <c r="AH48" s="24"/>
      <c r="AI48" s="24"/>
      <c r="AJ48" s="24"/>
      <c r="AK48" s="24"/>
      <c r="AL48" s="24"/>
      <c r="AM48" s="24"/>
      <c r="AN48" s="24"/>
      <c r="AO48" s="532"/>
      <c r="AP48" s="28"/>
      <c r="AQ48" s="184"/>
      <c r="AR48" s="185"/>
      <c r="AS48" s="185"/>
      <c r="AT48" s="185"/>
      <c r="AU48" s="185"/>
      <c r="AV48" s="185"/>
      <c r="AW48" s="185"/>
      <c r="AX48" s="185"/>
      <c r="AY48" s="185"/>
      <c r="AZ48" s="185"/>
      <c r="BA48" s="185"/>
      <c r="BB48" s="186"/>
      <c r="BC48" s="3"/>
    </row>
    <row r="49" ht="13.5" customHeight="1">
      <c r="A49" s="22"/>
      <c r="B49" s="30"/>
      <c r="C49" s="31"/>
      <c r="D49" s="31"/>
      <c r="E49" s="31"/>
      <c r="F49" s="31"/>
      <c r="G49" s="31"/>
      <c r="H49" s="31"/>
      <c r="I49" s="31"/>
      <c r="J49" s="31"/>
      <c r="K49" s="31"/>
      <c r="L49" s="31"/>
      <c r="M49" s="31"/>
      <c r="N49" s="31"/>
      <c r="O49" s="31"/>
      <c r="P49" s="31"/>
      <c r="Q49" s="31"/>
      <c r="R49" s="31"/>
      <c r="S49" s="31"/>
      <c r="T49" s="31"/>
      <c r="U49" s="189"/>
      <c r="V49" s="188"/>
      <c r="W49" s="31"/>
      <c r="X49" s="31"/>
      <c r="Y49" s="31"/>
      <c r="Z49" s="31"/>
      <c r="AA49" s="31"/>
      <c r="AB49" s="31"/>
      <c r="AC49" s="31"/>
      <c r="AD49" s="31"/>
      <c r="AE49" s="31"/>
      <c r="AF49" s="31"/>
      <c r="AG49" s="31"/>
      <c r="AH49" s="31"/>
      <c r="AI49" s="31"/>
      <c r="AJ49" s="31"/>
      <c r="AK49" s="31"/>
      <c r="AL49" s="31"/>
      <c r="AM49" s="31"/>
      <c r="AN49" s="31"/>
      <c r="AO49" s="189"/>
      <c r="AP49" s="28"/>
      <c r="AQ49" s="534" t="s">
        <v>127</v>
      </c>
      <c r="AR49" s="294"/>
      <c r="AS49" s="294"/>
      <c r="AT49" s="294"/>
      <c r="AU49" s="294"/>
      <c r="AV49" s="294"/>
      <c r="AW49" s="294"/>
      <c r="AX49" s="294"/>
      <c r="AY49" s="294"/>
      <c r="AZ49" s="294"/>
      <c r="BA49" s="294"/>
      <c r="BB49" s="295"/>
      <c r="BC49" s="3"/>
    </row>
    <row r="50" ht="64.5" customHeight="1">
      <c r="A50" s="22"/>
      <c r="B50" s="296" t="str">
        <f>if(or(U49&gt;10,U49&lt;0),"",
if(U49=1,"가장 높은 기능과 관련된 물건",
if(U49=2,"직업에 필수적인 물건",
if(U49=3,"어린 시절 추억의 물건",
if(U49=4,"중요한 사람의 유품",
if(U49=5,"중요한 사람에게서 받은 물건",
if(U49=6,"수집품",
if(U49=7,"출처가 불분명한 물건",
if(U49=8,"스포츠용품",
if(U49=9,"무기",
if(U49=10,"아끼는 동물",
"")))))))))))</f>
        <v/>
      </c>
      <c r="C50" s="5"/>
      <c r="D50" s="5"/>
      <c r="E50" s="5"/>
      <c r="F50" s="297"/>
      <c r="G50" s="298"/>
      <c r="H50" s="5"/>
      <c r="I50" s="5"/>
      <c r="J50" s="5"/>
      <c r="K50" s="297"/>
      <c r="L50" s="298"/>
      <c r="M50" s="5"/>
      <c r="N50" s="5"/>
      <c r="O50" s="5"/>
      <c r="P50" s="297"/>
      <c r="Q50" s="298"/>
      <c r="R50" s="5"/>
      <c r="S50" s="5"/>
      <c r="T50" s="5"/>
      <c r="U50" s="299"/>
      <c r="V50" s="300" t="str">
        <f>if(or(AO49&gt;10,AO49&lt;0),"잘못된 숫자를 넣으셨습니다.",
if(AO49=1,"부모",
if(AO49=2,"조부모",
if(AO49=3,"형제자매",
if(AO49=4,"자식",
if(AO49=5,"파트너",
if(AO49=6,"존경하는 스승",
if(AO49=7,"친구",
if(AO49=8,"유명인, 우상, 영웅",
if(AO49=9,"동료 탐사자",
if(AO49=10,"NPC",
"")))))))))))</f>
        <v/>
      </c>
      <c r="W50" s="5"/>
      <c r="X50" s="5"/>
      <c r="Y50" s="5"/>
      <c r="Z50" s="297"/>
      <c r="AA50" s="301"/>
      <c r="AB50" s="5"/>
      <c r="AC50" s="5"/>
      <c r="AD50" s="5"/>
      <c r="AE50" s="297"/>
      <c r="AF50" s="301"/>
      <c r="AG50" s="5"/>
      <c r="AH50" s="5"/>
      <c r="AI50" s="5"/>
      <c r="AJ50" s="297"/>
      <c r="AK50" s="301"/>
      <c r="AL50" s="5"/>
      <c r="AM50" s="5"/>
      <c r="AN50" s="5"/>
      <c r="AO50" s="7"/>
      <c r="AP50" s="28"/>
      <c r="AQ50" s="9"/>
      <c r="BB50" s="302"/>
      <c r="BC50" s="3"/>
    </row>
    <row r="51" ht="8.25" customHeight="1">
      <c r="A51" s="22"/>
      <c r="B51" s="303"/>
      <c r="C51" s="304"/>
      <c r="D51" s="304"/>
      <c r="E51" s="304"/>
      <c r="F51" s="305"/>
      <c r="G51" s="306"/>
      <c r="H51" s="304"/>
      <c r="I51" s="304"/>
      <c r="J51" s="304"/>
      <c r="K51" s="305"/>
      <c r="L51" s="306"/>
      <c r="M51" s="304"/>
      <c r="N51" s="304"/>
      <c r="O51" s="304"/>
      <c r="P51" s="305"/>
      <c r="Q51" s="306"/>
      <c r="R51" s="304"/>
      <c r="S51" s="304"/>
      <c r="T51" s="304"/>
      <c r="U51" s="307"/>
      <c r="V51" s="304"/>
      <c r="W51" s="304"/>
      <c r="X51" s="304"/>
      <c r="Y51" s="304"/>
      <c r="Z51" s="305"/>
      <c r="AA51" s="306"/>
      <c r="AB51" s="304"/>
      <c r="AC51" s="304"/>
      <c r="AD51" s="304"/>
      <c r="AE51" s="305"/>
      <c r="AF51" s="306"/>
      <c r="AG51" s="304"/>
      <c r="AH51" s="304"/>
      <c r="AI51" s="304"/>
      <c r="AJ51" s="305"/>
      <c r="AK51" s="306"/>
      <c r="AL51" s="304"/>
      <c r="AM51" s="304"/>
      <c r="AN51" s="304"/>
      <c r="AO51" s="308"/>
      <c r="AP51" s="28"/>
      <c r="AQ51" s="9"/>
      <c r="BB51" s="302"/>
      <c r="BC51" s="3"/>
    </row>
    <row r="52" ht="26.25" customHeight="1">
      <c r="A52" s="22"/>
      <c r="B52" s="309"/>
      <c r="C52" s="310"/>
      <c r="D52" s="310"/>
      <c r="E52" s="310"/>
      <c r="F52" s="311"/>
      <c r="G52" s="312"/>
      <c r="H52" s="310"/>
      <c r="I52" s="310"/>
      <c r="J52" s="310"/>
      <c r="K52" s="311"/>
      <c r="L52" s="312"/>
      <c r="M52" s="310"/>
      <c r="N52" s="310"/>
      <c r="O52" s="310"/>
      <c r="P52" s="311"/>
      <c r="Q52" s="312"/>
      <c r="R52" s="310"/>
      <c r="S52" s="310"/>
      <c r="T52" s="310"/>
      <c r="U52" s="313"/>
      <c r="V52" s="314"/>
      <c r="W52" s="310"/>
      <c r="X52" s="310"/>
      <c r="Y52" s="310"/>
      <c r="Z52" s="311"/>
      <c r="AA52" s="315"/>
      <c r="AB52" s="310"/>
      <c r="AC52" s="310"/>
      <c r="AD52" s="310"/>
      <c r="AE52" s="311"/>
      <c r="AF52" s="315"/>
      <c r="AG52" s="310"/>
      <c r="AH52" s="310"/>
      <c r="AI52" s="310"/>
      <c r="AJ52" s="311"/>
      <c r="AK52" s="315"/>
      <c r="AL52" s="310"/>
      <c r="AM52" s="310"/>
      <c r="AN52" s="310"/>
      <c r="AO52" s="316"/>
      <c r="AP52" s="28"/>
      <c r="AQ52" s="9"/>
      <c r="BB52" s="302"/>
      <c r="BC52" s="3"/>
    </row>
    <row r="53" ht="49.5" customHeight="1">
      <c r="A53" s="22"/>
      <c r="B53" s="303"/>
      <c r="C53" s="304"/>
      <c r="D53" s="304"/>
      <c r="E53" s="304"/>
      <c r="F53" s="305"/>
      <c r="G53" s="306"/>
      <c r="H53" s="304"/>
      <c r="I53" s="304"/>
      <c r="J53" s="304"/>
      <c r="K53" s="305"/>
      <c r="L53" s="306"/>
      <c r="M53" s="304"/>
      <c r="N53" s="304"/>
      <c r="O53" s="304"/>
      <c r="P53" s="305"/>
      <c r="Q53" s="306"/>
      <c r="R53" s="304"/>
      <c r="S53" s="304"/>
      <c r="T53" s="304"/>
      <c r="U53" s="307"/>
      <c r="V53" s="304"/>
      <c r="W53" s="304"/>
      <c r="X53" s="304"/>
      <c r="Y53" s="304"/>
      <c r="Z53" s="305"/>
      <c r="AA53" s="306"/>
      <c r="AB53" s="304"/>
      <c r="AC53" s="304"/>
      <c r="AD53" s="304"/>
      <c r="AE53" s="305"/>
      <c r="AF53" s="306"/>
      <c r="AG53" s="304"/>
      <c r="AH53" s="304"/>
      <c r="AI53" s="304"/>
      <c r="AJ53" s="305"/>
      <c r="AK53" s="306"/>
      <c r="AL53" s="304"/>
      <c r="AM53" s="304"/>
      <c r="AN53" s="304"/>
      <c r="AO53" s="308"/>
      <c r="AP53" s="28"/>
      <c r="AQ53" s="9"/>
      <c r="BB53" s="302"/>
      <c r="BC53" s="3"/>
    </row>
    <row r="54" ht="47.25" customHeight="1">
      <c r="A54" s="22"/>
      <c r="B54" s="309"/>
      <c r="C54" s="310"/>
      <c r="D54" s="310"/>
      <c r="E54" s="310"/>
      <c r="F54" s="311"/>
      <c r="G54" s="312"/>
      <c r="H54" s="310"/>
      <c r="I54" s="310"/>
      <c r="J54" s="310"/>
      <c r="K54" s="311"/>
      <c r="L54" s="312"/>
      <c r="M54" s="310"/>
      <c r="N54" s="310"/>
      <c r="O54" s="310"/>
      <c r="P54" s="311"/>
      <c r="Q54" s="312"/>
      <c r="R54" s="310"/>
      <c r="S54" s="310"/>
      <c r="T54" s="310"/>
      <c r="U54" s="313"/>
      <c r="V54" s="314"/>
      <c r="W54" s="310"/>
      <c r="X54" s="310"/>
      <c r="Y54" s="310"/>
      <c r="Z54" s="311"/>
      <c r="AA54" s="315"/>
      <c r="AB54" s="310"/>
      <c r="AC54" s="310"/>
      <c r="AD54" s="310"/>
      <c r="AE54" s="311"/>
      <c r="AF54" s="315"/>
      <c r="AG54" s="310"/>
      <c r="AH54" s="310"/>
      <c r="AI54" s="310"/>
      <c r="AJ54" s="311"/>
      <c r="AK54" s="315"/>
      <c r="AL54" s="310"/>
      <c r="AM54" s="310"/>
      <c r="AN54" s="310"/>
      <c r="AO54" s="316"/>
      <c r="AP54" s="28"/>
      <c r="AQ54" s="10"/>
      <c r="AR54" s="11"/>
      <c r="AS54" s="11"/>
      <c r="AT54" s="11"/>
      <c r="AU54" s="11"/>
      <c r="AV54" s="11"/>
      <c r="AW54" s="11"/>
      <c r="AX54" s="11"/>
      <c r="AY54" s="11"/>
      <c r="AZ54" s="11"/>
      <c r="BA54" s="11"/>
      <c r="BB54" s="317"/>
      <c r="BC54" s="3"/>
    </row>
    <row r="55" ht="30.75" customHeight="1">
      <c r="A55" s="22"/>
      <c r="B55" s="303"/>
      <c r="C55" s="304"/>
      <c r="D55" s="304"/>
      <c r="E55" s="304"/>
      <c r="F55" s="305"/>
      <c r="G55" s="306"/>
      <c r="H55" s="304"/>
      <c r="I55" s="304"/>
      <c r="J55" s="304"/>
      <c r="K55" s="305"/>
      <c r="L55" s="306"/>
      <c r="M55" s="304"/>
      <c r="N55" s="304"/>
      <c r="O55" s="304"/>
      <c r="P55" s="305"/>
      <c r="Q55" s="306"/>
      <c r="R55" s="304"/>
      <c r="S55" s="304"/>
      <c r="T55" s="304"/>
      <c r="U55" s="307"/>
      <c r="V55" s="304"/>
      <c r="W55" s="304"/>
      <c r="X55" s="304"/>
      <c r="Y55" s="304"/>
      <c r="Z55" s="305"/>
      <c r="AA55" s="306"/>
      <c r="AB55" s="304"/>
      <c r="AC55" s="304"/>
      <c r="AD55" s="304"/>
      <c r="AE55" s="305"/>
      <c r="AF55" s="306"/>
      <c r="AG55" s="304"/>
      <c r="AH55" s="304"/>
      <c r="AI55" s="304"/>
      <c r="AJ55" s="305"/>
      <c r="AK55" s="306"/>
      <c r="AL55" s="304"/>
      <c r="AM55" s="304"/>
      <c r="AN55" s="304"/>
      <c r="AO55" s="308"/>
      <c r="AP55" s="28"/>
      <c r="AQ55" s="318" t="str">
        <f>if(or(BB49&gt;10,BB49&lt;0),"잘못된 숫자를 넣으셨습니다.",
if(BB49=1,"인심이 좋습니다.",
if(BB49=2,"동물의 친구입니다.",
if(BB49=3,"몽상가입니다.",
if(BB49=4,"쾌락주의자입니다.",
if(BB49=5,"과감한 승부사입니다.",
if(BB49=6,"유능한 요리사입니다.",
if(BB49=7,"바람둥이입니다.",
if(BB49=8,"충직합니다.",
if(BB49=9,"평판이 좋습니다.",
if(BB49=10,"야심가입니다.", "당신의 성격은 무엇인가요?")))))))))))</f>
        <v>당신의 성격은 무엇인가요?</v>
      </c>
      <c r="AR55" s="294"/>
      <c r="AS55" s="294"/>
      <c r="AT55" s="294"/>
      <c r="AU55" s="294"/>
      <c r="AV55" s="294"/>
      <c r="AW55" s="294"/>
      <c r="AX55" s="294"/>
      <c r="AY55" s="294"/>
      <c r="AZ55" s="294"/>
      <c r="BA55" s="294"/>
      <c r="BB55" s="294"/>
      <c r="BC55" s="3"/>
    </row>
    <row r="56" ht="22.5" customHeight="1">
      <c r="A56" s="22"/>
      <c r="B56" s="309"/>
      <c r="C56" s="310"/>
      <c r="D56" s="310"/>
      <c r="E56" s="310"/>
      <c r="F56" s="311"/>
      <c r="G56" s="312"/>
      <c r="H56" s="310"/>
      <c r="I56" s="310"/>
      <c r="J56" s="310"/>
      <c r="K56" s="311"/>
      <c r="L56" s="312"/>
      <c r="M56" s="310"/>
      <c r="N56" s="310"/>
      <c r="O56" s="310"/>
      <c r="P56" s="311"/>
      <c r="Q56" s="312"/>
      <c r="R56" s="310"/>
      <c r="S56" s="310"/>
      <c r="T56" s="310"/>
      <c r="U56" s="313"/>
      <c r="V56" s="314"/>
      <c r="W56" s="310"/>
      <c r="X56" s="310"/>
      <c r="Y56" s="310"/>
      <c r="Z56" s="311"/>
      <c r="AA56" s="315"/>
      <c r="AB56" s="310"/>
      <c r="AC56" s="310"/>
      <c r="AD56" s="310"/>
      <c r="AE56" s="311"/>
      <c r="AF56" s="315"/>
      <c r="AG56" s="310"/>
      <c r="AH56" s="310"/>
      <c r="AI56" s="310"/>
      <c r="AJ56" s="311"/>
      <c r="AK56" s="315"/>
      <c r="AL56" s="310"/>
      <c r="AM56" s="310"/>
      <c r="AN56" s="310"/>
      <c r="AO56" s="316"/>
      <c r="AP56" s="28"/>
      <c r="AQ56" s="9"/>
      <c r="BC56" s="3"/>
    </row>
    <row r="57" ht="62.25" customHeight="1">
      <c r="A57" s="22"/>
      <c r="B57" s="303"/>
      <c r="C57" s="304"/>
      <c r="D57" s="304"/>
      <c r="E57" s="304"/>
      <c r="F57" s="305"/>
      <c r="G57" s="306"/>
      <c r="H57" s="304"/>
      <c r="I57" s="304"/>
      <c r="J57" s="304"/>
      <c r="K57" s="305"/>
      <c r="L57" s="306"/>
      <c r="M57" s="304"/>
      <c r="N57" s="304"/>
      <c r="O57" s="304"/>
      <c r="P57" s="305"/>
      <c r="Q57" s="306"/>
      <c r="R57" s="304"/>
      <c r="S57" s="304"/>
      <c r="T57" s="304"/>
      <c r="U57" s="307"/>
      <c r="V57" s="304"/>
      <c r="W57" s="304"/>
      <c r="X57" s="304"/>
      <c r="Y57" s="304"/>
      <c r="Z57" s="305"/>
      <c r="AA57" s="306"/>
      <c r="AB57" s="304"/>
      <c r="AC57" s="304"/>
      <c r="AD57" s="304"/>
      <c r="AE57" s="305"/>
      <c r="AF57" s="306"/>
      <c r="AG57" s="304"/>
      <c r="AH57" s="304"/>
      <c r="AI57" s="304"/>
      <c r="AJ57" s="305"/>
      <c r="AK57" s="306"/>
      <c r="AL57" s="304"/>
      <c r="AM57" s="304"/>
      <c r="AN57" s="304"/>
      <c r="AO57" s="308"/>
      <c r="AP57" s="28"/>
      <c r="AQ57" s="9"/>
      <c r="BC57" s="3"/>
    </row>
    <row r="58" ht="61.5" customHeight="1">
      <c r="A58" s="22"/>
      <c r="B58" s="309"/>
      <c r="C58" s="310"/>
      <c r="D58" s="310"/>
      <c r="E58" s="310"/>
      <c r="F58" s="311"/>
      <c r="G58" s="312"/>
      <c r="H58" s="310"/>
      <c r="I58" s="310"/>
      <c r="J58" s="310"/>
      <c r="K58" s="311"/>
      <c r="L58" s="312"/>
      <c r="M58" s="310"/>
      <c r="N58" s="310"/>
      <c r="O58" s="310"/>
      <c r="P58" s="311"/>
      <c r="Q58" s="312"/>
      <c r="R58" s="310"/>
      <c r="S58" s="310"/>
      <c r="T58" s="310"/>
      <c r="U58" s="313"/>
      <c r="V58" s="314"/>
      <c r="W58" s="310"/>
      <c r="X58" s="310"/>
      <c r="Y58" s="310"/>
      <c r="Z58" s="311"/>
      <c r="AA58" s="315"/>
      <c r="AB58" s="310"/>
      <c r="AC58" s="310"/>
      <c r="AD58" s="310"/>
      <c r="AE58" s="311"/>
      <c r="AF58" s="315"/>
      <c r="AG58" s="310"/>
      <c r="AH58" s="310"/>
      <c r="AI58" s="310"/>
      <c r="AJ58" s="311"/>
      <c r="AK58" s="315"/>
      <c r="AL58" s="310"/>
      <c r="AM58" s="310"/>
      <c r="AN58" s="310"/>
      <c r="AO58" s="316"/>
      <c r="AP58" s="28"/>
      <c r="AQ58" s="10"/>
      <c r="AR58" s="11"/>
      <c r="AS58" s="11"/>
      <c r="AT58" s="11"/>
      <c r="AU58" s="11"/>
      <c r="AV58" s="11"/>
      <c r="AW58" s="11"/>
      <c r="AX58" s="11"/>
      <c r="AY58" s="11"/>
      <c r="AZ58" s="11"/>
      <c r="BA58" s="11"/>
      <c r="BB58" s="11"/>
      <c r="BC58" s="3"/>
    </row>
    <row r="59" ht="13.5" customHeight="1">
      <c r="A59" s="22"/>
      <c r="B59" s="303"/>
      <c r="C59" s="304"/>
      <c r="D59" s="304"/>
      <c r="E59" s="304"/>
      <c r="F59" s="305"/>
      <c r="G59" s="306"/>
      <c r="H59" s="304"/>
      <c r="I59" s="304"/>
      <c r="J59" s="304"/>
      <c r="K59" s="305"/>
      <c r="L59" s="306"/>
      <c r="M59" s="304"/>
      <c r="N59" s="304"/>
      <c r="O59" s="304"/>
      <c r="P59" s="305"/>
      <c r="Q59" s="306"/>
      <c r="R59" s="304"/>
      <c r="S59" s="304"/>
      <c r="T59" s="304"/>
      <c r="U59" s="307"/>
      <c r="V59" s="11"/>
      <c r="W59" s="11"/>
      <c r="X59" s="11"/>
      <c r="Y59" s="11"/>
      <c r="Z59" s="319"/>
      <c r="AA59" s="320"/>
      <c r="AB59" s="11"/>
      <c r="AC59" s="11"/>
      <c r="AD59" s="11"/>
      <c r="AE59" s="319"/>
      <c r="AF59" s="320"/>
      <c r="AG59" s="11"/>
      <c r="AH59" s="11"/>
      <c r="AI59" s="11"/>
      <c r="AJ59" s="319"/>
      <c r="AK59" s="320"/>
      <c r="AL59" s="11"/>
      <c r="AM59" s="11"/>
      <c r="AN59" s="11"/>
      <c r="AO59" s="12"/>
      <c r="AP59" s="28"/>
      <c r="AQ59" s="535" t="s">
        <v>128</v>
      </c>
      <c r="AR59" s="105"/>
      <c r="AS59" s="105"/>
      <c r="AT59" s="105"/>
      <c r="AU59" s="105"/>
      <c r="AV59" s="105"/>
      <c r="AW59" s="105"/>
      <c r="AX59" s="105"/>
      <c r="AY59" s="105"/>
      <c r="AZ59" s="105"/>
      <c r="BA59" s="105"/>
      <c r="BB59" s="191"/>
      <c r="BC59" s="3"/>
    </row>
    <row r="60" ht="13.5" customHeight="1">
      <c r="A60" s="22"/>
      <c r="B60" s="309"/>
      <c r="C60" s="310"/>
      <c r="D60" s="310"/>
      <c r="E60" s="310"/>
      <c r="F60" s="311"/>
      <c r="G60" s="315"/>
      <c r="H60" s="310"/>
      <c r="I60" s="310"/>
      <c r="J60" s="310"/>
      <c r="K60" s="311"/>
      <c r="L60" s="315"/>
      <c r="M60" s="310"/>
      <c r="N60" s="310"/>
      <c r="O60" s="310"/>
      <c r="P60" s="311"/>
      <c r="Q60" s="315"/>
      <c r="R60" s="310"/>
      <c r="S60" s="310"/>
      <c r="T60" s="310"/>
      <c r="U60" s="313"/>
      <c r="V60" s="536" t="s">
        <v>129</v>
      </c>
      <c r="W60" s="105"/>
      <c r="X60" s="105"/>
      <c r="Y60" s="105"/>
      <c r="Z60" s="105"/>
      <c r="AA60" s="105"/>
      <c r="AB60" s="105"/>
      <c r="AC60" s="105"/>
      <c r="AD60" s="105"/>
      <c r="AE60" s="105"/>
      <c r="AF60" s="105"/>
      <c r="AG60" s="105"/>
      <c r="AH60" s="105"/>
      <c r="AI60" s="105"/>
      <c r="AJ60" s="105"/>
      <c r="AK60" s="105"/>
      <c r="AL60" s="105"/>
      <c r="AM60" s="105"/>
      <c r="AN60" s="107"/>
      <c r="AO60" s="211"/>
      <c r="AP60" s="28"/>
      <c r="AQ60" s="212" t="str">
        <f>if(or(BB59&gt;10,BB59&lt;0),"잘못된 숫자를 넣으셨습니다.",
if(BB59=1,"숭배하고 기도하는 초월적인 존재가 있습니다.",
if(BB59=2,"인류는 종교 없이도 잘 살 수 있습니다.",
if(BB59=3,"과학이 모든 것의 해답입니다.",
if(BB59=4,"운명을 극적으로 믿습니다.",
if(BB59=5,"사회단체 또는 비밀 단체에 소속되어 있습니다.",
if(BB59=6,"사회에 뿌리 뽑아야 할 악이 있습니다.",
if(BB59=7,"오컬트를 믿습니다.",
if(BB59=8,"세상만사에 관심이 많습니다.",
if(BB59=9,"돈이 권력이고 세속적인 욕심이 강합니다.",
if(BB59=10,"운동가 또는 활동가로 활약하고 있습니다.",
"당신의 사상이나 신념은 무엇인가요?")))))))))))</f>
        <v>당신의 사상이나 신념은 무엇인가요?</v>
      </c>
      <c r="AR60" s="185"/>
      <c r="AS60" s="185"/>
      <c r="AT60" s="185"/>
      <c r="AU60" s="185"/>
      <c r="AV60" s="185"/>
      <c r="AW60" s="185"/>
      <c r="AX60" s="185"/>
      <c r="AY60" s="185"/>
      <c r="AZ60" s="185"/>
      <c r="BA60" s="185"/>
      <c r="BB60" s="185"/>
      <c r="BC60" s="3"/>
    </row>
    <row r="61" ht="56.25" customHeight="1">
      <c r="A61" s="22"/>
      <c r="B61" s="10"/>
      <c r="C61" s="11"/>
      <c r="D61" s="11"/>
      <c r="E61" s="11"/>
      <c r="F61" s="319"/>
      <c r="G61" s="320"/>
      <c r="H61" s="11"/>
      <c r="I61" s="11"/>
      <c r="J61" s="11"/>
      <c r="K61" s="319"/>
      <c r="L61" s="320"/>
      <c r="M61" s="11"/>
      <c r="N61" s="11"/>
      <c r="O61" s="11"/>
      <c r="P61" s="319"/>
      <c r="Q61" s="320"/>
      <c r="R61" s="11"/>
      <c r="S61" s="11"/>
      <c r="T61" s="11"/>
      <c r="U61" s="322"/>
      <c r="V61" s="323" t="str">
        <f>if(or(AO60&gt;10,AO60&lt;0),"잘못된 숫자를 넣으셨습니다.",
if(AO60=1,"갚을 은혜가 있습니다.",
if(AO60=2,"배운 것이 있습니다.",
if(AO60=3,"삶에 의미를 주었습니다.",
if(AO60=4,"잘못한 것이 있어서 속죄하려고 합니다.",
if(AO60=5,"공유한 경험이 있습니다.",
if(AO60=6,"인정을 받고 싶습니다.",
if(AO60=7,"동경하고 숭배합니다.",
if(AO60=8,"회한(두고두고 후회함)이 있습니다.",
if(AO60=9,"자신이 그 사람보다 나은 인간임을 증명하고 싶습니다.",
if(AO60=10,"해를 끼친 사람에게 복수하고 싶습니다.",
"왜 그 사람을 중요하게 여기시나요?")))))))))))</f>
        <v>왜 그 사람을 중요하게 여기시나요?</v>
      </c>
      <c r="W61" s="105"/>
      <c r="X61" s="105"/>
      <c r="Y61" s="105"/>
      <c r="Z61" s="105"/>
      <c r="AA61" s="105"/>
      <c r="AB61" s="105"/>
      <c r="AC61" s="105"/>
      <c r="AD61" s="105"/>
      <c r="AE61" s="105"/>
      <c r="AF61" s="105"/>
      <c r="AG61" s="105"/>
      <c r="AH61" s="105"/>
      <c r="AI61" s="105"/>
      <c r="AJ61" s="105"/>
      <c r="AK61" s="105"/>
      <c r="AL61" s="105"/>
      <c r="AM61" s="105"/>
      <c r="AN61" s="105"/>
      <c r="AO61" s="107"/>
      <c r="AP61" s="28"/>
      <c r="AQ61" s="537" t="s">
        <v>130</v>
      </c>
      <c r="AR61" s="105"/>
      <c r="AS61" s="105"/>
      <c r="AT61" s="105"/>
      <c r="AU61" s="105"/>
      <c r="AV61" s="105"/>
      <c r="AW61" s="105"/>
      <c r="AX61" s="107"/>
      <c r="AY61" s="324"/>
      <c r="AZ61" s="105"/>
      <c r="BA61" s="105"/>
      <c r="BB61" s="107"/>
      <c r="BC61" s="3"/>
    </row>
    <row r="62" ht="13.5" customHeight="1">
      <c r="A62" s="2"/>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3"/>
      <c r="AD62" s="53"/>
      <c r="AE62" s="53"/>
      <c r="AF62" s="53"/>
      <c r="AG62" s="53"/>
      <c r="AH62" s="53"/>
      <c r="AI62" s="53"/>
      <c r="AJ62" s="53"/>
      <c r="AK62" s="53"/>
      <c r="AL62" s="53"/>
      <c r="AM62" s="53"/>
      <c r="AN62" s="53"/>
      <c r="AO62" s="53"/>
      <c r="AP62" s="218"/>
      <c r="AQ62" s="218"/>
      <c r="AR62" s="218"/>
      <c r="AS62" s="218"/>
      <c r="AT62" s="218"/>
      <c r="AU62" s="218"/>
      <c r="AV62" s="218"/>
      <c r="AW62" s="218"/>
      <c r="AX62" s="218"/>
      <c r="AY62" s="218"/>
      <c r="AZ62" s="218"/>
      <c r="BA62" s="218"/>
      <c r="BB62" s="218"/>
      <c r="BC62" s="3"/>
    </row>
    <row r="63" ht="15.75" customHeight="1">
      <c r="A63" s="219"/>
      <c r="B63" s="220" t="s">
        <v>131</v>
      </c>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5"/>
      <c r="BC63" s="221"/>
    </row>
    <row r="64" ht="15.75" customHeight="1">
      <c r="A64" s="219"/>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2"/>
      <c r="BC64" s="221"/>
    </row>
    <row r="65" ht="15.75" customHeight="1">
      <c r="A65" s="219"/>
      <c r="B65" s="222" t="s">
        <v>132</v>
      </c>
      <c r="C65" s="24"/>
      <c r="D65" s="24"/>
      <c r="E65" s="24"/>
      <c r="F65" s="24"/>
      <c r="G65" s="24"/>
      <c r="H65" s="24"/>
      <c r="I65" s="24"/>
      <c r="J65" s="24"/>
      <c r="K65" s="24"/>
      <c r="L65" s="24"/>
      <c r="M65" s="24"/>
      <c r="N65" s="24"/>
      <c r="O65" s="24"/>
      <c r="P65" s="24"/>
      <c r="Q65" s="24"/>
      <c r="R65" s="25"/>
      <c r="S65" s="223" t="s">
        <v>127</v>
      </c>
      <c r="T65" s="24"/>
      <c r="U65" s="24"/>
      <c r="V65" s="24"/>
      <c r="W65" s="24"/>
      <c r="X65" s="24"/>
      <c r="Y65" s="24"/>
      <c r="Z65" s="24"/>
      <c r="AA65" s="24"/>
      <c r="AB65" s="24"/>
      <c r="AC65" s="24"/>
      <c r="AD65" s="24"/>
      <c r="AE65" s="24"/>
      <c r="AF65" s="24"/>
      <c r="AG65" s="24"/>
      <c r="AH65" s="24"/>
      <c r="AI65" s="25"/>
      <c r="AJ65" s="222" t="s">
        <v>133</v>
      </c>
      <c r="AK65" s="24"/>
      <c r="AL65" s="24"/>
      <c r="AM65" s="24"/>
      <c r="AN65" s="24"/>
      <c r="AO65" s="24"/>
      <c r="AP65" s="24"/>
      <c r="AQ65" s="24"/>
      <c r="AR65" s="24"/>
      <c r="AS65" s="24"/>
      <c r="AT65" s="24"/>
      <c r="AU65" s="24"/>
      <c r="AV65" s="24"/>
      <c r="AW65" s="24"/>
      <c r="AX65" s="24"/>
      <c r="AY65" s="24"/>
      <c r="AZ65" s="24"/>
      <c r="BA65" s="24"/>
      <c r="BB65" s="25"/>
      <c r="BC65" s="221"/>
    </row>
    <row r="66" ht="15.75" customHeight="1">
      <c r="A66" s="219"/>
      <c r="B66" s="224"/>
      <c r="C66" s="5"/>
      <c r="D66" s="5"/>
      <c r="E66" s="5"/>
      <c r="F66" s="5"/>
      <c r="G66" s="5"/>
      <c r="H66" s="5"/>
      <c r="I66" s="5"/>
      <c r="J66" s="5"/>
      <c r="K66" s="5"/>
      <c r="L66" s="5"/>
      <c r="M66" s="5"/>
      <c r="N66" s="5"/>
      <c r="O66" s="5"/>
      <c r="P66" s="5"/>
      <c r="Q66" s="5"/>
      <c r="R66" s="7"/>
      <c r="S66" s="224"/>
      <c r="T66" s="5"/>
      <c r="U66" s="5"/>
      <c r="V66" s="5"/>
      <c r="W66" s="5"/>
      <c r="X66" s="5"/>
      <c r="Y66" s="5"/>
      <c r="Z66" s="5"/>
      <c r="AA66" s="5"/>
      <c r="AB66" s="5"/>
      <c r="AC66" s="5"/>
      <c r="AD66" s="5"/>
      <c r="AE66" s="5"/>
      <c r="AF66" s="5"/>
      <c r="AG66" s="5"/>
      <c r="AH66" s="5"/>
      <c r="AI66" s="7"/>
      <c r="AJ66" s="224"/>
      <c r="AK66" s="5"/>
      <c r="AL66" s="5"/>
      <c r="AM66" s="5"/>
      <c r="AN66" s="5"/>
      <c r="AO66" s="5"/>
      <c r="AP66" s="5"/>
      <c r="AQ66" s="5"/>
      <c r="AR66" s="5"/>
      <c r="AS66" s="5"/>
      <c r="AT66" s="5"/>
      <c r="AU66" s="5"/>
      <c r="AV66" s="5"/>
      <c r="AW66" s="5"/>
      <c r="AX66" s="5"/>
      <c r="AY66" s="5"/>
      <c r="AZ66" s="5"/>
      <c r="BA66" s="5"/>
      <c r="BB66" s="225"/>
      <c r="BC66" s="226"/>
    </row>
    <row r="67" ht="135.0" customHeight="1">
      <c r="A67" s="219"/>
      <c r="B67" s="9"/>
      <c r="R67" s="15"/>
      <c r="S67" s="9"/>
      <c r="AI67" s="15"/>
      <c r="AJ67" s="9"/>
      <c r="BB67" s="209"/>
      <c r="BC67" s="226"/>
    </row>
    <row r="68" ht="15.75" customHeight="1">
      <c r="A68" s="219"/>
      <c r="B68" s="9"/>
      <c r="R68" s="15"/>
      <c r="S68" s="9"/>
      <c r="AI68" s="15"/>
      <c r="AJ68" s="9"/>
      <c r="BB68" s="209"/>
      <c r="BC68" s="226"/>
    </row>
    <row r="69" ht="15.75" customHeight="1">
      <c r="A69" s="219"/>
      <c r="B69" s="9"/>
      <c r="R69" s="15"/>
      <c r="S69" s="9"/>
      <c r="AI69" s="15"/>
      <c r="AJ69" s="9"/>
      <c r="BB69" s="209"/>
      <c r="BC69" s="226"/>
    </row>
    <row r="70" ht="15.75" customHeight="1">
      <c r="A70" s="219"/>
      <c r="B70" s="10"/>
      <c r="C70" s="11"/>
      <c r="D70" s="11"/>
      <c r="E70" s="11"/>
      <c r="F70" s="11"/>
      <c r="G70" s="11"/>
      <c r="H70" s="11"/>
      <c r="I70" s="11"/>
      <c r="J70" s="11"/>
      <c r="K70" s="11"/>
      <c r="L70" s="11"/>
      <c r="M70" s="11"/>
      <c r="N70" s="11"/>
      <c r="O70" s="11"/>
      <c r="P70" s="11"/>
      <c r="Q70" s="11"/>
      <c r="R70" s="12"/>
      <c r="S70" s="10"/>
      <c r="T70" s="11"/>
      <c r="U70" s="11"/>
      <c r="V70" s="11"/>
      <c r="W70" s="11"/>
      <c r="X70" s="11"/>
      <c r="Y70" s="11"/>
      <c r="Z70" s="11"/>
      <c r="AA70" s="11"/>
      <c r="AB70" s="11"/>
      <c r="AC70" s="11"/>
      <c r="AD70" s="11"/>
      <c r="AE70" s="11"/>
      <c r="AF70" s="11"/>
      <c r="AG70" s="11"/>
      <c r="AH70" s="11"/>
      <c r="AI70" s="12"/>
      <c r="AJ70" s="9"/>
      <c r="BB70" s="209"/>
      <c r="BC70" s="226"/>
    </row>
    <row r="71" ht="15.75" customHeight="1">
      <c r="A71" s="219"/>
      <c r="B71" s="227" t="s">
        <v>134</v>
      </c>
      <c r="C71" s="5"/>
      <c r="D71" s="5"/>
      <c r="E71" s="5"/>
      <c r="F71" s="5"/>
      <c r="G71" s="5"/>
      <c r="H71" s="5"/>
      <c r="I71" s="5"/>
      <c r="J71" s="5"/>
      <c r="K71" s="5"/>
      <c r="L71" s="5"/>
      <c r="M71" s="5"/>
      <c r="N71" s="5"/>
      <c r="O71" s="5"/>
      <c r="P71" s="5"/>
      <c r="Q71" s="7"/>
      <c r="R71" s="228"/>
      <c r="S71" s="229" t="s">
        <v>135</v>
      </c>
      <c r="T71" s="5"/>
      <c r="U71" s="5"/>
      <c r="V71" s="7"/>
      <c r="W71" s="229" t="s">
        <v>136</v>
      </c>
      <c r="X71" s="5"/>
      <c r="Y71" s="5"/>
      <c r="Z71" s="7"/>
      <c r="AA71" s="229" t="s">
        <v>137</v>
      </c>
      <c r="AB71" s="5"/>
      <c r="AC71" s="5"/>
      <c r="AD71" s="7"/>
      <c r="AE71" s="229" t="s">
        <v>138</v>
      </c>
      <c r="AF71" s="5"/>
      <c r="AG71" s="5"/>
      <c r="AH71" s="5"/>
      <c r="AI71" s="7"/>
      <c r="AJ71" s="9"/>
      <c r="BB71" s="209"/>
      <c r="BC71" s="226"/>
    </row>
    <row r="72" ht="15.75" customHeight="1">
      <c r="A72" s="219"/>
      <c r="B72" s="10"/>
      <c r="C72" s="11"/>
      <c r="D72" s="11"/>
      <c r="E72" s="11"/>
      <c r="F72" s="11"/>
      <c r="G72" s="11"/>
      <c r="H72" s="11"/>
      <c r="I72" s="11"/>
      <c r="J72" s="11"/>
      <c r="K72" s="11"/>
      <c r="L72" s="11"/>
      <c r="M72" s="11"/>
      <c r="N72" s="11"/>
      <c r="O72" s="11"/>
      <c r="P72" s="11"/>
      <c r="Q72" s="12"/>
      <c r="R72" s="230"/>
      <c r="S72" s="10"/>
      <c r="T72" s="11"/>
      <c r="U72" s="11"/>
      <c r="V72" s="12"/>
      <c r="W72" s="10"/>
      <c r="X72" s="11"/>
      <c r="Y72" s="11"/>
      <c r="Z72" s="12"/>
      <c r="AA72" s="10"/>
      <c r="AB72" s="11"/>
      <c r="AC72" s="11"/>
      <c r="AD72" s="12"/>
      <c r="AE72" s="10"/>
      <c r="AF72" s="11"/>
      <c r="AG72" s="11"/>
      <c r="AH72" s="11"/>
      <c r="AI72" s="12"/>
      <c r="AJ72" s="9"/>
      <c r="BB72" s="209"/>
      <c r="BC72" s="226"/>
    </row>
    <row r="73" ht="15.75" customHeight="1">
      <c r="A73" s="219"/>
      <c r="B73" s="231" t="str">
        <f>if(or(R72&gt;10,R72&lt;0),"잘못된 숫자를 넣으셨습니다.",
if(R72=1,"배움의 장소",
if(R72=2,"고향",
if(R72=3,"첫사랑을 만난 곳",
if(R72=4,"조용한 명상의 장소",
if(R72=5,"사교의 장소",
if(R72=6,"사상 또는 신앙과 관련된 장소",
if(R72=7,"중요한 사람의 무덤",
if(R72=8,"가족의 집",
if(R72=9,"가장 행복했던 시간을 보낸 곳",
if(R72=10,"직장",
"당신에게 의미있었던 장소는 어딘가요?")))))))))))</f>
        <v>당신에게 의미있었던 장소는 어딘가요?</v>
      </c>
      <c r="C73" s="105"/>
      <c r="D73" s="105"/>
      <c r="E73" s="105"/>
      <c r="F73" s="105"/>
      <c r="G73" s="105"/>
      <c r="H73" s="105"/>
      <c r="I73" s="105"/>
      <c r="J73" s="105"/>
      <c r="K73" s="105"/>
      <c r="L73" s="105"/>
      <c r="M73" s="105"/>
      <c r="N73" s="105"/>
      <c r="O73" s="105"/>
      <c r="P73" s="105"/>
      <c r="Q73" s="105"/>
      <c r="R73" s="107"/>
      <c r="S73" s="231" t="str">
        <f>R19</f>
        <v/>
      </c>
      <c r="T73" s="105"/>
      <c r="U73" s="105"/>
      <c r="V73" s="107"/>
      <c r="W73" s="232">
        <f>if((R19)&lt;=0,(10*1.3),if((R19)&lt;=9,(40*1.3),if((R19)&lt;=49,(200*1.3),if((R19)&lt;=89,(1000*1.3),if((R19)&lt;=98,(5000*1.3),100000)))))</f>
        <v>13</v>
      </c>
      <c r="X73" s="105"/>
      <c r="Y73" s="105"/>
      <c r="Z73" s="107"/>
      <c r="AA73" s="232">
        <f>if((R19)&lt;=0,(10*1.3),if((R19)&lt;=9,(R19*20*1.3),if((R19)&lt;=49,(R19*40*1.3),if((R19)&lt;=89,(R19*100*1.3),if((R19)&lt;=98,(R19*400*1.3),(1000000*1.3))))))</f>
        <v>13</v>
      </c>
      <c r="AB73" s="105"/>
      <c r="AC73" s="105"/>
      <c r="AD73" s="107"/>
      <c r="AE73" s="232" t="str">
        <f>if((R19)&lt;=0,"None",if((R19)&lt;=9,(R19*200*1.3),if((R19)&lt;=49,(R19*1000*1.3),if((R19)&lt;=89,(R19*10000*1.3),if((R19)&lt;=98,(R19*40000*1.3),"$100000000+")))))</f>
        <v>None</v>
      </c>
      <c r="AF73" s="105"/>
      <c r="AG73" s="105"/>
      <c r="AH73" s="105"/>
      <c r="AI73" s="107"/>
      <c r="AJ73" s="188"/>
      <c r="AK73" s="31"/>
      <c r="AL73" s="31"/>
      <c r="AM73" s="31"/>
      <c r="AN73" s="31"/>
      <c r="AO73" s="31"/>
      <c r="AP73" s="31"/>
      <c r="AQ73" s="31"/>
      <c r="AR73" s="31"/>
      <c r="AS73" s="31"/>
      <c r="AT73" s="31"/>
      <c r="AU73" s="31"/>
      <c r="AV73" s="31"/>
      <c r="AW73" s="31"/>
      <c r="AX73" s="31"/>
      <c r="AY73" s="31"/>
      <c r="AZ73" s="31"/>
      <c r="BA73" s="31"/>
      <c r="BB73" s="32"/>
      <c r="BC73" s="226"/>
    </row>
    <row r="74" ht="15.75" customHeight="1">
      <c r="A74" s="234"/>
      <c r="B74" s="235"/>
      <c r="C74" s="235"/>
      <c r="D74" s="235"/>
      <c r="E74" s="235"/>
      <c r="F74" s="235"/>
      <c r="G74" s="235"/>
      <c r="H74" s="235"/>
      <c r="I74" s="235"/>
      <c r="J74" s="235"/>
      <c r="K74" s="235"/>
      <c r="L74" s="235"/>
      <c r="M74" s="235"/>
      <c r="N74" s="235"/>
      <c r="O74" s="235"/>
      <c r="P74" s="235"/>
      <c r="Q74" s="235"/>
      <c r="R74" s="235"/>
      <c r="S74" s="235"/>
      <c r="T74" s="235"/>
      <c r="U74" s="235"/>
      <c r="V74" s="235"/>
      <c r="W74" s="235"/>
      <c r="X74" s="235"/>
      <c r="Y74" s="235"/>
      <c r="Z74" s="235"/>
      <c r="AA74" s="538"/>
      <c r="AB74" s="235"/>
      <c r="AC74" s="235"/>
      <c r="AD74" s="235"/>
      <c r="AE74" s="235"/>
      <c r="AF74" s="235"/>
      <c r="AG74" s="235"/>
      <c r="AH74" s="235"/>
      <c r="AI74" s="235"/>
      <c r="AJ74" s="236"/>
      <c r="AK74" s="237"/>
      <c r="AL74" s="238"/>
      <c r="AM74" s="237"/>
      <c r="AN74" s="237"/>
      <c r="AO74" s="237"/>
      <c r="AP74" s="237"/>
      <c r="AQ74" s="237"/>
      <c r="AR74" s="237"/>
      <c r="AS74" s="237"/>
      <c r="AT74" s="237"/>
      <c r="AU74" s="237"/>
      <c r="AV74" s="237"/>
      <c r="AW74" s="237"/>
      <c r="AX74" s="237"/>
      <c r="AY74" s="237"/>
      <c r="AZ74" s="237"/>
      <c r="BA74" s="237"/>
      <c r="BB74" s="237"/>
      <c r="BC74" s="239"/>
    </row>
    <row r="75" ht="15.75" customHeight="1">
      <c r="A75" s="240"/>
      <c r="B75" s="241" t="s">
        <v>139</v>
      </c>
      <c r="C75" s="24"/>
      <c r="D75" s="24"/>
      <c r="E75" s="24"/>
      <c r="F75" s="24"/>
      <c r="G75" s="24"/>
      <c r="H75" s="24"/>
      <c r="I75" s="24"/>
      <c r="J75" s="24"/>
      <c r="K75" s="24"/>
      <c r="L75" s="24"/>
      <c r="M75" s="25"/>
      <c r="N75" s="242" t="s">
        <v>140</v>
      </c>
      <c r="O75" s="24"/>
      <c r="P75" s="24"/>
      <c r="Q75" s="24"/>
      <c r="R75" s="24"/>
      <c r="S75" s="24"/>
      <c r="T75" s="24"/>
      <c r="U75" s="24"/>
      <c r="V75" s="24"/>
      <c r="W75" s="24"/>
      <c r="X75" s="24"/>
      <c r="Y75" s="25"/>
      <c r="Z75" s="242" t="s">
        <v>141</v>
      </c>
      <c r="AA75" s="24"/>
      <c r="AB75" s="24"/>
      <c r="AC75" s="24"/>
      <c r="AD75" s="24"/>
      <c r="AE75" s="24"/>
      <c r="AF75" s="24"/>
      <c r="AG75" s="24"/>
      <c r="AH75" s="24"/>
      <c r="AI75" s="24"/>
      <c r="AJ75" s="24"/>
      <c r="AK75" s="25"/>
      <c r="AL75" s="242" t="s">
        <v>142</v>
      </c>
      <c r="AM75" s="24"/>
      <c r="AN75" s="24"/>
      <c r="AO75" s="24"/>
      <c r="AP75" s="24"/>
      <c r="AQ75" s="24"/>
      <c r="AR75" s="24"/>
      <c r="AS75" s="24"/>
      <c r="AT75" s="24"/>
      <c r="AU75" s="24"/>
      <c r="AV75" s="24"/>
      <c r="AW75" s="25"/>
      <c r="AX75" s="243"/>
      <c r="AY75" s="244" t="s">
        <v>143</v>
      </c>
      <c r="AZ75" s="24"/>
      <c r="BA75" s="24"/>
      <c r="BB75" s="25"/>
      <c r="BC75" s="245"/>
    </row>
    <row r="76" ht="15.75" customHeight="1">
      <c r="A76" s="246"/>
      <c r="B76" s="247"/>
      <c r="C76" s="11"/>
      <c r="D76" s="11"/>
      <c r="E76" s="11"/>
      <c r="F76" s="11"/>
      <c r="G76" s="11"/>
      <c r="H76" s="11"/>
      <c r="I76" s="11"/>
      <c r="J76" s="11"/>
      <c r="K76" s="11"/>
      <c r="L76" s="11"/>
      <c r="M76" s="248"/>
      <c r="N76" s="10"/>
      <c r="O76" s="11"/>
      <c r="P76" s="11"/>
      <c r="Q76" s="11"/>
      <c r="R76" s="11"/>
      <c r="S76" s="11"/>
      <c r="T76" s="11"/>
      <c r="U76" s="11"/>
      <c r="V76" s="11"/>
      <c r="W76" s="11"/>
      <c r="X76" s="11"/>
      <c r="Y76" s="248"/>
      <c r="Z76" s="10"/>
      <c r="AA76" s="11"/>
      <c r="AB76" s="11"/>
      <c r="AC76" s="11"/>
      <c r="AD76" s="11"/>
      <c r="AE76" s="11"/>
      <c r="AF76" s="11"/>
      <c r="AG76" s="11"/>
      <c r="AH76" s="11"/>
      <c r="AI76" s="11"/>
      <c r="AJ76" s="11"/>
      <c r="AK76" s="248"/>
      <c r="AL76" s="10"/>
      <c r="AM76" s="11"/>
      <c r="AN76" s="11"/>
      <c r="AO76" s="11"/>
      <c r="AP76" s="11"/>
      <c r="AQ76" s="11"/>
      <c r="AR76" s="11"/>
      <c r="AS76" s="11"/>
      <c r="AT76" s="11"/>
      <c r="AU76" s="11"/>
      <c r="AV76" s="11"/>
      <c r="AW76" s="248"/>
      <c r="AX76" s="249"/>
      <c r="AY76" s="250"/>
      <c r="BB76" s="209"/>
      <c r="BC76" s="251"/>
    </row>
    <row r="77" ht="15.75" customHeight="1">
      <c r="A77" s="252"/>
      <c r="B77" s="257"/>
      <c r="C77" s="5"/>
      <c r="D77" s="5"/>
      <c r="E77" s="5"/>
      <c r="F77" s="5"/>
      <c r="G77" s="5"/>
      <c r="H77" s="5"/>
      <c r="I77" s="5"/>
      <c r="J77" s="5"/>
      <c r="K77" s="5"/>
      <c r="L77" s="5"/>
      <c r="M77" s="225"/>
      <c r="N77" s="254"/>
      <c r="O77" s="5"/>
      <c r="P77" s="5"/>
      <c r="Q77" s="5"/>
      <c r="R77" s="5"/>
      <c r="S77" s="5"/>
      <c r="T77" s="5"/>
      <c r="U77" s="5"/>
      <c r="V77" s="5"/>
      <c r="W77" s="5"/>
      <c r="X77" s="5"/>
      <c r="Y77" s="225"/>
      <c r="Z77" s="254"/>
      <c r="AA77" s="5"/>
      <c r="AB77" s="5"/>
      <c r="AC77" s="5"/>
      <c r="AD77" s="5"/>
      <c r="AE77" s="5"/>
      <c r="AF77" s="5"/>
      <c r="AG77" s="5"/>
      <c r="AH77" s="5"/>
      <c r="AI77" s="5"/>
      <c r="AJ77" s="5"/>
      <c r="AK77" s="225"/>
      <c r="AL77" s="254"/>
      <c r="AM77" s="5"/>
      <c r="AN77" s="5"/>
      <c r="AO77" s="5"/>
      <c r="AP77" s="5"/>
      <c r="AQ77" s="5"/>
      <c r="AR77" s="5"/>
      <c r="AS77" s="5"/>
      <c r="AT77" s="5"/>
      <c r="AU77" s="5"/>
      <c r="AV77" s="5"/>
      <c r="AW77" s="225"/>
      <c r="AX77" s="256"/>
      <c r="AY77" s="257"/>
      <c r="AZ77" s="5"/>
      <c r="BA77" s="5"/>
      <c r="BB77" s="225"/>
      <c r="BC77" s="258"/>
    </row>
    <row r="78" ht="15.75" customHeight="1">
      <c r="A78" s="259"/>
      <c r="B78" s="250"/>
      <c r="M78" s="209"/>
      <c r="N78" s="260"/>
      <c r="Y78" s="209"/>
      <c r="Z78" s="260"/>
      <c r="AK78" s="209"/>
      <c r="AL78" s="260"/>
      <c r="AW78" s="209"/>
      <c r="AX78" s="256"/>
      <c r="AY78" s="250"/>
      <c r="BB78" s="209"/>
      <c r="BC78" s="258"/>
    </row>
    <row r="79" ht="15.75" customHeight="1">
      <c r="A79" s="259"/>
      <c r="B79" s="250"/>
      <c r="M79" s="209"/>
      <c r="N79" s="260"/>
      <c r="Y79" s="209"/>
      <c r="Z79" s="260"/>
      <c r="AK79" s="209"/>
      <c r="AL79" s="260"/>
      <c r="AW79" s="209"/>
      <c r="AX79" s="256"/>
      <c r="AY79" s="250"/>
      <c r="BB79" s="209"/>
      <c r="BC79" s="258"/>
    </row>
    <row r="80" ht="15.75" customHeight="1">
      <c r="A80" s="259"/>
      <c r="B80" s="30"/>
      <c r="C80" s="31"/>
      <c r="D80" s="31"/>
      <c r="E80" s="31"/>
      <c r="F80" s="31"/>
      <c r="G80" s="31"/>
      <c r="H80" s="31"/>
      <c r="I80" s="31"/>
      <c r="J80" s="31"/>
      <c r="K80" s="31"/>
      <c r="L80" s="31"/>
      <c r="M80" s="32"/>
      <c r="N80" s="261"/>
      <c r="O80" s="31"/>
      <c r="P80" s="31"/>
      <c r="Q80" s="31"/>
      <c r="R80" s="31"/>
      <c r="S80" s="31"/>
      <c r="T80" s="31"/>
      <c r="U80" s="31"/>
      <c r="V80" s="31"/>
      <c r="W80" s="31"/>
      <c r="X80" s="31"/>
      <c r="Y80" s="32"/>
      <c r="Z80" s="261"/>
      <c r="AA80" s="31"/>
      <c r="AB80" s="31"/>
      <c r="AC80" s="31"/>
      <c r="AD80" s="31"/>
      <c r="AE80" s="31"/>
      <c r="AF80" s="31"/>
      <c r="AG80" s="31"/>
      <c r="AH80" s="31"/>
      <c r="AI80" s="31"/>
      <c r="AJ80" s="31"/>
      <c r="AK80" s="32"/>
      <c r="AL80" s="261"/>
      <c r="AM80" s="31"/>
      <c r="AN80" s="31"/>
      <c r="AO80" s="31"/>
      <c r="AP80" s="31"/>
      <c r="AQ80" s="31"/>
      <c r="AR80" s="31"/>
      <c r="AS80" s="31"/>
      <c r="AT80" s="31"/>
      <c r="AU80" s="31"/>
      <c r="AV80" s="31"/>
      <c r="AW80" s="32"/>
      <c r="AX80" s="262"/>
      <c r="AY80" s="30"/>
      <c r="AZ80" s="31"/>
      <c r="BA80" s="31"/>
      <c r="BB80" s="32"/>
      <c r="BC80" s="258"/>
    </row>
    <row r="81" ht="15.75" customHeight="1">
      <c r="A81" s="263"/>
      <c r="B81" s="264"/>
      <c r="C81" s="265"/>
      <c r="D81" s="265"/>
      <c r="E81" s="265"/>
      <c r="F81" s="265"/>
      <c r="G81" s="265"/>
      <c r="H81" s="265"/>
      <c r="I81" s="265"/>
      <c r="J81" s="265"/>
      <c r="K81" s="265"/>
      <c r="L81" s="265"/>
      <c r="M81" s="265"/>
      <c r="N81" s="265"/>
      <c r="O81" s="265"/>
      <c r="P81" s="265"/>
      <c r="Q81" s="265"/>
      <c r="R81" s="265"/>
      <c r="S81" s="265"/>
      <c r="T81" s="265"/>
      <c r="U81" s="265"/>
      <c r="V81" s="265"/>
      <c r="W81" s="265"/>
      <c r="X81" s="265"/>
      <c r="Y81" s="265"/>
      <c r="Z81" s="265"/>
      <c r="AA81" s="265"/>
      <c r="AB81" s="265"/>
      <c r="AC81" s="265"/>
      <c r="AD81" s="265"/>
      <c r="AE81" s="265"/>
      <c r="AF81" s="265"/>
      <c r="AG81" s="265"/>
      <c r="AH81" s="265"/>
      <c r="AI81" s="265"/>
      <c r="AJ81" s="265"/>
      <c r="AK81" s="265"/>
      <c r="AL81" s="266"/>
      <c r="AM81" s="265"/>
      <c r="AN81" s="265"/>
      <c r="AO81" s="265"/>
      <c r="AP81" s="265"/>
      <c r="AQ81" s="265"/>
      <c r="AR81" s="265"/>
      <c r="AS81" s="265"/>
      <c r="AT81" s="265"/>
      <c r="AU81" s="265"/>
      <c r="AV81" s="265"/>
      <c r="AW81" s="265"/>
      <c r="AX81" s="265"/>
      <c r="AY81" s="265"/>
      <c r="AZ81" s="265"/>
      <c r="BA81" s="265"/>
      <c r="BB81" s="265"/>
      <c r="BC81" s="267"/>
    </row>
    <row r="82" ht="15.75" customHeight="1">
      <c r="A82" s="268"/>
      <c r="B82" s="269" t="s">
        <v>144</v>
      </c>
      <c r="C82" s="24"/>
      <c r="D82" s="24"/>
      <c r="E82" s="270"/>
      <c r="F82" s="271" t="s">
        <v>145</v>
      </c>
      <c r="G82" s="24"/>
      <c r="H82" s="24"/>
      <c r="I82" s="270"/>
      <c r="J82" s="272" t="s">
        <v>146</v>
      </c>
      <c r="K82" s="24"/>
      <c r="L82" s="24"/>
      <c r="M82" s="270"/>
      <c r="N82" s="272" t="s">
        <v>147</v>
      </c>
      <c r="O82" s="24"/>
      <c r="P82" s="24"/>
      <c r="Q82" s="270"/>
      <c r="R82" s="271" t="s">
        <v>148</v>
      </c>
      <c r="S82" s="24"/>
      <c r="T82" s="24"/>
      <c r="U82" s="24"/>
      <c r="V82" s="271" t="s">
        <v>149</v>
      </c>
      <c r="W82" s="24"/>
      <c r="X82" s="24"/>
      <c r="Y82" s="24"/>
      <c r="Z82" s="273" t="s">
        <v>150</v>
      </c>
      <c r="AA82" s="24"/>
      <c r="AB82" s="24"/>
      <c r="AC82" s="24"/>
      <c r="AD82" s="274" t="s">
        <v>151</v>
      </c>
      <c r="AE82" s="24"/>
      <c r="AF82" s="24"/>
      <c r="AG82" s="270"/>
      <c r="AH82" s="271"/>
      <c r="AI82" s="24"/>
      <c r="AJ82" s="24"/>
      <c r="AK82" s="270"/>
      <c r="AL82" s="271"/>
      <c r="AM82" s="24"/>
      <c r="AN82" s="24"/>
      <c r="AO82" s="270"/>
      <c r="AP82" s="273"/>
      <c r="AQ82" s="24"/>
      <c r="AR82" s="24"/>
      <c r="AS82" s="270"/>
      <c r="AT82" s="271"/>
      <c r="AU82" s="24"/>
      <c r="AV82" s="24"/>
      <c r="AW82" s="270"/>
      <c r="AX82" s="271"/>
      <c r="AY82" s="24"/>
      <c r="AZ82" s="24"/>
      <c r="BA82" s="24"/>
      <c r="BB82" s="25"/>
      <c r="BC82" s="268"/>
    </row>
    <row r="83" ht="15.75" customHeight="1">
      <c r="A83" s="268"/>
      <c r="B83" s="30"/>
      <c r="C83" s="31"/>
      <c r="D83" s="31"/>
      <c r="E83" s="275"/>
      <c r="F83" s="188"/>
      <c r="G83" s="31"/>
      <c r="H83" s="31"/>
      <c r="I83" s="275"/>
      <c r="J83" s="188"/>
      <c r="K83" s="31"/>
      <c r="L83" s="31"/>
      <c r="M83" s="275"/>
      <c r="N83" s="188"/>
      <c r="O83" s="31"/>
      <c r="P83" s="31"/>
      <c r="Q83" s="275"/>
      <c r="R83" s="188"/>
      <c r="S83" s="31"/>
      <c r="T83" s="31"/>
      <c r="U83" s="31"/>
      <c r="V83" s="188"/>
      <c r="W83" s="31"/>
      <c r="X83" s="31"/>
      <c r="Y83" s="31"/>
      <c r="Z83" s="188"/>
      <c r="AA83" s="31"/>
      <c r="AB83" s="31"/>
      <c r="AC83" s="31"/>
      <c r="AD83" s="188"/>
      <c r="AE83" s="31"/>
      <c r="AF83" s="31"/>
      <c r="AG83" s="275"/>
      <c r="AH83" s="188"/>
      <c r="AI83" s="31"/>
      <c r="AJ83" s="31"/>
      <c r="AK83" s="275"/>
      <c r="AL83" s="188"/>
      <c r="AM83" s="31"/>
      <c r="AN83" s="31"/>
      <c r="AO83" s="275"/>
      <c r="AP83" s="188"/>
      <c r="AQ83" s="31"/>
      <c r="AR83" s="31"/>
      <c r="AS83" s="275"/>
      <c r="AT83" s="188"/>
      <c r="AU83" s="31"/>
      <c r="AV83" s="31"/>
      <c r="AW83" s="275"/>
      <c r="AX83" s="188"/>
      <c r="AY83" s="31"/>
      <c r="AZ83" s="31"/>
      <c r="BA83" s="31"/>
      <c r="BB83" s="32"/>
      <c r="BC83" s="268"/>
    </row>
    <row r="84" ht="15.75" customHeight="1">
      <c r="A84" s="268"/>
      <c r="B84" s="276" t="s">
        <v>152</v>
      </c>
      <c r="E84" s="15"/>
      <c r="F84" s="277" t="s">
        <v>153</v>
      </c>
      <c r="I84" s="15"/>
      <c r="J84" s="278" t="s">
        <v>154</v>
      </c>
      <c r="M84" s="15"/>
      <c r="N84" s="278" t="s">
        <v>155</v>
      </c>
      <c r="Q84" s="15"/>
      <c r="R84" s="279" t="s">
        <v>156</v>
      </c>
      <c r="V84" s="279" t="s">
        <v>157</v>
      </c>
      <c r="Z84" s="278" t="s">
        <v>158</v>
      </c>
      <c r="AD84" s="280" t="s">
        <v>159</v>
      </c>
      <c r="AG84" s="15"/>
      <c r="AH84" s="279"/>
      <c r="AK84" s="15"/>
      <c r="AL84" s="279"/>
      <c r="AO84" s="15"/>
      <c r="AP84" s="278"/>
      <c r="AS84" s="15"/>
      <c r="AT84" s="279"/>
      <c r="AW84" s="15"/>
      <c r="AX84" s="279"/>
      <c r="BB84" s="209"/>
      <c r="BC84" s="268"/>
    </row>
    <row r="85" ht="15.75" customHeight="1">
      <c r="A85" s="268"/>
      <c r="B85" s="250"/>
      <c r="E85" s="15"/>
      <c r="F85" s="9"/>
      <c r="I85" s="15"/>
      <c r="J85" s="9"/>
      <c r="M85" s="15"/>
      <c r="N85" s="9"/>
      <c r="Q85" s="15"/>
      <c r="R85" s="9"/>
      <c r="V85" s="9"/>
      <c r="Z85" s="9"/>
      <c r="AD85" s="9"/>
      <c r="AG85" s="15"/>
      <c r="AH85" s="9"/>
      <c r="AK85" s="15"/>
      <c r="AL85" s="9"/>
      <c r="AO85" s="15"/>
      <c r="AP85" s="9"/>
      <c r="AS85" s="15"/>
      <c r="AT85" s="9"/>
      <c r="AW85" s="15"/>
      <c r="AX85" s="9"/>
      <c r="BB85" s="209"/>
      <c r="BC85" s="268"/>
    </row>
    <row r="86" ht="15.75" customHeight="1">
      <c r="A86" s="268"/>
      <c r="B86" s="250"/>
      <c r="E86" s="15"/>
      <c r="F86" s="9"/>
      <c r="I86" s="15"/>
      <c r="J86" s="9"/>
      <c r="M86" s="15"/>
      <c r="N86" s="9"/>
      <c r="Q86" s="15"/>
      <c r="R86" s="9"/>
      <c r="V86" s="9"/>
      <c r="Z86" s="9"/>
      <c r="AD86" s="9"/>
      <c r="AG86" s="15"/>
      <c r="AH86" s="9"/>
      <c r="AK86" s="15"/>
      <c r="AL86" s="9"/>
      <c r="AO86" s="15"/>
      <c r="AP86" s="9"/>
      <c r="AS86" s="15"/>
      <c r="AT86" s="9"/>
      <c r="AW86" s="15"/>
      <c r="AX86" s="9"/>
      <c r="BB86" s="209"/>
      <c r="BC86" s="268"/>
    </row>
    <row r="87" ht="15.75" customHeight="1">
      <c r="A87" s="281"/>
      <c r="B87" s="30"/>
      <c r="C87" s="31"/>
      <c r="D87" s="31"/>
      <c r="E87" s="275"/>
      <c r="F87" s="188"/>
      <c r="G87" s="31"/>
      <c r="H87" s="31"/>
      <c r="I87" s="275"/>
      <c r="J87" s="188"/>
      <c r="K87" s="31"/>
      <c r="L87" s="31"/>
      <c r="M87" s="275"/>
      <c r="N87" s="188"/>
      <c r="O87" s="31"/>
      <c r="P87" s="31"/>
      <c r="Q87" s="275"/>
      <c r="R87" s="9"/>
      <c r="V87" s="9"/>
      <c r="Z87" s="9"/>
      <c r="AD87" s="188"/>
      <c r="AE87" s="31"/>
      <c r="AF87" s="31"/>
      <c r="AG87" s="275"/>
      <c r="AH87" s="188"/>
      <c r="AI87" s="31"/>
      <c r="AJ87" s="31"/>
      <c r="AK87" s="275"/>
      <c r="AL87" s="188"/>
      <c r="AM87" s="31"/>
      <c r="AN87" s="31"/>
      <c r="AO87" s="275"/>
      <c r="AP87" s="188"/>
      <c r="AQ87" s="31"/>
      <c r="AR87" s="31"/>
      <c r="AS87" s="275"/>
      <c r="AT87" s="188"/>
      <c r="AU87" s="31"/>
      <c r="AV87" s="31"/>
      <c r="AW87" s="275"/>
      <c r="AX87" s="188"/>
      <c r="AY87" s="31"/>
      <c r="AZ87" s="31"/>
      <c r="BA87" s="31"/>
      <c r="BB87" s="32"/>
      <c r="BC87" s="268"/>
    </row>
    <row r="88" ht="15.75" customHeight="1" collapsed="1">
      <c r="A88" s="282"/>
      <c r="B88" s="265"/>
      <c r="C88" s="265"/>
      <c r="D88" s="265"/>
      <c r="E88" s="265"/>
      <c r="F88" s="265"/>
      <c r="G88" s="265"/>
      <c r="H88" s="265"/>
      <c r="I88" s="265"/>
      <c r="J88" s="265"/>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65"/>
      <c r="AK88" s="265"/>
      <c r="AL88" s="265"/>
      <c r="AM88" s="265"/>
      <c r="AN88" s="265"/>
      <c r="AO88" s="265"/>
      <c r="AP88" s="265"/>
      <c r="AQ88" s="265"/>
      <c r="AR88" s="265"/>
      <c r="AS88" s="265"/>
      <c r="AT88" s="265"/>
      <c r="AU88" s="265"/>
      <c r="AV88" s="265"/>
      <c r="AW88" s="265"/>
      <c r="AX88" s="284" t="s">
        <v>160</v>
      </c>
      <c r="BB88" s="209"/>
      <c r="BC88" s="285"/>
    </row>
    <row r="89" ht="15.75" hidden="1" customHeight="1" outlineLevel="1">
      <c r="A89" s="287" t="str">
        <f t="shared" ref="A89:A106" si="18">concatenate("cc&lt;=",I19," ",C19)</f>
        <v>cc&lt;=25 관찰력</v>
      </c>
    </row>
    <row r="90" ht="15.75" hidden="1" customHeight="1" outlineLevel="1">
      <c r="A90" s="287" t="str">
        <f t="shared" si="18"/>
        <v>cc&lt;=20 듣기</v>
      </c>
    </row>
    <row r="91" ht="15.75" hidden="1" customHeight="1" outlineLevel="1">
      <c r="A91" s="287" t="str">
        <f t="shared" si="18"/>
        <v>cc&lt;=20 자료조사</v>
      </c>
    </row>
    <row r="92" ht="15.75" hidden="1" customHeight="1" outlineLevel="1">
      <c r="A92" s="287" t="str">
        <f t="shared" si="18"/>
        <v>cc&lt;=5 컴퓨터 사용</v>
      </c>
    </row>
    <row r="93" ht="15.75" hidden="1" customHeight="1" outlineLevel="1">
      <c r="A93" s="287" t="str">
        <f t="shared" si="18"/>
        <v>cc&lt;=1 전자기기</v>
      </c>
    </row>
    <row r="94" ht="15.75" hidden="1" customHeight="1" outlineLevel="1">
      <c r="A94" s="287" t="str">
        <f t="shared" si="18"/>
        <v>cc&lt;=10 전기수리</v>
      </c>
    </row>
    <row r="95" ht="15.75" hidden="1" customHeight="1" outlineLevel="1">
      <c r="A95" s="287" t="str">
        <f t="shared" si="18"/>
        <v>cc&lt;=10 기계수리</v>
      </c>
    </row>
    <row r="96" ht="15.75" hidden="1" customHeight="1" outlineLevel="1">
      <c r="A96" s="287" t="str">
        <f t="shared" si="18"/>
        <v>cc&lt;=20 자동차 운전</v>
      </c>
    </row>
    <row r="97" ht="15.75" hidden="1" customHeight="1" outlineLevel="1">
      <c r="A97" s="287" t="str">
        <f t="shared" si="18"/>
        <v>cc&lt;=1 중장비 조작</v>
      </c>
    </row>
    <row r="98" ht="15.75" hidden="1" customHeight="1" outlineLevel="1">
      <c r="A98" s="287" t="str">
        <f t="shared" si="18"/>
        <v>cc&lt;=1 파일럿()</v>
      </c>
    </row>
    <row r="99" ht="15.75" hidden="1" customHeight="1" outlineLevel="1">
      <c r="A99" s="287" t="str">
        <f t="shared" si="18"/>
        <v>cc&lt;=0 </v>
      </c>
    </row>
    <row r="100" ht="15.75" hidden="1" customHeight="1" outlineLevel="1">
      <c r="A100" s="287" t="str">
        <f t="shared" si="18"/>
        <v>cc&lt;=10 항법</v>
      </c>
    </row>
    <row r="101" ht="15.75" hidden="1" customHeight="1" outlineLevel="1">
      <c r="A101" s="287" t="str">
        <f t="shared" si="18"/>
        <v>cc&lt;=10 추적</v>
      </c>
    </row>
    <row r="102" ht="15.75" hidden="1" customHeight="1" outlineLevel="1">
      <c r="A102" s="287" t="str">
        <f t="shared" si="18"/>
        <v>cc&lt;=5 승마</v>
      </c>
    </row>
    <row r="103" ht="15.75" hidden="1" customHeight="1" outlineLevel="1">
      <c r="A103" s="287" t="str">
        <f t="shared" si="18"/>
        <v>cc&lt;=5 조련</v>
      </c>
    </row>
    <row r="104" ht="15.75" hidden="1" customHeight="1" outlineLevel="1">
      <c r="A104" s="287" t="str">
        <f t="shared" si="18"/>
        <v>cc&lt;=0 </v>
      </c>
    </row>
    <row r="105" ht="15.75" hidden="1" customHeight="1" outlineLevel="1">
      <c r="A105" s="287" t="str">
        <f t="shared" si="18"/>
        <v>cc&lt;=1 폭파</v>
      </c>
    </row>
    <row r="106" ht="15.75" hidden="1" customHeight="1" outlineLevel="1">
      <c r="A106" s="287" t="str">
        <f t="shared" si="18"/>
        <v>cc&lt;=1 포격</v>
      </c>
    </row>
    <row r="107" ht="15.75" hidden="1" customHeight="1" outlineLevel="1">
      <c r="A107" s="287" t="str">
        <f t="shared" ref="A107:A124" si="19">concatenate("cc&lt;=",S19," ",M19)</f>
        <v>cc&lt;=0 재력</v>
      </c>
    </row>
    <row r="108" ht="15.75" hidden="1" customHeight="1" outlineLevel="1">
      <c r="A108" s="287" t="str">
        <f t="shared" si="19"/>
        <v>cc&lt;=5 회계</v>
      </c>
    </row>
    <row r="109" ht="15.75" hidden="1" customHeight="1" outlineLevel="1">
      <c r="A109" s="287" t="str">
        <f t="shared" si="19"/>
        <v>cc&lt;=10 자연</v>
      </c>
    </row>
    <row r="110" ht="15.75" hidden="1" customHeight="1" outlineLevel="1">
      <c r="A110" s="287" t="str">
        <f t="shared" si="19"/>
        <v>cc&lt;=1 과학()</v>
      </c>
    </row>
    <row r="111" ht="15.75" hidden="1" customHeight="1" outlineLevel="1">
      <c r="A111" s="287" t="str">
        <f t="shared" si="19"/>
        <v>cc&lt;=0 </v>
      </c>
    </row>
    <row r="112" ht="15.75" hidden="1" customHeight="1" outlineLevel="1">
      <c r="A112" s="287" t="str">
        <f t="shared" si="19"/>
        <v>cc&lt;=0 </v>
      </c>
    </row>
    <row r="113" ht="15.75" hidden="1" customHeight="1" outlineLevel="1">
      <c r="A113" s="287" t="str">
        <f t="shared" si="19"/>
        <v>cc&lt;=5 법률</v>
      </c>
    </row>
    <row r="114" ht="15.75" hidden="1" customHeight="1" outlineLevel="1">
      <c r="A114" s="287" t="str">
        <f t="shared" si="19"/>
        <v>cc&lt;=1 인류학</v>
      </c>
    </row>
    <row r="115" ht="15.75" hidden="1" customHeight="1" outlineLevel="1">
      <c r="A115" s="287" t="str">
        <f t="shared" si="19"/>
        <v>cc&lt;=5 역사</v>
      </c>
    </row>
    <row r="116" ht="15.75" hidden="1" customHeight="1" outlineLevel="1">
      <c r="A116" s="287" t="str">
        <f t="shared" si="19"/>
        <v>cc&lt;=1 고고학</v>
      </c>
    </row>
    <row r="117" ht="15.75" hidden="1" customHeight="1" outlineLevel="1">
      <c r="A117" s="287" t="str">
        <f t="shared" si="19"/>
        <v>cc&lt;=5 감정</v>
      </c>
    </row>
    <row r="118" ht="15.75" hidden="1" customHeight="1" outlineLevel="1">
      <c r="A118" s="287" t="str">
        <f t="shared" si="19"/>
        <v>cc&lt;=5 예술/공예</v>
      </c>
    </row>
    <row r="119" ht="15.75" hidden="1" customHeight="1" outlineLevel="1">
      <c r="A119" s="287" t="str">
        <f t="shared" si="19"/>
        <v>cc&lt;=0 </v>
      </c>
    </row>
    <row r="120" ht="15.75" hidden="1" customHeight="1" outlineLevel="1">
      <c r="A120" s="287" t="str">
        <f t="shared" si="19"/>
        <v>cc&lt;=1 독순술</v>
      </c>
    </row>
    <row r="121" ht="15.75" hidden="1" customHeight="1" outlineLevel="1">
      <c r="A121" s="287" t="str">
        <f t="shared" si="19"/>
        <v>cc&lt;=5 동물 다루기</v>
      </c>
    </row>
    <row r="122" ht="15.75" hidden="1" customHeight="1" outlineLevel="1">
      <c r="A122" s="287" t="str">
        <f t="shared" si="19"/>
        <v>cc&lt;=1 잠수</v>
      </c>
    </row>
    <row r="123" ht="15.75" hidden="1" customHeight="1" outlineLevel="1">
      <c r="A123" s="287" t="str">
        <f t="shared" si="19"/>
        <v>cc&lt;=1 최면술</v>
      </c>
    </row>
    <row r="124" ht="15.75" hidden="1" customHeight="1" outlineLevel="1">
      <c r="A124" s="287" t="str">
        <f t="shared" si="19"/>
        <v>cc&lt;=1 비밀 지식</v>
      </c>
    </row>
    <row r="125" ht="15.75" hidden="1" customHeight="1" outlineLevel="1">
      <c r="A125" s="287" t="str">
        <f t="shared" ref="A125:A142" si="20">concatenate("cc&lt;=",AC19," ",W19)</f>
        <v>cc&lt;=0 크툴루 신화</v>
      </c>
    </row>
    <row r="126" ht="15.75" hidden="1" customHeight="1" outlineLevel="1">
      <c r="A126" s="287" t="str">
        <f t="shared" si="20"/>
        <v>cc&lt;=5 오컬트</v>
      </c>
    </row>
    <row r="127" ht="15.75" hidden="1" customHeight="1" outlineLevel="1">
      <c r="A127" s="287" t="str">
        <f t="shared" si="20"/>
        <v>cc&lt;=1 정신분석</v>
      </c>
    </row>
    <row r="128" ht="15.75" hidden="1" customHeight="1" outlineLevel="1">
      <c r="A128" s="287" t="str">
        <f t="shared" si="20"/>
        <v>cc&lt;=10 심리학</v>
      </c>
    </row>
    <row r="129" ht="15.75" hidden="1" customHeight="1" outlineLevel="1">
      <c r="A129" s="287" t="str">
        <f t="shared" si="20"/>
        <v>cc&lt;=15 위협</v>
      </c>
    </row>
    <row r="130" ht="15.75" hidden="1" customHeight="1" outlineLevel="1">
      <c r="A130" s="287" t="str">
        <f t="shared" si="20"/>
        <v>cc&lt;=15 매혹</v>
      </c>
    </row>
    <row r="131" ht="15.75" hidden="1" customHeight="1" outlineLevel="1">
      <c r="A131" s="287" t="str">
        <f t="shared" si="20"/>
        <v>cc&lt;=5 말재주</v>
      </c>
    </row>
    <row r="132" ht="15.75" hidden="1" customHeight="1" outlineLevel="1">
      <c r="A132" s="287" t="str">
        <f t="shared" si="20"/>
        <v>cc&lt;=10 설득</v>
      </c>
    </row>
    <row r="133" ht="15.75" hidden="1" customHeight="1" outlineLevel="1">
      <c r="A133" s="287" t="str">
        <f t="shared" si="20"/>
        <v>cc&lt;=0 모국어</v>
      </c>
    </row>
    <row r="134" ht="15.75" hidden="1" customHeight="1" outlineLevel="1">
      <c r="A134" s="287" t="str">
        <f t="shared" si="20"/>
        <v>cc&lt;=1 외국어()</v>
      </c>
    </row>
    <row r="135" ht="15.75" hidden="1" customHeight="1" outlineLevel="1">
      <c r="A135" s="287" t="str">
        <f t="shared" si="20"/>
        <v>cc&lt;=0 </v>
      </c>
    </row>
    <row r="136" ht="15.75" hidden="1" customHeight="1" outlineLevel="1">
      <c r="A136" s="287" t="str">
        <f t="shared" si="20"/>
        <v>cc&lt;=20 투척</v>
      </c>
    </row>
    <row r="137" ht="15.75" hidden="1" customHeight="1" outlineLevel="1">
      <c r="A137" s="287" t="str">
        <f t="shared" si="20"/>
        <v>cc&lt;=25 근접전(격투)</v>
      </c>
    </row>
    <row r="138" ht="15.75" hidden="1" customHeight="1" outlineLevel="1">
      <c r="A138" s="287" t="str">
        <f t="shared" si="20"/>
        <v>cc&lt;=20 근접전(도검)</v>
      </c>
    </row>
    <row r="139" ht="15.75" hidden="1" customHeight="1" outlineLevel="1">
      <c r="A139" s="287" t="str">
        <f t="shared" si="20"/>
        <v>cc&lt;=15 근접전(도끼)</v>
      </c>
    </row>
    <row r="140" ht="15.75" hidden="1" customHeight="1" outlineLevel="1">
      <c r="A140" s="287" t="str">
        <f t="shared" si="20"/>
        <v>cc&lt;=20 근접전(창)</v>
      </c>
    </row>
    <row r="141" ht="15.75" hidden="1" customHeight="1" outlineLevel="1">
      <c r="A141" s="287" t="str">
        <f t="shared" si="20"/>
        <v>cc&lt;=5 근접전(채찍)</v>
      </c>
    </row>
    <row r="142" ht="15.75" hidden="1" customHeight="1" outlineLevel="1">
      <c r="A142" s="287" t="str">
        <f t="shared" si="20"/>
        <v>cc&lt;=10 근접전(기타)</v>
      </c>
    </row>
    <row r="143" ht="15.75" hidden="1" customHeight="1" outlineLevel="1">
      <c r="A143" s="287" t="str">
        <f t="shared" ref="A143:A160" si="21">concatenate("cc&lt;=",AM19," ",AG19)</f>
        <v>cc&lt;=1 의료</v>
      </c>
    </row>
    <row r="144" ht="15.75" hidden="1" customHeight="1" outlineLevel="1">
      <c r="A144" s="287" t="str">
        <f t="shared" si="21"/>
        <v>cc&lt;=30 응급처치</v>
      </c>
    </row>
    <row r="145" ht="15.75" hidden="1" customHeight="1" outlineLevel="1">
      <c r="A145" s="287" t="str">
        <f t="shared" si="21"/>
        <v>cc&lt;=10 생존술()</v>
      </c>
    </row>
    <row r="146" ht="15.75" hidden="1" customHeight="1" outlineLevel="1">
      <c r="A146" s="287" t="str">
        <f t="shared" si="21"/>
        <v>cc&lt;=20 수영</v>
      </c>
    </row>
    <row r="147" ht="15.75" hidden="1" customHeight="1" outlineLevel="1">
      <c r="A147" s="287" t="str">
        <f t="shared" si="21"/>
        <v>cc&lt;=20 오르기</v>
      </c>
    </row>
    <row r="148" ht="15.75" hidden="1" customHeight="1" outlineLevel="1">
      <c r="A148" s="287" t="str">
        <f t="shared" si="21"/>
        <v>cc&lt;=20 도약</v>
      </c>
    </row>
    <row r="149" ht="15.75" hidden="1" customHeight="1" outlineLevel="1">
      <c r="A149" s="287" t="str">
        <f t="shared" si="21"/>
        <v>cc&lt;=0 회피</v>
      </c>
    </row>
    <row r="150" ht="15.75" hidden="1" customHeight="1" outlineLevel="1">
      <c r="A150" s="287" t="str">
        <f t="shared" si="21"/>
        <v>cc&lt;=5 변장</v>
      </c>
    </row>
    <row r="151" ht="15.75" hidden="1" customHeight="1" outlineLevel="1">
      <c r="A151" s="287" t="str">
        <f t="shared" si="21"/>
        <v>cc&lt;=20 은밀행동</v>
      </c>
    </row>
    <row r="152" ht="15.75" hidden="1" customHeight="1" outlineLevel="1">
      <c r="A152" s="287" t="str">
        <f t="shared" si="21"/>
        <v>cc&lt;=10 손놀림</v>
      </c>
    </row>
    <row r="153" ht="15.75" hidden="1" customHeight="1" outlineLevel="1">
      <c r="A153" s="287" t="str">
        <f t="shared" si="21"/>
        <v>cc&lt;=1 열쇠공</v>
      </c>
    </row>
    <row r="154" ht="15.75" hidden="1" customHeight="1" outlineLevel="1">
      <c r="A154" s="287" t="str">
        <f t="shared" si="21"/>
        <v>cc&lt;=20 사격(권총)</v>
      </c>
    </row>
    <row r="155" ht="15.75" hidden="1" customHeight="1" outlineLevel="1">
      <c r="A155" s="287" t="str">
        <f t="shared" si="21"/>
        <v>cc&lt;=25 사격(소총)</v>
      </c>
    </row>
    <row r="156" ht="15.75" hidden="1" customHeight="1" outlineLevel="1">
      <c r="A156" s="287" t="str">
        <f t="shared" si="21"/>
        <v>cc&lt;=15 사격(기관단총)</v>
      </c>
    </row>
    <row r="157" ht="15.75" hidden="1" customHeight="1" outlineLevel="1">
      <c r="A157" s="287" t="str">
        <f t="shared" si="21"/>
        <v>cc&lt;=10 사격(기관총)</v>
      </c>
    </row>
    <row r="158" ht="15.75" hidden="1" customHeight="1" outlineLevel="1">
      <c r="A158" s="287" t="str">
        <f t="shared" si="21"/>
        <v>cc&lt;=15 사격(활)</v>
      </c>
    </row>
    <row r="159" ht="15.75" hidden="1" customHeight="1" outlineLevel="1">
      <c r="A159" s="287" t="str">
        <f t="shared" si="21"/>
        <v>cc&lt;=10 사격(중화기)</v>
      </c>
    </row>
    <row r="160" ht="15.75" hidden="1" customHeight="1" outlineLevel="1">
      <c r="A160" s="287" t="str">
        <f t="shared" si="21"/>
        <v>cc&lt;=10 화염방사기</v>
      </c>
    </row>
    <row r="161" ht="15.75" hidden="1" customHeight="1" outlineLevel="1">
      <c r="A161" s="287" t="str">
        <f>concatenate("cc&lt;=",V10," ","근력")</f>
        <v>cc&lt;= 근력</v>
      </c>
    </row>
    <row r="162" ht="15.75" hidden="1" customHeight="1" outlineLevel="1">
      <c r="A162" s="287" t="str">
        <f>concatenate("cc&lt;=",V12," ","건강")</f>
        <v>cc&lt;= 건강</v>
      </c>
    </row>
    <row r="163" ht="15.75" hidden="1" customHeight="1" outlineLevel="1">
      <c r="A163" s="287" t="str">
        <f>concatenate("cc&lt;=",V14," ","크기")</f>
        <v>cc&lt;= 크기</v>
      </c>
    </row>
    <row r="164" ht="15.75" hidden="1" customHeight="1" outlineLevel="1">
      <c r="A164" s="287" t="str">
        <f>concatenate("cc&lt;=",AD10," ","민첩")</f>
        <v>cc&lt;= 민첩</v>
      </c>
    </row>
    <row r="165" ht="15.75" hidden="1" customHeight="1" outlineLevel="1">
      <c r="A165" s="287" t="str">
        <f>concatenate("cc&lt;=",AD12," ","외모")</f>
        <v>cc&lt;= 외모</v>
      </c>
    </row>
    <row r="166" ht="15.75" hidden="1" customHeight="1" outlineLevel="1">
      <c r="A166" s="287" t="str">
        <f>concatenate("cc&lt;=",AD14," ","지능(아이디어)")</f>
        <v>cc&lt;= 지능(아이디어)</v>
      </c>
    </row>
    <row r="167" ht="15.75" hidden="1" customHeight="1" outlineLevel="1">
      <c r="A167" s="287" t="str">
        <f>concatenate("cc&lt;=",AL10," ","정신력")</f>
        <v>cc&lt;= 정신력</v>
      </c>
    </row>
    <row r="168" ht="15.75" hidden="1" customHeight="1" outlineLevel="1">
      <c r="A168" s="287" t="str">
        <f>concatenate("cc&lt;=",AL12," ","교육(지식)")</f>
        <v>cc&lt;= 교육(지식)</v>
      </c>
    </row>
    <row r="169" ht="15.75" hidden="1" customHeight="1" outlineLevel="1">
      <c r="A169" s="288" t="s">
        <v>162</v>
      </c>
    </row>
    <row r="170" ht="15.75" hidden="1" customHeight="1" outlineLevel="1">
      <c r="A170" s="288" t="s">
        <v>163</v>
      </c>
    </row>
    <row r="171" ht="15.75" hidden="1" customHeight="1" outlineLevel="1">
      <c r="A171" s="288" t="str">
        <f t="shared" ref="A171:A177" si="22">if(OR(B41="",S41=""),"",concatenate(S41," ","피해","(",B41,")"))</f>
        <v>1d3+{DB} 피해(맨손)</v>
      </c>
    </row>
    <row r="172" ht="15.75" hidden="1" customHeight="1" outlineLevel="1">
      <c r="A172" s="288" t="str">
        <f t="shared" si="22"/>
        <v/>
      </c>
    </row>
    <row r="173" ht="15.75" hidden="1" customHeight="1" outlineLevel="1">
      <c r="A173" s="288" t="str">
        <f t="shared" si="22"/>
        <v/>
      </c>
    </row>
    <row r="174" ht="15.75" hidden="1" customHeight="1" outlineLevel="1">
      <c r="A174" s="288" t="str">
        <f t="shared" si="22"/>
        <v/>
      </c>
    </row>
    <row r="175" ht="15.75" hidden="1" customHeight="1" outlineLevel="1">
      <c r="A175" s="288" t="str">
        <f t="shared" si="22"/>
        <v/>
      </c>
    </row>
    <row r="176" ht="15.75" hidden="1" customHeight="1" outlineLevel="1">
      <c r="A176" s="288" t="str">
        <f t="shared" si="22"/>
        <v/>
      </c>
    </row>
    <row r="177" ht="15.75" hidden="1" customHeight="1" outlineLevel="1">
      <c r="A177" s="288" t="str">
        <f t="shared" si="22"/>
        <v/>
      </c>
    </row>
    <row r="178" ht="15.75" customHeight="1">
      <c r="A178" s="288"/>
      <c r="B178" s="288"/>
      <c r="C178" s="288"/>
      <c r="D178" s="288"/>
      <c r="E178" s="288"/>
      <c r="F178" s="288"/>
      <c r="G178" s="288"/>
      <c r="H178" s="288"/>
      <c r="I178" s="288"/>
      <c r="J178" s="288"/>
      <c r="K178" s="288"/>
      <c r="L178" s="288"/>
      <c r="M178" s="288"/>
      <c r="N178" s="288"/>
      <c r="O178" s="287"/>
      <c r="P178" s="287"/>
      <c r="Q178" s="287"/>
      <c r="R178" s="287"/>
      <c r="S178" s="287"/>
      <c r="T178" s="287"/>
      <c r="U178" s="287"/>
      <c r="V178" s="287"/>
      <c r="W178" s="287"/>
      <c r="X178" s="287"/>
      <c r="Y178" s="287"/>
      <c r="Z178" s="287"/>
      <c r="AA178" s="287"/>
      <c r="AB178" s="287"/>
      <c r="AC178" s="287"/>
      <c r="AD178" s="287"/>
      <c r="AE178" s="287"/>
      <c r="AF178" s="287"/>
      <c r="AG178" s="287"/>
      <c r="AH178" s="287"/>
      <c r="AI178" s="287"/>
      <c r="AJ178" s="287"/>
      <c r="AK178" s="287"/>
      <c r="AL178" s="287"/>
      <c r="AM178" s="287"/>
      <c r="AN178" s="287"/>
      <c r="AO178" s="287"/>
      <c r="AP178" s="287"/>
      <c r="AQ178" s="287"/>
      <c r="AR178" s="287"/>
      <c r="AS178" s="287"/>
      <c r="AT178" s="287"/>
      <c r="AU178" s="287"/>
      <c r="AV178" s="287"/>
      <c r="AW178" s="287"/>
      <c r="AX178" s="287"/>
      <c r="AY178" s="287"/>
      <c r="AZ178" s="287"/>
      <c r="BA178" s="287"/>
      <c r="BB178" s="287"/>
      <c r="BC178" s="287"/>
    </row>
    <row r="179" ht="15.75" customHeight="1">
      <c r="A179" s="287"/>
      <c r="B179" s="287"/>
      <c r="C179" s="287"/>
      <c r="D179" s="287"/>
      <c r="E179" s="287"/>
      <c r="F179" s="287"/>
      <c r="G179" s="287"/>
      <c r="H179" s="287"/>
      <c r="I179" s="287"/>
      <c r="J179" s="287"/>
      <c r="K179" s="287"/>
      <c r="L179" s="287"/>
      <c r="M179" s="287"/>
      <c r="N179" s="287"/>
      <c r="O179" s="287"/>
      <c r="P179" s="287"/>
      <c r="Q179" s="287"/>
      <c r="R179" s="287"/>
      <c r="S179" s="287"/>
      <c r="T179" s="287"/>
      <c r="U179" s="287"/>
      <c r="V179" s="287"/>
      <c r="W179" s="287"/>
      <c r="X179" s="287"/>
      <c r="Y179" s="287"/>
      <c r="Z179" s="287"/>
      <c r="AA179" s="287"/>
      <c r="AB179" s="287"/>
      <c r="AC179" s="287"/>
      <c r="AD179" s="287"/>
      <c r="AE179" s="287"/>
      <c r="AF179" s="287"/>
      <c r="AG179" s="287"/>
      <c r="AH179" s="287"/>
      <c r="AI179" s="287"/>
      <c r="AJ179" s="287"/>
      <c r="AK179" s="287"/>
      <c r="AL179" s="287"/>
      <c r="AM179" s="287"/>
      <c r="AN179" s="287"/>
      <c r="AO179" s="287"/>
      <c r="AP179" s="287"/>
      <c r="AQ179" s="287"/>
      <c r="AR179" s="287"/>
      <c r="AS179" s="287"/>
      <c r="AT179" s="287"/>
      <c r="AU179" s="287"/>
      <c r="AV179" s="287"/>
      <c r="AW179" s="287"/>
      <c r="AX179" s="287"/>
      <c r="AY179" s="287"/>
      <c r="AZ179" s="287"/>
      <c r="BA179" s="287"/>
      <c r="BB179" s="287"/>
      <c r="BC179" s="287"/>
    </row>
    <row r="180" ht="15.75" customHeight="1">
      <c r="A180" s="287"/>
      <c r="B180" s="287"/>
      <c r="C180" s="287"/>
      <c r="D180" s="287"/>
      <c r="E180" s="287"/>
      <c r="F180" s="287"/>
      <c r="G180" s="287"/>
      <c r="H180" s="287"/>
      <c r="I180" s="287"/>
      <c r="J180" s="287"/>
      <c r="K180" s="287"/>
      <c r="L180" s="287"/>
      <c r="M180" s="287"/>
      <c r="N180" s="287"/>
      <c r="O180" s="287"/>
      <c r="P180" s="287"/>
      <c r="Q180" s="287"/>
      <c r="R180" s="287"/>
      <c r="S180" s="287"/>
      <c r="T180" s="287"/>
      <c r="U180" s="287"/>
      <c r="V180" s="287"/>
      <c r="W180" s="287"/>
      <c r="X180" s="287"/>
      <c r="Y180" s="287"/>
      <c r="Z180" s="287"/>
      <c r="AA180" s="287"/>
      <c r="AB180" s="287"/>
      <c r="AC180" s="287"/>
      <c r="AD180" s="287"/>
      <c r="AE180" s="287"/>
      <c r="AF180" s="287"/>
      <c r="AG180" s="287"/>
      <c r="AH180" s="287"/>
      <c r="AI180" s="287"/>
      <c r="AJ180" s="287"/>
      <c r="AK180" s="287"/>
      <c r="AL180" s="287"/>
      <c r="AM180" s="287"/>
      <c r="AN180" s="287"/>
      <c r="AO180" s="287"/>
      <c r="AP180" s="287"/>
      <c r="AQ180" s="287"/>
      <c r="AR180" s="287"/>
      <c r="AS180" s="287"/>
      <c r="AT180" s="287"/>
      <c r="AU180" s="287"/>
      <c r="AV180" s="287"/>
      <c r="AW180" s="287"/>
      <c r="AX180" s="287"/>
      <c r="AY180" s="287"/>
      <c r="AZ180" s="287"/>
      <c r="BA180" s="287"/>
      <c r="BB180" s="287"/>
      <c r="BC180" s="287"/>
    </row>
    <row r="181" ht="15.75" customHeight="1">
      <c r="A181" s="287"/>
      <c r="B181" s="287"/>
      <c r="C181" s="287"/>
      <c r="D181" s="287"/>
      <c r="E181" s="287"/>
      <c r="F181" s="287"/>
      <c r="G181" s="287"/>
      <c r="H181" s="287"/>
      <c r="I181" s="287"/>
      <c r="J181" s="287"/>
      <c r="K181" s="287"/>
      <c r="L181" s="287"/>
      <c r="M181" s="287"/>
      <c r="N181" s="287"/>
      <c r="O181" s="287"/>
      <c r="P181" s="287"/>
      <c r="Q181" s="287"/>
      <c r="R181" s="287"/>
      <c r="S181" s="287"/>
      <c r="T181" s="287"/>
      <c r="U181" s="287"/>
      <c r="V181" s="287"/>
      <c r="W181" s="287"/>
      <c r="X181" s="287"/>
      <c r="Y181" s="287"/>
      <c r="Z181" s="287"/>
      <c r="AA181" s="287"/>
      <c r="AB181" s="287"/>
      <c r="AC181" s="287"/>
      <c r="AD181" s="287"/>
      <c r="AE181" s="287"/>
      <c r="AF181" s="287"/>
      <c r="AG181" s="287"/>
      <c r="AH181" s="287"/>
      <c r="AI181" s="287"/>
      <c r="AJ181" s="287"/>
      <c r="AK181" s="287"/>
      <c r="AL181" s="287"/>
      <c r="AM181" s="287"/>
      <c r="AN181" s="287"/>
      <c r="AO181" s="287"/>
      <c r="AP181" s="287"/>
      <c r="AQ181" s="287"/>
      <c r="AR181" s="287"/>
      <c r="AS181" s="287"/>
      <c r="AT181" s="287"/>
      <c r="AU181" s="287"/>
      <c r="AV181" s="287"/>
      <c r="AW181" s="287"/>
      <c r="AX181" s="287"/>
      <c r="AY181" s="287"/>
      <c r="AZ181" s="287"/>
      <c r="BA181" s="287"/>
      <c r="BB181" s="287"/>
      <c r="BC181" s="287"/>
    </row>
    <row r="182" ht="15.75" customHeight="1">
      <c r="A182" s="287"/>
      <c r="B182" s="287"/>
      <c r="C182" s="287"/>
      <c r="D182" s="287"/>
      <c r="E182" s="287"/>
      <c r="F182" s="287"/>
      <c r="G182" s="287"/>
      <c r="H182" s="287"/>
      <c r="I182" s="287"/>
      <c r="J182" s="287"/>
      <c r="K182" s="287"/>
      <c r="L182" s="287"/>
      <c r="M182" s="287"/>
      <c r="N182" s="287"/>
      <c r="O182" s="287"/>
      <c r="P182" s="287"/>
      <c r="Q182" s="287"/>
      <c r="R182" s="287"/>
      <c r="S182" s="287"/>
      <c r="T182" s="287"/>
      <c r="U182" s="287"/>
      <c r="V182" s="287"/>
      <c r="W182" s="287"/>
      <c r="X182" s="287"/>
      <c r="Y182" s="287"/>
      <c r="Z182" s="287"/>
      <c r="AA182" s="287"/>
      <c r="AB182" s="287"/>
      <c r="AC182" s="287"/>
      <c r="AD182" s="287"/>
      <c r="AE182" s="287"/>
      <c r="AF182" s="287"/>
      <c r="AG182" s="287"/>
      <c r="AH182" s="287"/>
      <c r="AI182" s="287"/>
      <c r="AJ182" s="287"/>
      <c r="AK182" s="287"/>
      <c r="AL182" s="287"/>
      <c r="AM182" s="287"/>
      <c r="AN182" s="287"/>
      <c r="AO182" s="287"/>
      <c r="AP182" s="287"/>
      <c r="AQ182" s="287"/>
      <c r="AR182" s="287"/>
      <c r="AS182" s="287"/>
      <c r="AT182" s="287"/>
      <c r="AU182" s="287"/>
      <c r="AV182" s="287"/>
      <c r="AW182" s="287"/>
      <c r="AX182" s="287"/>
      <c r="AY182" s="287"/>
      <c r="AZ182" s="287"/>
      <c r="BA182" s="287"/>
      <c r="BB182" s="287"/>
      <c r="BC182" s="287"/>
    </row>
    <row r="183" ht="15.75" customHeight="1">
      <c r="A183" s="287"/>
      <c r="B183" s="287"/>
      <c r="C183" s="287"/>
      <c r="D183" s="287"/>
      <c r="E183" s="287"/>
      <c r="F183" s="287"/>
      <c r="G183" s="287"/>
      <c r="H183" s="287"/>
      <c r="I183" s="287"/>
      <c r="J183" s="287"/>
      <c r="K183" s="287"/>
      <c r="L183" s="287"/>
      <c r="M183" s="287"/>
      <c r="N183" s="287"/>
      <c r="O183" s="287"/>
      <c r="P183" s="287"/>
      <c r="Q183" s="287"/>
      <c r="R183" s="287"/>
      <c r="S183" s="287"/>
      <c r="T183" s="287"/>
      <c r="U183" s="287"/>
      <c r="V183" s="287"/>
      <c r="W183" s="287"/>
      <c r="X183" s="287"/>
      <c r="Y183" s="287"/>
      <c r="Z183" s="287"/>
      <c r="AA183" s="287"/>
      <c r="AB183" s="287"/>
      <c r="AC183" s="287"/>
      <c r="AD183" s="287"/>
      <c r="AE183" s="287"/>
      <c r="AF183" s="287"/>
      <c r="AG183" s="287"/>
      <c r="AH183" s="287"/>
      <c r="AI183" s="287"/>
      <c r="AJ183" s="287"/>
      <c r="AK183" s="287"/>
      <c r="AL183" s="287"/>
      <c r="AM183" s="287"/>
      <c r="AN183" s="287"/>
      <c r="AO183" s="287"/>
      <c r="AP183" s="287"/>
      <c r="AQ183" s="287"/>
      <c r="AR183" s="287"/>
      <c r="AS183" s="287"/>
      <c r="AT183" s="287"/>
      <c r="AU183" s="287"/>
      <c r="AV183" s="287"/>
      <c r="AW183" s="287"/>
      <c r="AX183" s="287"/>
      <c r="AY183" s="287"/>
      <c r="AZ183" s="287"/>
      <c r="BA183" s="287"/>
      <c r="BB183" s="287"/>
      <c r="BC183" s="287"/>
    </row>
    <row r="184" ht="15.75" customHeight="1">
      <c r="A184" s="287"/>
      <c r="B184" s="287"/>
      <c r="C184" s="287"/>
      <c r="D184" s="287"/>
      <c r="E184" s="287"/>
      <c r="F184" s="287"/>
      <c r="G184" s="287"/>
      <c r="H184" s="287"/>
      <c r="I184" s="287"/>
      <c r="J184" s="287"/>
      <c r="K184" s="287"/>
      <c r="L184" s="287"/>
      <c r="M184" s="287"/>
      <c r="N184" s="287"/>
      <c r="O184" s="287"/>
      <c r="P184" s="287"/>
      <c r="Q184" s="287"/>
      <c r="R184" s="287"/>
      <c r="S184" s="287"/>
      <c r="T184" s="287"/>
      <c r="U184" s="287"/>
      <c r="V184" s="287"/>
      <c r="W184" s="287"/>
      <c r="X184" s="287"/>
      <c r="Y184" s="287"/>
      <c r="Z184" s="287"/>
      <c r="AA184" s="287"/>
      <c r="AB184" s="287"/>
      <c r="AC184" s="287"/>
      <c r="AD184" s="287"/>
      <c r="AE184" s="287"/>
      <c r="AF184" s="287"/>
      <c r="AG184" s="287"/>
      <c r="AH184" s="287"/>
      <c r="AI184" s="287"/>
      <c r="AJ184" s="287"/>
      <c r="AK184" s="287"/>
      <c r="AL184" s="287"/>
      <c r="AM184" s="287"/>
      <c r="AN184" s="287"/>
      <c r="AO184" s="287"/>
      <c r="AP184" s="287"/>
      <c r="AQ184" s="287"/>
      <c r="AR184" s="287"/>
      <c r="AS184" s="287"/>
      <c r="AT184" s="287"/>
      <c r="AU184" s="287"/>
      <c r="AV184" s="287"/>
      <c r="AW184" s="287"/>
      <c r="AX184" s="287"/>
      <c r="AY184" s="287"/>
      <c r="AZ184" s="287"/>
      <c r="BA184" s="287"/>
      <c r="BB184" s="287"/>
      <c r="BC184" s="287"/>
    </row>
    <row r="185" ht="15.75" customHeight="1">
      <c r="A185" s="287"/>
      <c r="B185" s="287"/>
      <c r="C185" s="287"/>
      <c r="D185" s="287"/>
      <c r="E185" s="287"/>
      <c r="F185" s="287"/>
      <c r="G185" s="287"/>
      <c r="H185" s="287"/>
      <c r="I185" s="287"/>
      <c r="J185" s="287"/>
      <c r="K185" s="287"/>
      <c r="L185" s="287"/>
      <c r="M185" s="287"/>
      <c r="N185" s="287"/>
      <c r="O185" s="287"/>
      <c r="P185" s="287"/>
      <c r="Q185" s="287"/>
      <c r="R185" s="287"/>
      <c r="S185" s="287"/>
      <c r="T185" s="287"/>
      <c r="U185" s="287"/>
      <c r="V185" s="287"/>
      <c r="W185" s="287"/>
      <c r="X185" s="287"/>
      <c r="Y185" s="287"/>
      <c r="Z185" s="287"/>
      <c r="AA185" s="287"/>
      <c r="AB185" s="287"/>
      <c r="AC185" s="287"/>
      <c r="AD185" s="287"/>
      <c r="AE185" s="287"/>
      <c r="AF185" s="287"/>
      <c r="AG185" s="287"/>
      <c r="AH185" s="287"/>
      <c r="AI185" s="287"/>
      <c r="AJ185" s="287"/>
      <c r="AK185" s="287"/>
      <c r="AL185" s="287"/>
      <c r="AM185" s="287"/>
      <c r="AN185" s="287"/>
      <c r="AO185" s="287"/>
      <c r="AP185" s="287"/>
      <c r="AQ185" s="287"/>
      <c r="AR185" s="287"/>
      <c r="AS185" s="287"/>
      <c r="AT185" s="287"/>
      <c r="AU185" s="287"/>
      <c r="AV185" s="287"/>
      <c r="AW185" s="287"/>
      <c r="AX185" s="287"/>
      <c r="AY185" s="287"/>
      <c r="AZ185" s="287"/>
      <c r="BA185" s="287"/>
      <c r="BB185" s="287"/>
      <c r="BC185" s="287"/>
    </row>
    <row r="186" ht="15.75" customHeight="1">
      <c r="A186" s="287"/>
      <c r="B186" s="287"/>
      <c r="C186" s="287"/>
      <c r="D186" s="287"/>
      <c r="E186" s="287"/>
      <c r="F186" s="287"/>
      <c r="G186" s="287"/>
      <c r="H186" s="287"/>
      <c r="I186" s="287"/>
      <c r="J186" s="287"/>
      <c r="K186" s="287"/>
      <c r="L186" s="287"/>
      <c r="M186" s="287"/>
      <c r="N186" s="287"/>
      <c r="O186" s="287"/>
      <c r="P186" s="287"/>
      <c r="Q186" s="287"/>
      <c r="R186" s="287"/>
      <c r="S186" s="287"/>
      <c r="T186" s="287"/>
      <c r="U186" s="287"/>
      <c r="V186" s="287"/>
      <c r="W186" s="287"/>
      <c r="X186" s="287"/>
      <c r="Y186" s="287"/>
      <c r="Z186" s="287"/>
      <c r="AA186" s="287"/>
      <c r="AB186" s="287"/>
      <c r="AC186" s="287"/>
      <c r="AD186" s="287"/>
      <c r="AE186" s="287"/>
      <c r="AF186" s="287"/>
      <c r="AG186" s="287"/>
      <c r="AH186" s="287"/>
      <c r="AI186" s="287"/>
      <c r="AJ186" s="287"/>
      <c r="AK186" s="287"/>
      <c r="AL186" s="287"/>
      <c r="AM186" s="287"/>
      <c r="AN186" s="287"/>
      <c r="AO186" s="287"/>
      <c r="AP186" s="287"/>
      <c r="AQ186" s="287"/>
      <c r="AR186" s="287"/>
      <c r="AS186" s="287"/>
      <c r="AT186" s="287"/>
      <c r="AU186" s="287"/>
      <c r="AV186" s="287"/>
      <c r="AW186" s="287"/>
      <c r="AX186" s="287"/>
      <c r="AY186" s="287"/>
      <c r="AZ186" s="287"/>
      <c r="BA186" s="287"/>
      <c r="BB186" s="287"/>
      <c r="BC186" s="287"/>
    </row>
    <row r="187" ht="15.75" customHeight="1">
      <c r="A187" s="287"/>
      <c r="B187" s="287"/>
      <c r="C187" s="287"/>
      <c r="D187" s="287"/>
      <c r="E187" s="287"/>
      <c r="F187" s="287"/>
      <c r="G187" s="287"/>
      <c r="H187" s="287"/>
      <c r="I187" s="287"/>
      <c r="J187" s="287"/>
      <c r="K187" s="287"/>
      <c r="L187" s="287"/>
      <c r="M187" s="287"/>
      <c r="N187" s="287"/>
      <c r="O187" s="287"/>
      <c r="P187" s="287"/>
      <c r="Q187" s="287"/>
      <c r="R187" s="287"/>
      <c r="S187" s="287"/>
      <c r="T187" s="287"/>
      <c r="U187" s="287"/>
      <c r="V187" s="287"/>
      <c r="W187" s="287"/>
      <c r="X187" s="287"/>
      <c r="Y187" s="287"/>
      <c r="Z187" s="287"/>
      <c r="AA187" s="287"/>
      <c r="AB187" s="287"/>
      <c r="AC187" s="287"/>
      <c r="AD187" s="287"/>
      <c r="AE187" s="287"/>
      <c r="AF187" s="287"/>
      <c r="AG187" s="287"/>
      <c r="AH187" s="287"/>
      <c r="AI187" s="287"/>
      <c r="AJ187" s="287"/>
      <c r="AK187" s="287"/>
      <c r="AL187" s="287"/>
      <c r="AM187" s="287"/>
      <c r="AN187" s="287"/>
      <c r="AO187" s="287"/>
      <c r="AP187" s="287"/>
      <c r="AQ187" s="287"/>
      <c r="AR187" s="287"/>
      <c r="AS187" s="287"/>
      <c r="AT187" s="287"/>
      <c r="AU187" s="287"/>
      <c r="AV187" s="287"/>
      <c r="AW187" s="287"/>
      <c r="AX187" s="287"/>
      <c r="AY187" s="287"/>
      <c r="AZ187" s="287"/>
      <c r="BA187" s="287"/>
      <c r="BB187" s="287"/>
      <c r="BC187" s="287"/>
    </row>
    <row r="188" ht="15.75" customHeight="1">
      <c r="A188" s="287"/>
      <c r="B188" s="287"/>
      <c r="C188" s="287"/>
      <c r="D188" s="287"/>
      <c r="E188" s="287"/>
      <c r="F188" s="287"/>
      <c r="G188" s="287"/>
      <c r="H188" s="287"/>
      <c r="I188" s="287"/>
      <c r="J188" s="287"/>
      <c r="K188" s="287"/>
      <c r="L188" s="287"/>
      <c r="M188" s="287"/>
      <c r="N188" s="287"/>
      <c r="O188" s="287"/>
      <c r="P188" s="287"/>
      <c r="Q188" s="287"/>
      <c r="R188" s="287"/>
      <c r="S188" s="287"/>
      <c r="T188" s="287"/>
      <c r="U188" s="287"/>
      <c r="V188" s="287"/>
      <c r="W188" s="287"/>
      <c r="X188" s="287"/>
      <c r="Y188" s="287"/>
      <c r="Z188" s="287"/>
      <c r="AA188" s="287"/>
      <c r="AB188" s="287"/>
      <c r="AC188" s="287"/>
      <c r="AD188" s="287"/>
      <c r="AE188" s="287"/>
      <c r="AF188" s="287"/>
      <c r="AG188" s="287"/>
      <c r="AH188" s="287"/>
      <c r="AI188" s="287"/>
      <c r="AJ188" s="287"/>
      <c r="AK188" s="287"/>
      <c r="AL188" s="287"/>
      <c r="AM188" s="287"/>
      <c r="AN188" s="287"/>
      <c r="AO188" s="287"/>
      <c r="AP188" s="287"/>
      <c r="AQ188" s="287"/>
      <c r="AR188" s="287"/>
      <c r="AS188" s="287"/>
      <c r="AT188" s="287"/>
      <c r="AU188" s="287"/>
      <c r="AV188" s="287"/>
      <c r="AW188" s="287"/>
      <c r="AX188" s="287"/>
      <c r="AY188" s="287"/>
      <c r="AZ188" s="287"/>
      <c r="BA188" s="287"/>
      <c r="BB188" s="287"/>
      <c r="BC188" s="287"/>
    </row>
    <row r="189" ht="15.75" customHeight="1">
      <c r="A189" s="287"/>
      <c r="B189" s="287"/>
      <c r="C189" s="287"/>
      <c r="D189" s="287"/>
      <c r="E189" s="287"/>
      <c r="F189" s="287"/>
      <c r="G189" s="287"/>
      <c r="H189" s="287"/>
      <c r="I189" s="287"/>
      <c r="J189" s="287"/>
      <c r="K189" s="287"/>
      <c r="L189" s="287"/>
      <c r="M189" s="287"/>
      <c r="N189" s="287"/>
      <c r="O189" s="287"/>
      <c r="P189" s="287"/>
      <c r="Q189" s="287"/>
      <c r="R189" s="287"/>
      <c r="S189" s="287"/>
      <c r="T189" s="287"/>
      <c r="U189" s="287"/>
      <c r="V189" s="287"/>
      <c r="W189" s="287"/>
      <c r="X189" s="287"/>
      <c r="Y189" s="287"/>
      <c r="Z189" s="287"/>
      <c r="AA189" s="287"/>
      <c r="AB189" s="287"/>
      <c r="AC189" s="287"/>
      <c r="AD189" s="287"/>
      <c r="AE189" s="287"/>
      <c r="AF189" s="287"/>
      <c r="AG189" s="287"/>
      <c r="AH189" s="287"/>
      <c r="AI189" s="287"/>
      <c r="AJ189" s="287"/>
      <c r="AK189" s="287"/>
      <c r="AL189" s="287"/>
      <c r="AM189" s="287"/>
      <c r="AN189" s="287"/>
      <c r="AO189" s="287"/>
      <c r="AP189" s="287"/>
      <c r="AQ189" s="287"/>
      <c r="AR189" s="287"/>
      <c r="AS189" s="287"/>
      <c r="AT189" s="287"/>
      <c r="AU189" s="287"/>
      <c r="AV189" s="287"/>
      <c r="AW189" s="287"/>
      <c r="AX189" s="287"/>
      <c r="AY189" s="287"/>
      <c r="AZ189" s="287"/>
      <c r="BA189" s="287"/>
      <c r="BB189" s="287"/>
      <c r="BC189" s="287"/>
    </row>
    <row r="190" ht="15.75" customHeight="1">
      <c r="A190" s="287"/>
      <c r="B190" s="287"/>
      <c r="C190" s="287"/>
      <c r="D190" s="287"/>
      <c r="E190" s="287"/>
      <c r="F190" s="287"/>
      <c r="G190" s="287"/>
      <c r="H190" s="287"/>
      <c r="I190" s="287"/>
      <c r="J190" s="287"/>
      <c r="K190" s="287"/>
      <c r="L190" s="287"/>
      <c r="M190" s="287"/>
      <c r="N190" s="287"/>
      <c r="O190" s="287"/>
      <c r="P190" s="287"/>
      <c r="Q190" s="287"/>
      <c r="R190" s="287"/>
      <c r="S190" s="287"/>
      <c r="T190" s="287"/>
      <c r="U190" s="287"/>
      <c r="V190" s="287"/>
      <c r="W190" s="287"/>
      <c r="X190" s="287"/>
      <c r="Y190" s="287"/>
      <c r="Z190" s="287"/>
      <c r="AA190" s="287"/>
      <c r="AB190" s="287"/>
      <c r="AC190" s="287"/>
      <c r="AD190" s="287"/>
      <c r="AE190" s="287"/>
      <c r="AF190" s="287"/>
      <c r="AG190" s="287"/>
      <c r="AH190" s="287"/>
      <c r="AI190" s="287"/>
      <c r="AJ190" s="287"/>
      <c r="AK190" s="287"/>
      <c r="AL190" s="287"/>
      <c r="AM190" s="287"/>
      <c r="AN190" s="287"/>
      <c r="AO190" s="287"/>
      <c r="AP190" s="287"/>
      <c r="AQ190" s="287"/>
      <c r="AR190" s="287"/>
      <c r="AS190" s="287"/>
      <c r="AT190" s="287"/>
      <c r="AU190" s="287"/>
      <c r="AV190" s="287"/>
      <c r="AW190" s="287"/>
      <c r="AX190" s="287"/>
      <c r="AY190" s="287"/>
      <c r="AZ190" s="287"/>
      <c r="BA190" s="287"/>
      <c r="BB190" s="287"/>
      <c r="BC190" s="287"/>
    </row>
    <row r="191" ht="15.75" customHeight="1">
      <c r="A191" s="287"/>
      <c r="B191" s="287"/>
      <c r="C191" s="287"/>
      <c r="D191" s="287"/>
      <c r="E191" s="287"/>
      <c r="F191" s="287"/>
      <c r="G191" s="287"/>
      <c r="H191" s="287"/>
      <c r="I191" s="287"/>
      <c r="J191" s="287"/>
      <c r="K191" s="287"/>
      <c r="L191" s="287"/>
      <c r="M191" s="287"/>
      <c r="N191" s="287"/>
      <c r="O191" s="287"/>
      <c r="P191" s="287"/>
      <c r="Q191" s="287"/>
      <c r="R191" s="287"/>
      <c r="S191" s="287"/>
      <c r="T191" s="287"/>
      <c r="U191" s="287"/>
      <c r="V191" s="287"/>
      <c r="W191" s="287"/>
      <c r="X191" s="287"/>
      <c r="Y191" s="287"/>
      <c r="Z191" s="287"/>
      <c r="AA191" s="287"/>
      <c r="AB191" s="287"/>
      <c r="AC191" s="287"/>
      <c r="AD191" s="287"/>
      <c r="AE191" s="287"/>
      <c r="AF191" s="287"/>
      <c r="AG191" s="287"/>
      <c r="AH191" s="287"/>
      <c r="AI191" s="287"/>
      <c r="AJ191" s="287"/>
      <c r="AK191" s="287"/>
      <c r="AL191" s="287"/>
      <c r="AM191" s="287"/>
      <c r="AN191" s="287"/>
      <c r="AO191" s="287"/>
      <c r="AP191" s="287"/>
      <c r="AQ191" s="287"/>
      <c r="AR191" s="287"/>
      <c r="AS191" s="287"/>
      <c r="AT191" s="287"/>
      <c r="AU191" s="287"/>
      <c r="AV191" s="287"/>
      <c r="AW191" s="287"/>
      <c r="AX191" s="287"/>
      <c r="AY191" s="287"/>
      <c r="AZ191" s="287"/>
      <c r="BA191" s="287"/>
      <c r="BB191" s="287"/>
      <c r="BC191" s="287"/>
    </row>
    <row r="192" ht="15.75" customHeight="1">
      <c r="A192" s="287"/>
      <c r="B192" s="287"/>
      <c r="C192" s="287"/>
      <c r="D192" s="287"/>
      <c r="E192" s="287"/>
      <c r="F192" s="287"/>
      <c r="G192" s="287"/>
      <c r="H192" s="287"/>
      <c r="I192" s="287"/>
      <c r="J192" s="287"/>
      <c r="K192" s="287"/>
      <c r="L192" s="287"/>
      <c r="M192" s="287"/>
      <c r="N192" s="287"/>
      <c r="O192" s="287"/>
      <c r="P192" s="287"/>
      <c r="Q192" s="287"/>
      <c r="R192" s="287"/>
      <c r="S192" s="287"/>
      <c r="T192" s="287"/>
      <c r="U192" s="287"/>
      <c r="V192" s="287"/>
      <c r="W192" s="287"/>
      <c r="X192" s="287"/>
      <c r="Y192" s="287"/>
      <c r="Z192" s="287"/>
      <c r="AA192" s="287"/>
      <c r="AB192" s="287"/>
      <c r="AC192" s="287"/>
      <c r="AD192" s="287"/>
      <c r="AE192" s="287"/>
      <c r="AF192" s="287"/>
      <c r="AG192" s="287"/>
      <c r="AH192" s="287"/>
      <c r="AI192" s="287"/>
      <c r="AJ192" s="287"/>
      <c r="AK192" s="287"/>
      <c r="AL192" s="287"/>
      <c r="AM192" s="287"/>
      <c r="AN192" s="287"/>
      <c r="AO192" s="287"/>
      <c r="AP192" s="287"/>
      <c r="AQ192" s="287"/>
      <c r="AR192" s="287"/>
      <c r="AS192" s="287"/>
      <c r="AT192" s="287"/>
      <c r="AU192" s="287"/>
      <c r="AV192" s="287"/>
      <c r="AW192" s="287"/>
      <c r="AX192" s="287"/>
      <c r="AY192" s="287"/>
      <c r="AZ192" s="287"/>
      <c r="BA192" s="287"/>
      <c r="BB192" s="287"/>
      <c r="BC192" s="287"/>
    </row>
    <row r="193" ht="15.75" customHeight="1">
      <c r="A193" s="287"/>
      <c r="B193" s="287"/>
      <c r="C193" s="287"/>
      <c r="D193" s="287"/>
      <c r="E193" s="287"/>
      <c r="F193" s="287"/>
      <c r="G193" s="287"/>
      <c r="H193" s="287"/>
      <c r="I193" s="287"/>
      <c r="J193" s="287"/>
      <c r="K193" s="287"/>
      <c r="L193" s="287"/>
      <c r="M193" s="287"/>
      <c r="N193" s="287"/>
      <c r="O193" s="287"/>
      <c r="P193" s="287"/>
      <c r="Q193" s="287"/>
      <c r="R193" s="287"/>
      <c r="S193" s="287"/>
      <c r="T193" s="287"/>
      <c r="U193" s="287"/>
      <c r="V193" s="287"/>
      <c r="W193" s="287"/>
      <c r="X193" s="287"/>
      <c r="Y193" s="287"/>
      <c r="Z193" s="287"/>
      <c r="AA193" s="287"/>
      <c r="AB193" s="287"/>
      <c r="AC193" s="287"/>
      <c r="AD193" s="287"/>
      <c r="AE193" s="287"/>
      <c r="AF193" s="287"/>
      <c r="AG193" s="287"/>
      <c r="AH193" s="287"/>
      <c r="AI193" s="287"/>
      <c r="AJ193" s="287"/>
      <c r="AK193" s="287"/>
      <c r="AL193" s="287"/>
      <c r="AM193" s="287"/>
      <c r="AN193" s="287"/>
      <c r="AO193" s="287"/>
      <c r="AP193" s="287"/>
      <c r="AQ193" s="287"/>
      <c r="AR193" s="287"/>
      <c r="AS193" s="287"/>
      <c r="AT193" s="287"/>
      <c r="AU193" s="287"/>
      <c r="AV193" s="287"/>
      <c r="AW193" s="287"/>
      <c r="AX193" s="287"/>
      <c r="AY193" s="287"/>
      <c r="AZ193" s="287"/>
      <c r="BA193" s="287"/>
      <c r="BB193" s="287"/>
      <c r="BC193" s="287"/>
    </row>
    <row r="194" ht="15.75" customHeight="1">
      <c r="A194" s="287"/>
      <c r="B194" s="287"/>
      <c r="C194" s="287"/>
      <c r="D194" s="287"/>
      <c r="E194" s="287"/>
      <c r="F194" s="287"/>
      <c r="G194" s="287"/>
      <c r="H194" s="287"/>
      <c r="I194" s="287"/>
      <c r="J194" s="287"/>
      <c r="K194" s="287"/>
      <c r="L194" s="287"/>
      <c r="M194" s="287"/>
      <c r="N194" s="287"/>
      <c r="O194" s="287"/>
      <c r="P194" s="287"/>
      <c r="Q194" s="287"/>
      <c r="R194" s="287"/>
      <c r="S194" s="287"/>
      <c r="T194" s="287"/>
      <c r="U194" s="287"/>
      <c r="V194" s="287"/>
      <c r="W194" s="287"/>
      <c r="X194" s="287"/>
      <c r="Y194" s="287"/>
      <c r="Z194" s="287"/>
      <c r="AA194" s="287"/>
      <c r="AB194" s="287"/>
      <c r="AC194" s="287"/>
      <c r="AD194" s="287"/>
      <c r="AE194" s="287"/>
      <c r="AF194" s="287"/>
      <c r="AG194" s="287"/>
      <c r="AH194" s="287"/>
      <c r="AI194" s="287"/>
      <c r="AJ194" s="287"/>
      <c r="AK194" s="287"/>
      <c r="AL194" s="287"/>
      <c r="AM194" s="287"/>
      <c r="AN194" s="287"/>
      <c r="AO194" s="287"/>
      <c r="AP194" s="287"/>
      <c r="AQ194" s="287"/>
      <c r="AR194" s="287"/>
      <c r="AS194" s="287"/>
      <c r="AT194" s="287"/>
      <c r="AU194" s="287"/>
      <c r="AV194" s="287"/>
      <c r="AW194" s="287"/>
      <c r="AX194" s="287"/>
      <c r="AY194" s="287"/>
      <c r="AZ194" s="287"/>
      <c r="BA194" s="287"/>
      <c r="BB194" s="287"/>
      <c r="BC194" s="287"/>
    </row>
    <row r="195" ht="15.75" customHeight="1">
      <c r="A195" s="287"/>
      <c r="B195" s="287"/>
      <c r="C195" s="287"/>
      <c r="D195" s="287"/>
      <c r="E195" s="287"/>
      <c r="F195" s="287"/>
      <c r="G195" s="287"/>
      <c r="H195" s="287"/>
      <c r="I195" s="287"/>
      <c r="J195" s="287"/>
      <c r="K195" s="287"/>
      <c r="L195" s="287"/>
      <c r="M195" s="287"/>
      <c r="N195" s="287"/>
      <c r="O195" s="287"/>
      <c r="P195" s="287"/>
      <c r="Q195" s="287"/>
      <c r="R195" s="287"/>
      <c r="S195" s="287"/>
      <c r="T195" s="287"/>
      <c r="U195" s="287"/>
      <c r="V195" s="287"/>
      <c r="W195" s="287"/>
      <c r="X195" s="287"/>
      <c r="Y195" s="287"/>
      <c r="Z195" s="287"/>
      <c r="AA195" s="287"/>
      <c r="AB195" s="287"/>
      <c r="AC195" s="287"/>
      <c r="AD195" s="287"/>
      <c r="AE195" s="287"/>
      <c r="AF195" s="287"/>
      <c r="AG195" s="287"/>
      <c r="AH195" s="287"/>
      <c r="AI195" s="287"/>
      <c r="AJ195" s="287"/>
      <c r="AK195" s="287"/>
      <c r="AL195" s="287"/>
      <c r="AM195" s="287"/>
      <c r="AN195" s="287"/>
      <c r="AO195" s="287"/>
      <c r="AP195" s="287"/>
      <c r="AQ195" s="287"/>
      <c r="AR195" s="287"/>
      <c r="AS195" s="287"/>
      <c r="AT195" s="287"/>
      <c r="AU195" s="287"/>
      <c r="AV195" s="287"/>
      <c r="AW195" s="287"/>
      <c r="AX195" s="287"/>
      <c r="AY195" s="287"/>
      <c r="AZ195" s="287"/>
      <c r="BA195" s="287"/>
      <c r="BB195" s="287"/>
      <c r="BC195" s="287"/>
    </row>
    <row r="196" ht="15.75" customHeight="1">
      <c r="A196" s="287"/>
      <c r="B196" s="287"/>
      <c r="C196" s="287"/>
      <c r="D196" s="287"/>
      <c r="E196" s="287"/>
      <c r="F196" s="287"/>
      <c r="G196" s="287"/>
      <c r="H196" s="287"/>
      <c r="I196" s="287"/>
      <c r="J196" s="287"/>
      <c r="K196" s="287"/>
      <c r="L196" s="287"/>
      <c r="M196" s="287"/>
      <c r="N196" s="287"/>
      <c r="O196" s="287"/>
      <c r="P196" s="287"/>
      <c r="Q196" s="287"/>
      <c r="R196" s="287"/>
      <c r="S196" s="287"/>
      <c r="T196" s="287"/>
      <c r="U196" s="287"/>
      <c r="V196" s="287"/>
      <c r="W196" s="287"/>
      <c r="X196" s="287"/>
      <c r="Y196" s="287"/>
      <c r="Z196" s="287"/>
      <c r="AA196" s="287"/>
      <c r="AB196" s="287"/>
      <c r="AC196" s="287"/>
      <c r="AD196" s="287"/>
      <c r="AE196" s="287"/>
      <c r="AF196" s="287"/>
      <c r="AG196" s="287"/>
      <c r="AH196" s="287"/>
      <c r="AI196" s="287"/>
      <c r="AJ196" s="287"/>
      <c r="AK196" s="287"/>
      <c r="AL196" s="287"/>
      <c r="AM196" s="287"/>
      <c r="AN196" s="287"/>
      <c r="AO196" s="287"/>
      <c r="AP196" s="287"/>
      <c r="AQ196" s="287"/>
      <c r="AR196" s="287"/>
      <c r="AS196" s="287"/>
      <c r="AT196" s="287"/>
      <c r="AU196" s="287"/>
      <c r="AV196" s="287"/>
      <c r="AW196" s="287"/>
      <c r="AX196" s="287"/>
      <c r="AY196" s="287"/>
      <c r="AZ196" s="287"/>
      <c r="BA196" s="287"/>
      <c r="BB196" s="287"/>
      <c r="BC196" s="287"/>
    </row>
    <row r="197" ht="15.75" customHeight="1">
      <c r="A197" s="287"/>
      <c r="B197" s="287"/>
      <c r="C197" s="287"/>
      <c r="D197" s="287"/>
      <c r="E197" s="287"/>
      <c r="F197" s="287"/>
      <c r="G197" s="287"/>
      <c r="H197" s="287"/>
      <c r="I197" s="287"/>
      <c r="J197" s="287"/>
      <c r="K197" s="287"/>
      <c r="L197" s="287"/>
      <c r="M197" s="287"/>
      <c r="N197" s="287"/>
      <c r="O197" s="287"/>
      <c r="P197" s="287"/>
      <c r="Q197" s="287"/>
      <c r="R197" s="287"/>
      <c r="S197" s="287"/>
      <c r="T197" s="287"/>
      <c r="U197" s="287"/>
      <c r="V197" s="287"/>
      <c r="W197" s="287"/>
      <c r="X197" s="287"/>
      <c r="Y197" s="287"/>
      <c r="Z197" s="287"/>
      <c r="AA197" s="287"/>
      <c r="AB197" s="287"/>
      <c r="AC197" s="287"/>
      <c r="AD197" s="287"/>
      <c r="AE197" s="287"/>
      <c r="AF197" s="287"/>
      <c r="AG197" s="287"/>
      <c r="AH197" s="287"/>
      <c r="AI197" s="287"/>
      <c r="AJ197" s="287"/>
      <c r="AK197" s="287"/>
      <c r="AL197" s="287"/>
      <c r="AM197" s="287"/>
      <c r="AN197" s="287"/>
      <c r="AO197" s="287"/>
      <c r="AP197" s="287"/>
      <c r="AQ197" s="287"/>
      <c r="AR197" s="287"/>
      <c r="AS197" s="287"/>
      <c r="AT197" s="287"/>
      <c r="AU197" s="287"/>
      <c r="AV197" s="287"/>
      <c r="AW197" s="287"/>
      <c r="AX197" s="287"/>
      <c r="AY197" s="287"/>
      <c r="AZ197" s="287"/>
      <c r="BA197" s="287"/>
      <c r="BB197" s="287"/>
      <c r="BC197" s="287"/>
    </row>
    <row r="198" ht="15.75" customHeight="1">
      <c r="A198" s="287"/>
      <c r="B198" s="287"/>
      <c r="C198" s="287"/>
      <c r="D198" s="287"/>
      <c r="E198" s="287"/>
      <c r="F198" s="287"/>
      <c r="G198" s="287"/>
      <c r="H198" s="287"/>
      <c r="I198" s="287"/>
      <c r="J198" s="287"/>
      <c r="K198" s="287"/>
      <c r="L198" s="287"/>
      <c r="M198" s="287"/>
      <c r="N198" s="287"/>
      <c r="O198" s="287"/>
      <c r="P198" s="287"/>
      <c r="Q198" s="287"/>
      <c r="R198" s="287"/>
      <c r="S198" s="287"/>
      <c r="T198" s="287"/>
      <c r="U198" s="287"/>
      <c r="V198" s="287"/>
      <c r="W198" s="287"/>
      <c r="X198" s="287"/>
      <c r="Y198" s="287"/>
      <c r="Z198" s="287"/>
      <c r="AA198" s="287"/>
      <c r="AB198" s="287"/>
      <c r="AC198" s="287"/>
      <c r="AD198" s="287"/>
      <c r="AE198" s="287"/>
      <c r="AF198" s="287"/>
      <c r="AG198" s="287"/>
      <c r="AH198" s="287"/>
      <c r="AI198" s="287"/>
      <c r="AJ198" s="287"/>
      <c r="AK198" s="287"/>
      <c r="AL198" s="287"/>
      <c r="AM198" s="287"/>
      <c r="AN198" s="287"/>
      <c r="AO198" s="287"/>
      <c r="AP198" s="287"/>
      <c r="AQ198" s="287"/>
      <c r="AR198" s="287"/>
      <c r="AS198" s="287"/>
      <c r="AT198" s="287"/>
      <c r="AU198" s="287"/>
      <c r="AV198" s="287"/>
      <c r="AW198" s="287"/>
      <c r="AX198" s="287"/>
      <c r="AY198" s="287"/>
      <c r="AZ198" s="287"/>
      <c r="BA198" s="287"/>
      <c r="BB198" s="287"/>
      <c r="BC198" s="287"/>
    </row>
    <row r="199" ht="15.75" customHeight="1">
      <c r="A199" s="287"/>
      <c r="B199" s="287"/>
      <c r="C199" s="287"/>
      <c r="D199" s="287"/>
      <c r="E199" s="287"/>
      <c r="F199" s="287"/>
      <c r="G199" s="287"/>
      <c r="H199" s="287"/>
      <c r="I199" s="287"/>
      <c r="J199" s="287"/>
      <c r="K199" s="287"/>
      <c r="L199" s="287"/>
      <c r="M199" s="287"/>
      <c r="N199" s="287"/>
      <c r="O199" s="287"/>
      <c r="P199" s="287"/>
      <c r="Q199" s="287"/>
      <c r="R199" s="287"/>
      <c r="S199" s="287"/>
      <c r="T199" s="287"/>
      <c r="U199" s="287"/>
      <c r="V199" s="287"/>
      <c r="W199" s="287"/>
      <c r="X199" s="287"/>
      <c r="Y199" s="287"/>
      <c r="Z199" s="287"/>
      <c r="AA199" s="287"/>
      <c r="AB199" s="287"/>
      <c r="AC199" s="287"/>
      <c r="AD199" s="287"/>
      <c r="AE199" s="287"/>
      <c r="AF199" s="287"/>
      <c r="AG199" s="287"/>
      <c r="AH199" s="287"/>
      <c r="AI199" s="287"/>
      <c r="AJ199" s="287"/>
      <c r="AK199" s="287"/>
      <c r="AL199" s="287"/>
      <c r="AM199" s="287"/>
      <c r="AN199" s="287"/>
      <c r="AO199" s="287"/>
      <c r="AP199" s="287"/>
      <c r="AQ199" s="287"/>
      <c r="AR199" s="287"/>
      <c r="AS199" s="287"/>
      <c r="AT199" s="287"/>
      <c r="AU199" s="287"/>
      <c r="AV199" s="287"/>
      <c r="AW199" s="287"/>
      <c r="AX199" s="287"/>
      <c r="AY199" s="287"/>
      <c r="AZ199" s="287"/>
      <c r="BA199" s="287"/>
      <c r="BB199" s="287"/>
      <c r="BC199" s="287"/>
    </row>
    <row r="200" ht="15.75" customHeight="1">
      <c r="A200" s="287"/>
      <c r="B200" s="287"/>
      <c r="C200" s="287"/>
      <c r="D200" s="287"/>
      <c r="E200" s="287"/>
      <c r="F200" s="287"/>
      <c r="G200" s="287"/>
      <c r="H200" s="287"/>
      <c r="I200" s="287"/>
      <c r="J200" s="287"/>
      <c r="K200" s="287"/>
      <c r="L200" s="287"/>
      <c r="M200" s="287"/>
      <c r="N200" s="287"/>
      <c r="O200" s="287"/>
      <c r="P200" s="287"/>
      <c r="Q200" s="287"/>
      <c r="R200" s="287"/>
      <c r="S200" s="287"/>
      <c r="T200" s="287"/>
      <c r="U200" s="287"/>
      <c r="V200" s="287"/>
      <c r="W200" s="287"/>
      <c r="X200" s="287"/>
      <c r="Y200" s="287"/>
      <c r="Z200" s="287"/>
      <c r="AA200" s="287"/>
      <c r="AB200" s="287"/>
      <c r="AC200" s="287"/>
      <c r="AD200" s="287"/>
      <c r="AE200" s="287"/>
      <c r="AF200" s="287"/>
      <c r="AG200" s="287"/>
      <c r="AH200" s="287"/>
      <c r="AI200" s="287"/>
      <c r="AJ200" s="287"/>
      <c r="AK200" s="287"/>
      <c r="AL200" s="287"/>
      <c r="AM200" s="287"/>
      <c r="AN200" s="287"/>
      <c r="AO200" s="287"/>
      <c r="AP200" s="287"/>
      <c r="AQ200" s="287"/>
      <c r="AR200" s="287"/>
      <c r="AS200" s="287"/>
      <c r="AT200" s="287"/>
      <c r="AU200" s="287"/>
      <c r="AV200" s="287"/>
      <c r="AW200" s="287"/>
      <c r="AX200" s="287"/>
      <c r="AY200" s="287"/>
      <c r="AZ200" s="287"/>
      <c r="BA200" s="287"/>
      <c r="BB200" s="287"/>
      <c r="BC200" s="287"/>
    </row>
    <row r="201" ht="15.75" customHeight="1">
      <c r="A201" s="287"/>
      <c r="B201" s="287"/>
      <c r="C201" s="287"/>
      <c r="D201" s="287"/>
      <c r="E201" s="287"/>
      <c r="F201" s="287"/>
      <c r="G201" s="287"/>
      <c r="H201" s="287"/>
      <c r="I201" s="287"/>
      <c r="J201" s="287"/>
      <c r="K201" s="287"/>
      <c r="L201" s="287"/>
      <c r="M201" s="287"/>
      <c r="N201" s="287"/>
      <c r="O201" s="287"/>
      <c r="P201" s="287"/>
      <c r="Q201" s="287"/>
      <c r="R201" s="287"/>
      <c r="S201" s="287"/>
      <c r="T201" s="287"/>
      <c r="U201" s="287"/>
      <c r="V201" s="287"/>
      <c r="W201" s="287"/>
      <c r="X201" s="287"/>
      <c r="Y201" s="287"/>
      <c r="Z201" s="287"/>
      <c r="AA201" s="287"/>
      <c r="AB201" s="287"/>
      <c r="AC201" s="287"/>
      <c r="AD201" s="287"/>
      <c r="AE201" s="287"/>
      <c r="AF201" s="287"/>
      <c r="AG201" s="287"/>
      <c r="AH201" s="287"/>
      <c r="AI201" s="287"/>
      <c r="AJ201" s="287"/>
      <c r="AK201" s="287"/>
      <c r="AL201" s="287"/>
      <c r="AM201" s="287"/>
      <c r="AN201" s="287"/>
      <c r="AO201" s="287"/>
      <c r="AP201" s="287"/>
      <c r="AQ201" s="287"/>
      <c r="AR201" s="287"/>
      <c r="AS201" s="287"/>
      <c r="AT201" s="287"/>
      <c r="AU201" s="287"/>
      <c r="AV201" s="287"/>
      <c r="AW201" s="287"/>
      <c r="AX201" s="287"/>
      <c r="AY201" s="287"/>
      <c r="AZ201" s="287"/>
      <c r="BA201" s="287"/>
      <c r="BB201" s="287"/>
      <c r="BC201" s="287"/>
    </row>
    <row r="202" ht="15.75" customHeight="1">
      <c r="A202" s="287"/>
      <c r="B202" s="287"/>
      <c r="C202" s="287"/>
      <c r="D202" s="287"/>
      <c r="E202" s="287"/>
      <c r="F202" s="287"/>
      <c r="G202" s="287"/>
      <c r="H202" s="287"/>
      <c r="I202" s="287"/>
      <c r="J202" s="287"/>
      <c r="K202" s="287"/>
      <c r="L202" s="287"/>
      <c r="M202" s="287"/>
      <c r="N202" s="287"/>
      <c r="O202" s="287"/>
      <c r="P202" s="287"/>
      <c r="Q202" s="287"/>
      <c r="R202" s="287"/>
      <c r="S202" s="287"/>
      <c r="T202" s="287"/>
      <c r="U202" s="287"/>
      <c r="V202" s="287"/>
      <c r="W202" s="287"/>
      <c r="X202" s="287"/>
      <c r="Y202" s="287"/>
      <c r="Z202" s="287"/>
      <c r="AA202" s="287"/>
      <c r="AB202" s="287"/>
      <c r="AC202" s="287"/>
      <c r="AD202" s="287"/>
      <c r="AE202" s="287"/>
      <c r="AF202" s="287"/>
      <c r="AG202" s="287"/>
      <c r="AH202" s="287"/>
      <c r="AI202" s="287"/>
      <c r="AJ202" s="287"/>
      <c r="AK202" s="287"/>
      <c r="AL202" s="287"/>
      <c r="AM202" s="287"/>
      <c r="AN202" s="287"/>
      <c r="AO202" s="287"/>
      <c r="AP202" s="287"/>
      <c r="AQ202" s="287"/>
      <c r="AR202" s="287"/>
      <c r="AS202" s="287"/>
      <c r="AT202" s="287"/>
      <c r="AU202" s="287"/>
      <c r="AV202" s="287"/>
      <c r="AW202" s="287"/>
      <c r="AX202" s="287"/>
      <c r="AY202" s="287"/>
      <c r="AZ202" s="287"/>
      <c r="BA202" s="287"/>
      <c r="BB202" s="287"/>
      <c r="BC202" s="287"/>
    </row>
    <row r="203" ht="15.75" customHeight="1">
      <c r="A203" s="287"/>
      <c r="B203" s="287"/>
      <c r="C203" s="287"/>
      <c r="D203" s="287"/>
      <c r="E203" s="287"/>
      <c r="F203" s="287"/>
      <c r="G203" s="287"/>
      <c r="H203" s="287"/>
      <c r="I203" s="287"/>
      <c r="J203" s="287"/>
      <c r="K203" s="287"/>
      <c r="L203" s="287"/>
      <c r="M203" s="287"/>
      <c r="N203" s="287"/>
      <c r="O203" s="287"/>
      <c r="P203" s="287"/>
      <c r="Q203" s="287"/>
      <c r="R203" s="287"/>
      <c r="S203" s="287"/>
      <c r="T203" s="287"/>
      <c r="U203" s="287"/>
      <c r="V203" s="287"/>
      <c r="W203" s="287"/>
      <c r="X203" s="287"/>
      <c r="Y203" s="287"/>
      <c r="Z203" s="287"/>
      <c r="AA203" s="287"/>
      <c r="AB203" s="287"/>
      <c r="AC203" s="287"/>
      <c r="AD203" s="287"/>
      <c r="AE203" s="287"/>
      <c r="AF203" s="287"/>
      <c r="AG203" s="287"/>
      <c r="AH203" s="287"/>
      <c r="AI203" s="287"/>
      <c r="AJ203" s="287"/>
      <c r="AK203" s="287"/>
      <c r="AL203" s="287"/>
      <c r="AM203" s="287"/>
      <c r="AN203" s="287"/>
      <c r="AO203" s="287"/>
      <c r="AP203" s="287"/>
      <c r="AQ203" s="287"/>
      <c r="AR203" s="287"/>
      <c r="AS203" s="287"/>
      <c r="AT203" s="287"/>
      <c r="AU203" s="287"/>
      <c r="AV203" s="287"/>
      <c r="AW203" s="287"/>
      <c r="AX203" s="287"/>
      <c r="AY203" s="287"/>
      <c r="AZ203" s="287"/>
      <c r="BA203" s="287"/>
      <c r="BB203" s="287"/>
      <c r="BC203" s="287"/>
    </row>
    <row r="204" ht="15.75" customHeight="1">
      <c r="A204" s="287"/>
      <c r="B204" s="287"/>
      <c r="C204" s="287"/>
      <c r="D204" s="287"/>
      <c r="E204" s="287"/>
      <c r="F204" s="287"/>
      <c r="G204" s="287"/>
      <c r="H204" s="287"/>
      <c r="I204" s="287"/>
      <c r="J204" s="287"/>
      <c r="K204" s="287"/>
      <c r="L204" s="287"/>
      <c r="M204" s="287"/>
      <c r="N204" s="287"/>
      <c r="O204" s="287"/>
      <c r="P204" s="287"/>
      <c r="Q204" s="287"/>
      <c r="R204" s="287"/>
      <c r="S204" s="287"/>
      <c r="T204" s="287"/>
      <c r="U204" s="287"/>
      <c r="V204" s="287"/>
      <c r="W204" s="287"/>
      <c r="X204" s="287"/>
      <c r="Y204" s="287"/>
      <c r="Z204" s="287"/>
      <c r="AA204" s="287"/>
      <c r="AB204" s="287"/>
      <c r="AC204" s="287"/>
      <c r="AD204" s="287"/>
      <c r="AE204" s="287"/>
      <c r="AF204" s="287"/>
      <c r="AG204" s="287"/>
      <c r="AH204" s="287"/>
      <c r="AI204" s="287"/>
      <c r="AJ204" s="287"/>
      <c r="AK204" s="287"/>
      <c r="AL204" s="287"/>
      <c r="AM204" s="287"/>
      <c r="AN204" s="287"/>
      <c r="AO204" s="287"/>
      <c r="AP204" s="287"/>
      <c r="AQ204" s="287"/>
      <c r="AR204" s="287"/>
      <c r="AS204" s="287"/>
      <c r="AT204" s="287"/>
      <c r="AU204" s="287"/>
      <c r="AV204" s="287"/>
      <c r="AW204" s="287"/>
      <c r="AX204" s="287"/>
      <c r="AY204" s="287"/>
      <c r="AZ204" s="287"/>
      <c r="BA204" s="287"/>
      <c r="BB204" s="287"/>
      <c r="BC204" s="287"/>
    </row>
    <row r="205" ht="15.75" customHeight="1">
      <c r="A205" s="287"/>
      <c r="B205" s="287"/>
      <c r="C205" s="287"/>
      <c r="D205" s="287"/>
      <c r="E205" s="287"/>
      <c r="F205" s="287"/>
      <c r="G205" s="287"/>
      <c r="H205" s="287"/>
      <c r="I205" s="287"/>
      <c r="J205" s="287"/>
      <c r="K205" s="287"/>
      <c r="L205" s="287"/>
      <c r="M205" s="287"/>
      <c r="N205" s="287"/>
      <c r="O205" s="287"/>
      <c r="P205" s="287"/>
      <c r="Q205" s="287"/>
      <c r="R205" s="287"/>
      <c r="S205" s="287"/>
      <c r="T205" s="287"/>
      <c r="U205" s="287"/>
      <c r="V205" s="287"/>
      <c r="W205" s="287"/>
      <c r="X205" s="287"/>
      <c r="Y205" s="287"/>
      <c r="Z205" s="287"/>
      <c r="AA205" s="287"/>
      <c r="AB205" s="287"/>
      <c r="AC205" s="287"/>
      <c r="AD205" s="287"/>
      <c r="AE205" s="287"/>
      <c r="AF205" s="287"/>
      <c r="AG205" s="287"/>
      <c r="AH205" s="287"/>
      <c r="AI205" s="287"/>
      <c r="AJ205" s="287"/>
      <c r="AK205" s="287"/>
      <c r="AL205" s="287"/>
      <c r="AM205" s="287"/>
      <c r="AN205" s="287"/>
      <c r="AO205" s="287"/>
      <c r="AP205" s="287"/>
      <c r="AQ205" s="287"/>
      <c r="AR205" s="287"/>
      <c r="AS205" s="287"/>
      <c r="AT205" s="287"/>
      <c r="AU205" s="287"/>
      <c r="AV205" s="287"/>
      <c r="AW205" s="287"/>
      <c r="AX205" s="287"/>
      <c r="AY205" s="287"/>
      <c r="AZ205" s="287"/>
      <c r="BA205" s="287"/>
      <c r="BB205" s="287"/>
      <c r="BC205" s="287"/>
    </row>
    <row r="206" ht="15.75" customHeight="1">
      <c r="A206" s="287"/>
      <c r="B206" s="287"/>
      <c r="C206" s="287"/>
      <c r="D206" s="287"/>
      <c r="E206" s="287"/>
      <c r="F206" s="287"/>
      <c r="G206" s="287"/>
      <c r="H206" s="287"/>
      <c r="I206" s="287"/>
      <c r="J206" s="287"/>
      <c r="K206" s="287"/>
      <c r="L206" s="287"/>
      <c r="M206" s="287"/>
      <c r="N206" s="287"/>
      <c r="O206" s="287"/>
      <c r="P206" s="287"/>
      <c r="Q206" s="287"/>
      <c r="R206" s="287"/>
      <c r="S206" s="287"/>
      <c r="T206" s="287"/>
      <c r="U206" s="287"/>
      <c r="V206" s="287"/>
      <c r="W206" s="287"/>
      <c r="X206" s="287"/>
      <c r="Y206" s="287"/>
      <c r="Z206" s="287"/>
      <c r="AA206" s="287"/>
      <c r="AB206" s="287"/>
      <c r="AC206" s="287"/>
      <c r="AD206" s="287"/>
      <c r="AE206" s="287"/>
      <c r="AF206" s="287"/>
      <c r="AG206" s="287"/>
      <c r="AH206" s="287"/>
      <c r="AI206" s="287"/>
      <c r="AJ206" s="287"/>
      <c r="AK206" s="287"/>
      <c r="AL206" s="287"/>
      <c r="AM206" s="287"/>
      <c r="AN206" s="287"/>
      <c r="AO206" s="287"/>
      <c r="AP206" s="287"/>
      <c r="AQ206" s="287"/>
      <c r="AR206" s="287"/>
      <c r="AS206" s="287"/>
      <c r="AT206" s="287"/>
      <c r="AU206" s="287"/>
      <c r="AV206" s="287"/>
      <c r="AW206" s="287"/>
      <c r="AX206" s="287"/>
      <c r="AY206" s="287"/>
      <c r="AZ206" s="287"/>
      <c r="BA206" s="287"/>
      <c r="BB206" s="287"/>
      <c r="BC206" s="287"/>
    </row>
    <row r="207" ht="15.75" customHeight="1">
      <c r="A207" s="287"/>
      <c r="B207" s="287"/>
      <c r="C207" s="287"/>
      <c r="D207" s="287"/>
      <c r="E207" s="287"/>
      <c r="F207" s="287"/>
      <c r="G207" s="287"/>
      <c r="H207" s="287"/>
      <c r="I207" s="287"/>
      <c r="J207" s="287"/>
      <c r="K207" s="287"/>
      <c r="L207" s="287"/>
      <c r="M207" s="287"/>
      <c r="N207" s="287"/>
      <c r="O207" s="287"/>
      <c r="P207" s="287"/>
      <c r="Q207" s="287"/>
      <c r="R207" s="287"/>
      <c r="S207" s="287"/>
      <c r="T207" s="287"/>
      <c r="U207" s="287"/>
      <c r="V207" s="287"/>
      <c r="W207" s="287"/>
      <c r="X207" s="287"/>
      <c r="Y207" s="287"/>
      <c r="Z207" s="287"/>
      <c r="AA207" s="287"/>
      <c r="AB207" s="287"/>
      <c r="AC207" s="287"/>
      <c r="AD207" s="287"/>
      <c r="AE207" s="287"/>
      <c r="AF207" s="287"/>
      <c r="AG207" s="287"/>
      <c r="AH207" s="287"/>
      <c r="AI207" s="287"/>
      <c r="AJ207" s="287"/>
      <c r="AK207" s="287"/>
      <c r="AL207" s="287"/>
      <c r="AM207" s="287"/>
      <c r="AN207" s="287"/>
      <c r="AO207" s="287"/>
      <c r="AP207" s="287"/>
      <c r="AQ207" s="287"/>
      <c r="AR207" s="287"/>
      <c r="AS207" s="287"/>
      <c r="AT207" s="287"/>
      <c r="AU207" s="287"/>
      <c r="AV207" s="287"/>
      <c r="AW207" s="287"/>
      <c r="AX207" s="287"/>
      <c r="AY207" s="287"/>
      <c r="AZ207" s="287"/>
      <c r="BA207" s="287"/>
      <c r="BB207" s="287"/>
      <c r="BC207" s="287"/>
    </row>
    <row r="208" ht="15.75" customHeight="1">
      <c r="A208" s="287"/>
      <c r="B208" s="287"/>
      <c r="C208" s="287"/>
      <c r="D208" s="287"/>
      <c r="E208" s="287"/>
      <c r="F208" s="287"/>
      <c r="G208" s="287"/>
      <c r="H208" s="287"/>
      <c r="I208" s="287"/>
      <c r="J208" s="287"/>
      <c r="K208" s="287"/>
      <c r="L208" s="287"/>
      <c r="M208" s="287"/>
      <c r="N208" s="287"/>
      <c r="O208" s="287"/>
      <c r="P208" s="287"/>
      <c r="Q208" s="287"/>
      <c r="R208" s="287"/>
      <c r="S208" s="287"/>
      <c r="T208" s="287"/>
      <c r="U208" s="287"/>
      <c r="V208" s="287"/>
      <c r="W208" s="287"/>
      <c r="X208" s="287"/>
      <c r="Y208" s="287"/>
      <c r="Z208" s="287"/>
      <c r="AA208" s="287"/>
      <c r="AB208" s="287"/>
      <c r="AC208" s="287"/>
      <c r="AD208" s="287"/>
      <c r="AE208" s="287"/>
      <c r="AF208" s="287"/>
      <c r="AG208" s="287"/>
      <c r="AH208" s="287"/>
      <c r="AI208" s="287"/>
      <c r="AJ208" s="287"/>
      <c r="AK208" s="287"/>
      <c r="AL208" s="287"/>
      <c r="AM208" s="287"/>
      <c r="AN208" s="287"/>
      <c r="AO208" s="287"/>
      <c r="AP208" s="287"/>
      <c r="AQ208" s="287"/>
      <c r="AR208" s="287"/>
      <c r="AS208" s="287"/>
      <c r="AT208" s="287"/>
      <c r="AU208" s="287"/>
      <c r="AV208" s="287"/>
      <c r="AW208" s="287"/>
      <c r="AX208" s="287"/>
      <c r="AY208" s="287"/>
      <c r="AZ208" s="287"/>
      <c r="BA208" s="287"/>
      <c r="BB208" s="287"/>
      <c r="BC208" s="287"/>
    </row>
    <row r="209" ht="15.75" customHeight="1">
      <c r="A209" s="287"/>
      <c r="B209" s="287"/>
      <c r="C209" s="287"/>
      <c r="D209" s="287"/>
      <c r="E209" s="287"/>
      <c r="F209" s="287"/>
      <c r="G209" s="287"/>
      <c r="H209" s="287"/>
      <c r="I209" s="287"/>
      <c r="J209" s="287"/>
      <c r="K209" s="287"/>
      <c r="L209" s="287"/>
      <c r="M209" s="287"/>
      <c r="N209" s="287"/>
      <c r="O209" s="287"/>
      <c r="P209" s="287"/>
      <c r="Q209" s="287"/>
      <c r="R209" s="287"/>
      <c r="S209" s="287"/>
      <c r="T209" s="287"/>
      <c r="U209" s="287"/>
      <c r="V209" s="287"/>
      <c r="W209" s="287"/>
      <c r="X209" s="287"/>
      <c r="Y209" s="287"/>
      <c r="Z209" s="287"/>
      <c r="AA209" s="287"/>
      <c r="AB209" s="287"/>
      <c r="AC209" s="287"/>
      <c r="AD209" s="287"/>
      <c r="AE209" s="287"/>
      <c r="AF209" s="287"/>
      <c r="AG209" s="287"/>
      <c r="AH209" s="287"/>
      <c r="AI209" s="287"/>
      <c r="AJ209" s="287"/>
      <c r="AK209" s="287"/>
      <c r="AL209" s="287"/>
      <c r="AM209" s="287"/>
      <c r="AN209" s="287"/>
      <c r="AO209" s="287"/>
      <c r="AP209" s="287"/>
      <c r="AQ209" s="287"/>
      <c r="AR209" s="287"/>
      <c r="AS209" s="287"/>
      <c r="AT209" s="287"/>
      <c r="AU209" s="287"/>
      <c r="AV209" s="287"/>
      <c r="AW209" s="287"/>
      <c r="AX209" s="287"/>
      <c r="AY209" s="287"/>
      <c r="AZ209" s="287"/>
      <c r="BA209" s="287"/>
      <c r="BB209" s="287"/>
      <c r="BC209" s="287"/>
    </row>
    <row r="210" ht="15.75" customHeight="1">
      <c r="A210" s="287"/>
      <c r="B210" s="287"/>
      <c r="C210" s="287"/>
      <c r="D210" s="287"/>
      <c r="E210" s="287"/>
      <c r="F210" s="287"/>
      <c r="G210" s="287"/>
      <c r="H210" s="287"/>
      <c r="I210" s="287"/>
      <c r="J210" s="287"/>
      <c r="K210" s="287"/>
      <c r="L210" s="287"/>
      <c r="M210" s="287"/>
      <c r="N210" s="287"/>
      <c r="O210" s="287"/>
      <c r="P210" s="287"/>
      <c r="Q210" s="287"/>
      <c r="R210" s="287"/>
      <c r="S210" s="287"/>
      <c r="T210" s="287"/>
      <c r="U210" s="287"/>
      <c r="V210" s="287"/>
      <c r="W210" s="287"/>
      <c r="X210" s="287"/>
      <c r="Y210" s="287"/>
      <c r="Z210" s="287"/>
      <c r="AA210" s="287"/>
      <c r="AB210" s="287"/>
      <c r="AC210" s="287"/>
      <c r="AD210" s="287"/>
      <c r="AE210" s="287"/>
      <c r="AF210" s="287"/>
      <c r="AG210" s="287"/>
      <c r="AH210" s="287"/>
      <c r="AI210" s="287"/>
      <c r="AJ210" s="287"/>
      <c r="AK210" s="287"/>
      <c r="AL210" s="287"/>
      <c r="AM210" s="287"/>
      <c r="AN210" s="287"/>
      <c r="AO210" s="287"/>
      <c r="AP210" s="287"/>
      <c r="AQ210" s="287"/>
      <c r="AR210" s="287"/>
      <c r="AS210" s="287"/>
      <c r="AT210" s="287"/>
      <c r="AU210" s="287"/>
      <c r="AV210" s="287"/>
      <c r="AW210" s="287"/>
      <c r="AX210" s="287"/>
      <c r="AY210" s="287"/>
      <c r="AZ210" s="287"/>
      <c r="BA210" s="287"/>
      <c r="BB210" s="287"/>
      <c r="BC210" s="287"/>
    </row>
    <row r="211" ht="15.75" customHeight="1">
      <c r="A211" s="287"/>
      <c r="B211" s="287"/>
      <c r="C211" s="287"/>
      <c r="D211" s="287"/>
      <c r="E211" s="287"/>
      <c r="F211" s="287"/>
      <c r="G211" s="287"/>
      <c r="H211" s="287"/>
      <c r="I211" s="287"/>
      <c r="J211" s="287"/>
      <c r="K211" s="287"/>
      <c r="L211" s="287"/>
      <c r="M211" s="287"/>
      <c r="N211" s="287"/>
      <c r="O211" s="287"/>
      <c r="P211" s="287"/>
      <c r="Q211" s="287"/>
      <c r="R211" s="287"/>
      <c r="S211" s="287"/>
      <c r="T211" s="287"/>
      <c r="U211" s="287"/>
      <c r="V211" s="287"/>
      <c r="W211" s="287"/>
      <c r="X211" s="287"/>
      <c r="Y211" s="287"/>
      <c r="Z211" s="287"/>
      <c r="AA211" s="287"/>
      <c r="AB211" s="287"/>
      <c r="AC211" s="287"/>
      <c r="AD211" s="287"/>
      <c r="AE211" s="287"/>
      <c r="AF211" s="287"/>
      <c r="AG211" s="287"/>
      <c r="AH211" s="287"/>
      <c r="AI211" s="287"/>
      <c r="AJ211" s="287"/>
      <c r="AK211" s="287"/>
      <c r="AL211" s="287"/>
      <c r="AM211" s="287"/>
      <c r="AN211" s="287"/>
      <c r="AO211" s="287"/>
      <c r="AP211" s="287"/>
      <c r="AQ211" s="287"/>
      <c r="AR211" s="287"/>
      <c r="AS211" s="287"/>
      <c r="AT211" s="287"/>
      <c r="AU211" s="287"/>
      <c r="AV211" s="287"/>
      <c r="AW211" s="287"/>
      <c r="AX211" s="287"/>
      <c r="AY211" s="287"/>
      <c r="AZ211" s="287"/>
      <c r="BA211" s="287"/>
      <c r="BB211" s="287"/>
      <c r="BC211" s="287"/>
    </row>
    <row r="212" ht="15.75" customHeight="1">
      <c r="A212" s="287"/>
      <c r="B212" s="287"/>
      <c r="C212" s="287"/>
      <c r="D212" s="287"/>
      <c r="E212" s="287"/>
      <c r="F212" s="287"/>
      <c r="G212" s="287"/>
      <c r="H212" s="287"/>
      <c r="I212" s="287"/>
      <c r="J212" s="287"/>
      <c r="K212" s="287"/>
      <c r="L212" s="287"/>
      <c r="M212" s="287"/>
      <c r="N212" s="287"/>
      <c r="O212" s="287"/>
      <c r="P212" s="287"/>
      <c r="Q212" s="287"/>
      <c r="R212" s="287"/>
      <c r="S212" s="287"/>
      <c r="T212" s="287"/>
      <c r="U212" s="287"/>
      <c r="V212" s="287"/>
      <c r="W212" s="287"/>
      <c r="X212" s="287"/>
      <c r="Y212" s="287"/>
      <c r="Z212" s="287"/>
      <c r="AA212" s="287"/>
      <c r="AB212" s="287"/>
      <c r="AC212" s="287"/>
      <c r="AD212" s="287"/>
      <c r="AE212" s="287"/>
      <c r="AF212" s="287"/>
      <c r="AG212" s="287"/>
      <c r="AH212" s="287"/>
      <c r="AI212" s="287"/>
      <c r="AJ212" s="287"/>
      <c r="AK212" s="287"/>
      <c r="AL212" s="287"/>
      <c r="AM212" s="287"/>
      <c r="AN212" s="287"/>
      <c r="AO212" s="287"/>
      <c r="AP212" s="287"/>
      <c r="AQ212" s="287"/>
      <c r="AR212" s="287"/>
      <c r="AS212" s="287"/>
      <c r="AT212" s="287"/>
      <c r="AU212" s="287"/>
      <c r="AV212" s="287"/>
      <c r="AW212" s="287"/>
      <c r="AX212" s="287"/>
      <c r="AY212" s="287"/>
      <c r="AZ212" s="287"/>
      <c r="BA212" s="287"/>
      <c r="BB212" s="287"/>
      <c r="BC212" s="287"/>
    </row>
    <row r="213" ht="15.75" customHeight="1">
      <c r="A213" s="287"/>
      <c r="B213" s="287"/>
      <c r="C213" s="287"/>
      <c r="D213" s="287"/>
      <c r="E213" s="287"/>
      <c r="F213" s="287"/>
      <c r="G213" s="287"/>
      <c r="H213" s="287"/>
      <c r="I213" s="287"/>
      <c r="J213" s="287"/>
      <c r="K213" s="287"/>
      <c r="L213" s="287"/>
      <c r="M213" s="287"/>
      <c r="N213" s="287"/>
      <c r="O213" s="287"/>
      <c r="P213" s="287"/>
      <c r="Q213" s="287"/>
      <c r="R213" s="287"/>
      <c r="S213" s="287"/>
      <c r="T213" s="287"/>
      <c r="U213" s="287"/>
      <c r="V213" s="287"/>
      <c r="W213" s="287"/>
      <c r="X213" s="287"/>
      <c r="Y213" s="287"/>
      <c r="Z213" s="287"/>
      <c r="AA213" s="287"/>
      <c r="AB213" s="287"/>
      <c r="AC213" s="287"/>
      <c r="AD213" s="287"/>
      <c r="AE213" s="287"/>
      <c r="AF213" s="287"/>
      <c r="AG213" s="287"/>
      <c r="AH213" s="287"/>
      <c r="AI213" s="287"/>
      <c r="AJ213" s="287"/>
      <c r="AK213" s="287"/>
      <c r="AL213" s="287"/>
      <c r="AM213" s="287"/>
      <c r="AN213" s="287"/>
      <c r="AO213" s="287"/>
      <c r="AP213" s="287"/>
      <c r="AQ213" s="287"/>
      <c r="AR213" s="287"/>
      <c r="AS213" s="287"/>
      <c r="AT213" s="287"/>
      <c r="AU213" s="287"/>
      <c r="AV213" s="287"/>
      <c r="AW213" s="287"/>
      <c r="AX213" s="287"/>
      <c r="AY213" s="287"/>
      <c r="AZ213" s="287"/>
      <c r="BA213" s="287"/>
      <c r="BB213" s="287"/>
      <c r="BC213" s="287"/>
    </row>
    <row r="214" ht="15.75" customHeight="1">
      <c r="A214" s="287"/>
      <c r="B214" s="287"/>
      <c r="C214" s="287"/>
      <c r="D214" s="287"/>
      <c r="E214" s="287"/>
      <c r="F214" s="287"/>
      <c r="G214" s="287"/>
      <c r="H214" s="287"/>
      <c r="I214" s="287"/>
      <c r="J214" s="287"/>
      <c r="K214" s="287"/>
      <c r="L214" s="287"/>
      <c r="M214" s="287"/>
      <c r="N214" s="287"/>
      <c r="O214" s="287"/>
      <c r="P214" s="287"/>
      <c r="Q214" s="287"/>
      <c r="R214" s="287"/>
      <c r="S214" s="287"/>
      <c r="T214" s="287"/>
      <c r="U214" s="287"/>
      <c r="V214" s="287"/>
      <c r="W214" s="287"/>
      <c r="X214" s="287"/>
      <c r="Y214" s="287"/>
      <c r="Z214" s="287"/>
      <c r="AA214" s="287"/>
      <c r="AB214" s="287"/>
      <c r="AC214" s="287"/>
      <c r="AD214" s="287"/>
      <c r="AE214" s="287"/>
      <c r="AF214" s="287"/>
      <c r="AG214" s="287"/>
      <c r="AH214" s="287"/>
      <c r="AI214" s="287"/>
      <c r="AJ214" s="287"/>
      <c r="AK214" s="287"/>
      <c r="AL214" s="287"/>
      <c r="AM214" s="287"/>
      <c r="AN214" s="287"/>
      <c r="AO214" s="287"/>
      <c r="AP214" s="287"/>
      <c r="AQ214" s="287"/>
      <c r="AR214" s="287"/>
      <c r="AS214" s="287"/>
      <c r="AT214" s="287"/>
      <c r="AU214" s="287"/>
      <c r="AV214" s="287"/>
      <c r="AW214" s="287"/>
      <c r="AX214" s="287"/>
      <c r="AY214" s="287"/>
      <c r="AZ214" s="287"/>
      <c r="BA214" s="287"/>
      <c r="BB214" s="287"/>
      <c r="BC214" s="287"/>
    </row>
    <row r="215" ht="15.75" customHeight="1">
      <c r="A215" s="287"/>
      <c r="B215" s="287"/>
      <c r="C215" s="287"/>
      <c r="D215" s="287"/>
      <c r="E215" s="287"/>
      <c r="F215" s="287"/>
      <c r="G215" s="287"/>
      <c r="H215" s="287"/>
      <c r="I215" s="287"/>
      <c r="J215" s="287"/>
      <c r="K215" s="287"/>
      <c r="L215" s="287"/>
      <c r="M215" s="287"/>
      <c r="N215" s="287"/>
      <c r="O215" s="287"/>
      <c r="P215" s="287"/>
      <c r="Q215" s="287"/>
      <c r="R215" s="287"/>
      <c r="S215" s="287"/>
      <c r="T215" s="287"/>
      <c r="U215" s="287"/>
      <c r="V215" s="287"/>
      <c r="W215" s="287"/>
      <c r="X215" s="287"/>
      <c r="Y215" s="287"/>
      <c r="Z215" s="287"/>
      <c r="AA215" s="287"/>
      <c r="AB215" s="287"/>
      <c r="AC215" s="287"/>
      <c r="AD215" s="287"/>
      <c r="AE215" s="287"/>
      <c r="AF215" s="287"/>
      <c r="AG215" s="287"/>
      <c r="AH215" s="287"/>
      <c r="AI215" s="287"/>
      <c r="AJ215" s="287"/>
      <c r="AK215" s="287"/>
      <c r="AL215" s="287"/>
      <c r="AM215" s="287"/>
      <c r="AN215" s="287"/>
      <c r="AO215" s="287"/>
      <c r="AP215" s="287"/>
      <c r="AQ215" s="287"/>
      <c r="AR215" s="287"/>
      <c r="AS215" s="287"/>
      <c r="AT215" s="287"/>
      <c r="AU215" s="287"/>
      <c r="AV215" s="287"/>
      <c r="AW215" s="287"/>
      <c r="AX215" s="287"/>
      <c r="AY215" s="287"/>
      <c r="AZ215" s="287"/>
      <c r="BA215" s="287"/>
      <c r="BB215" s="287"/>
      <c r="BC215" s="287"/>
    </row>
    <row r="216" ht="15.75" customHeight="1">
      <c r="A216" s="287"/>
      <c r="B216" s="287"/>
      <c r="C216" s="287"/>
      <c r="D216" s="287"/>
      <c r="E216" s="287"/>
      <c r="F216" s="287"/>
      <c r="G216" s="287"/>
      <c r="H216" s="287"/>
      <c r="I216" s="287"/>
      <c r="J216" s="287"/>
      <c r="K216" s="287"/>
      <c r="L216" s="287"/>
      <c r="M216" s="287"/>
      <c r="N216" s="287"/>
      <c r="O216" s="287"/>
      <c r="P216" s="287"/>
      <c r="Q216" s="287"/>
      <c r="R216" s="287"/>
      <c r="S216" s="287"/>
      <c r="T216" s="287"/>
      <c r="U216" s="287"/>
      <c r="V216" s="287"/>
      <c r="W216" s="287"/>
      <c r="X216" s="287"/>
      <c r="Y216" s="287"/>
      <c r="Z216" s="287"/>
      <c r="AA216" s="287"/>
      <c r="AB216" s="287"/>
      <c r="AC216" s="287"/>
      <c r="AD216" s="287"/>
      <c r="AE216" s="287"/>
      <c r="AF216" s="287"/>
      <c r="AG216" s="287"/>
      <c r="AH216" s="287"/>
      <c r="AI216" s="287"/>
      <c r="AJ216" s="287"/>
      <c r="AK216" s="287"/>
      <c r="AL216" s="287"/>
      <c r="AM216" s="287"/>
      <c r="AN216" s="287"/>
      <c r="AO216" s="287"/>
      <c r="AP216" s="287"/>
      <c r="AQ216" s="287"/>
      <c r="AR216" s="287"/>
      <c r="AS216" s="287"/>
      <c r="AT216" s="287"/>
      <c r="AU216" s="287"/>
      <c r="AV216" s="287"/>
      <c r="AW216" s="287"/>
      <c r="AX216" s="287"/>
      <c r="AY216" s="287"/>
      <c r="AZ216" s="287"/>
      <c r="BA216" s="287"/>
      <c r="BB216" s="287"/>
      <c r="BC216" s="287"/>
    </row>
    <row r="217" ht="15.75" customHeight="1">
      <c r="A217" s="287"/>
      <c r="B217" s="287"/>
      <c r="C217" s="287"/>
      <c r="D217" s="287"/>
      <c r="E217" s="287"/>
      <c r="F217" s="287"/>
      <c r="G217" s="287"/>
      <c r="H217" s="287"/>
      <c r="I217" s="287"/>
      <c r="J217" s="287"/>
      <c r="K217" s="287"/>
      <c r="L217" s="287"/>
      <c r="M217" s="287"/>
      <c r="N217" s="287"/>
      <c r="O217" s="287"/>
      <c r="P217" s="287"/>
      <c r="Q217" s="287"/>
      <c r="R217" s="287"/>
      <c r="S217" s="287"/>
      <c r="T217" s="287"/>
      <c r="U217" s="287"/>
      <c r="V217" s="287"/>
      <c r="W217" s="287"/>
      <c r="X217" s="287"/>
      <c r="Y217" s="287"/>
      <c r="Z217" s="287"/>
      <c r="AA217" s="287"/>
      <c r="AB217" s="287"/>
      <c r="AC217" s="287"/>
      <c r="AD217" s="287"/>
      <c r="AE217" s="287"/>
      <c r="AF217" s="287"/>
      <c r="AG217" s="287"/>
      <c r="AH217" s="287"/>
      <c r="AI217" s="287"/>
      <c r="AJ217" s="287"/>
      <c r="AK217" s="287"/>
      <c r="AL217" s="287"/>
      <c r="AM217" s="287"/>
      <c r="AN217" s="287"/>
      <c r="AO217" s="287"/>
      <c r="AP217" s="287"/>
      <c r="AQ217" s="287"/>
      <c r="AR217" s="287"/>
      <c r="AS217" s="287"/>
      <c r="AT217" s="287"/>
      <c r="AU217" s="287"/>
      <c r="AV217" s="287"/>
      <c r="AW217" s="287"/>
      <c r="AX217" s="287"/>
      <c r="AY217" s="287"/>
      <c r="AZ217" s="287"/>
      <c r="BA217" s="287"/>
      <c r="BB217" s="287"/>
      <c r="BC217" s="287"/>
    </row>
    <row r="218" ht="15.75" customHeight="1">
      <c r="A218" s="287"/>
      <c r="B218" s="287"/>
      <c r="C218" s="287"/>
      <c r="D218" s="287"/>
      <c r="E218" s="287"/>
      <c r="F218" s="287"/>
      <c r="G218" s="287"/>
      <c r="H218" s="287"/>
      <c r="I218" s="287"/>
      <c r="J218" s="287"/>
      <c r="K218" s="287"/>
      <c r="L218" s="287"/>
      <c r="M218" s="287"/>
      <c r="N218" s="287"/>
      <c r="O218" s="287"/>
      <c r="P218" s="287"/>
      <c r="Q218" s="287"/>
      <c r="R218" s="287"/>
      <c r="S218" s="287"/>
      <c r="T218" s="287"/>
      <c r="U218" s="287"/>
      <c r="V218" s="287"/>
      <c r="W218" s="287"/>
      <c r="X218" s="287"/>
      <c r="Y218" s="287"/>
      <c r="Z218" s="287"/>
      <c r="AA218" s="287"/>
      <c r="AB218" s="287"/>
      <c r="AC218" s="287"/>
      <c r="AD218" s="287"/>
      <c r="AE218" s="287"/>
      <c r="AF218" s="287"/>
      <c r="AG218" s="287"/>
      <c r="AH218" s="287"/>
      <c r="AI218" s="287"/>
      <c r="AJ218" s="287"/>
      <c r="AK218" s="287"/>
      <c r="AL218" s="287"/>
      <c r="AM218" s="287"/>
      <c r="AN218" s="287"/>
      <c r="AO218" s="287"/>
      <c r="AP218" s="287"/>
      <c r="AQ218" s="287"/>
      <c r="AR218" s="287"/>
      <c r="AS218" s="287"/>
      <c r="AT218" s="287"/>
      <c r="AU218" s="287"/>
      <c r="AV218" s="287"/>
      <c r="AW218" s="287"/>
      <c r="AX218" s="287"/>
      <c r="AY218" s="287"/>
      <c r="AZ218" s="287"/>
      <c r="BA218" s="287"/>
      <c r="BB218" s="287"/>
      <c r="BC218" s="287"/>
    </row>
    <row r="219" ht="15.75" customHeight="1">
      <c r="A219" s="287"/>
      <c r="B219" s="287"/>
      <c r="C219" s="287"/>
      <c r="D219" s="287"/>
      <c r="E219" s="287"/>
      <c r="F219" s="287"/>
      <c r="G219" s="287"/>
      <c r="H219" s="287"/>
      <c r="I219" s="287"/>
      <c r="J219" s="287"/>
      <c r="K219" s="287"/>
      <c r="L219" s="287"/>
      <c r="M219" s="287"/>
      <c r="N219" s="287"/>
      <c r="O219" s="287"/>
      <c r="P219" s="287"/>
      <c r="Q219" s="287"/>
      <c r="R219" s="287"/>
      <c r="S219" s="287"/>
      <c r="T219" s="287"/>
      <c r="U219" s="287"/>
      <c r="V219" s="287"/>
      <c r="W219" s="287"/>
      <c r="X219" s="287"/>
      <c r="Y219" s="287"/>
      <c r="Z219" s="287"/>
      <c r="AA219" s="287"/>
      <c r="AB219" s="287"/>
      <c r="AC219" s="287"/>
      <c r="AD219" s="287"/>
      <c r="AE219" s="287"/>
      <c r="AF219" s="287"/>
      <c r="AG219" s="287"/>
      <c r="AH219" s="287"/>
      <c r="AI219" s="287"/>
      <c r="AJ219" s="287"/>
      <c r="AK219" s="287"/>
      <c r="AL219" s="287"/>
      <c r="AM219" s="287"/>
      <c r="AN219" s="287"/>
      <c r="AO219" s="287"/>
      <c r="AP219" s="287"/>
      <c r="AQ219" s="287"/>
      <c r="AR219" s="287"/>
      <c r="AS219" s="287"/>
      <c r="AT219" s="287"/>
      <c r="AU219" s="287"/>
      <c r="AV219" s="287"/>
      <c r="AW219" s="287"/>
      <c r="AX219" s="287"/>
      <c r="AY219" s="287"/>
      <c r="AZ219" s="287"/>
      <c r="BA219" s="287"/>
      <c r="BB219" s="287"/>
      <c r="BC219" s="287"/>
    </row>
    <row r="220" ht="15.75" customHeight="1">
      <c r="A220" s="287"/>
      <c r="B220" s="287"/>
      <c r="C220" s="287"/>
      <c r="D220" s="287"/>
      <c r="E220" s="287"/>
      <c r="F220" s="287"/>
      <c r="G220" s="287"/>
      <c r="H220" s="287"/>
      <c r="I220" s="287"/>
      <c r="J220" s="287"/>
      <c r="K220" s="287"/>
      <c r="L220" s="287"/>
      <c r="M220" s="287"/>
      <c r="N220" s="287"/>
      <c r="O220" s="287"/>
      <c r="P220" s="287"/>
      <c r="Q220" s="287"/>
      <c r="R220" s="287"/>
      <c r="S220" s="287"/>
      <c r="T220" s="287"/>
      <c r="U220" s="287"/>
      <c r="V220" s="287"/>
      <c r="W220" s="287"/>
      <c r="X220" s="287"/>
      <c r="Y220" s="287"/>
      <c r="Z220" s="287"/>
      <c r="AA220" s="287"/>
      <c r="AB220" s="287"/>
      <c r="AC220" s="287"/>
      <c r="AD220" s="287"/>
      <c r="AE220" s="287"/>
      <c r="AF220" s="287"/>
      <c r="AG220" s="287"/>
      <c r="AH220" s="287"/>
      <c r="AI220" s="287"/>
      <c r="AJ220" s="287"/>
      <c r="AK220" s="287"/>
      <c r="AL220" s="287"/>
      <c r="AM220" s="287"/>
      <c r="AN220" s="287"/>
      <c r="AO220" s="287"/>
      <c r="AP220" s="287"/>
      <c r="AQ220" s="287"/>
      <c r="AR220" s="287"/>
      <c r="AS220" s="287"/>
      <c r="AT220" s="287"/>
      <c r="AU220" s="287"/>
      <c r="AV220" s="287"/>
      <c r="AW220" s="287"/>
      <c r="AX220" s="287"/>
      <c r="AY220" s="287"/>
      <c r="AZ220" s="287"/>
      <c r="BA220" s="287"/>
      <c r="BB220" s="287"/>
      <c r="BC220" s="287"/>
    </row>
    <row r="221" ht="15.75" customHeight="1">
      <c r="A221" s="287"/>
      <c r="B221" s="287"/>
      <c r="C221" s="287"/>
      <c r="D221" s="287"/>
      <c r="E221" s="287"/>
      <c r="F221" s="287"/>
      <c r="G221" s="287"/>
      <c r="H221" s="287"/>
      <c r="I221" s="287"/>
      <c r="J221" s="287"/>
      <c r="K221" s="287"/>
      <c r="L221" s="287"/>
      <c r="M221" s="287"/>
      <c r="N221" s="287"/>
      <c r="O221" s="287"/>
      <c r="P221" s="287"/>
      <c r="Q221" s="287"/>
      <c r="R221" s="287"/>
      <c r="S221" s="287"/>
      <c r="T221" s="287"/>
      <c r="U221" s="287"/>
      <c r="V221" s="287"/>
      <c r="W221" s="287"/>
      <c r="X221" s="287"/>
      <c r="Y221" s="287"/>
      <c r="Z221" s="287"/>
      <c r="AA221" s="287"/>
      <c r="AB221" s="287"/>
      <c r="AC221" s="287"/>
      <c r="AD221" s="287"/>
      <c r="AE221" s="287"/>
      <c r="AF221" s="287"/>
      <c r="AG221" s="287"/>
      <c r="AH221" s="287"/>
      <c r="AI221" s="287"/>
      <c r="AJ221" s="287"/>
      <c r="AK221" s="287"/>
      <c r="AL221" s="287"/>
      <c r="AM221" s="287"/>
      <c r="AN221" s="287"/>
      <c r="AO221" s="287"/>
      <c r="AP221" s="287"/>
      <c r="AQ221" s="287"/>
      <c r="AR221" s="287"/>
      <c r="AS221" s="287"/>
      <c r="AT221" s="287"/>
      <c r="AU221" s="287"/>
      <c r="AV221" s="287"/>
      <c r="AW221" s="287"/>
      <c r="AX221" s="287"/>
      <c r="AY221" s="287"/>
      <c r="AZ221" s="287"/>
      <c r="BA221" s="287"/>
      <c r="BB221" s="287"/>
      <c r="BC221" s="287"/>
    </row>
    <row r="222" ht="15.75" customHeight="1">
      <c r="A222" s="287"/>
      <c r="B222" s="287"/>
      <c r="C222" s="287"/>
      <c r="D222" s="287"/>
      <c r="E222" s="287"/>
      <c r="F222" s="287"/>
      <c r="G222" s="287"/>
      <c r="H222" s="287"/>
      <c r="I222" s="287"/>
      <c r="J222" s="287"/>
      <c r="K222" s="287"/>
      <c r="L222" s="287"/>
      <c r="M222" s="287"/>
      <c r="N222" s="287"/>
      <c r="O222" s="287"/>
      <c r="P222" s="287"/>
      <c r="Q222" s="287"/>
      <c r="R222" s="287"/>
      <c r="S222" s="287"/>
      <c r="T222" s="287"/>
      <c r="U222" s="287"/>
      <c r="V222" s="287"/>
      <c r="W222" s="287"/>
      <c r="X222" s="287"/>
      <c r="Y222" s="287"/>
      <c r="Z222" s="287"/>
      <c r="AA222" s="287"/>
      <c r="AB222" s="287"/>
      <c r="AC222" s="287"/>
      <c r="AD222" s="287"/>
      <c r="AE222" s="287"/>
      <c r="AF222" s="287"/>
      <c r="AG222" s="287"/>
      <c r="AH222" s="287"/>
      <c r="AI222" s="287"/>
      <c r="AJ222" s="287"/>
      <c r="AK222" s="287"/>
      <c r="AL222" s="287"/>
      <c r="AM222" s="287"/>
      <c r="AN222" s="287"/>
      <c r="AO222" s="287"/>
      <c r="AP222" s="287"/>
      <c r="AQ222" s="287"/>
      <c r="AR222" s="287"/>
      <c r="AS222" s="287"/>
      <c r="AT222" s="287"/>
      <c r="AU222" s="287"/>
      <c r="AV222" s="287"/>
      <c r="AW222" s="287"/>
      <c r="AX222" s="287"/>
      <c r="AY222" s="287"/>
      <c r="AZ222" s="287"/>
      <c r="BA222" s="287"/>
      <c r="BB222" s="287"/>
      <c r="BC222" s="287"/>
    </row>
    <row r="223" ht="15.75" customHeight="1">
      <c r="A223" s="287"/>
      <c r="B223" s="287"/>
      <c r="C223" s="287"/>
      <c r="D223" s="287"/>
      <c r="E223" s="287"/>
      <c r="F223" s="287"/>
      <c r="G223" s="287"/>
      <c r="H223" s="287"/>
      <c r="I223" s="287"/>
      <c r="J223" s="287"/>
      <c r="K223" s="287"/>
      <c r="L223" s="287"/>
      <c r="M223" s="287"/>
      <c r="N223" s="287"/>
      <c r="O223" s="287"/>
      <c r="P223" s="287"/>
      <c r="Q223" s="287"/>
      <c r="R223" s="287"/>
      <c r="S223" s="287"/>
      <c r="T223" s="287"/>
      <c r="U223" s="287"/>
      <c r="V223" s="287"/>
      <c r="W223" s="287"/>
      <c r="X223" s="287"/>
      <c r="Y223" s="287"/>
      <c r="Z223" s="287"/>
      <c r="AA223" s="287"/>
      <c r="AB223" s="287"/>
      <c r="AC223" s="287"/>
      <c r="AD223" s="287"/>
      <c r="AE223" s="287"/>
      <c r="AF223" s="287"/>
      <c r="AG223" s="287"/>
      <c r="AH223" s="287"/>
      <c r="AI223" s="287"/>
      <c r="AJ223" s="287"/>
      <c r="AK223" s="287"/>
      <c r="AL223" s="287"/>
      <c r="AM223" s="287"/>
      <c r="AN223" s="287"/>
      <c r="AO223" s="287"/>
      <c r="AP223" s="287"/>
      <c r="AQ223" s="287"/>
      <c r="AR223" s="287"/>
      <c r="AS223" s="287"/>
      <c r="AT223" s="287"/>
      <c r="AU223" s="287"/>
      <c r="AV223" s="287"/>
      <c r="AW223" s="287"/>
      <c r="AX223" s="287"/>
      <c r="AY223" s="287"/>
      <c r="AZ223" s="287"/>
      <c r="BA223" s="287"/>
      <c r="BB223" s="287"/>
      <c r="BC223" s="287"/>
    </row>
    <row r="224" ht="15.75" customHeight="1">
      <c r="A224" s="287"/>
      <c r="B224" s="287"/>
      <c r="C224" s="287"/>
      <c r="D224" s="287"/>
      <c r="E224" s="287"/>
      <c r="F224" s="287"/>
      <c r="G224" s="287"/>
      <c r="H224" s="287"/>
      <c r="I224" s="287"/>
      <c r="J224" s="287"/>
      <c r="K224" s="287"/>
      <c r="L224" s="287"/>
      <c r="M224" s="287"/>
      <c r="N224" s="287"/>
      <c r="O224" s="287"/>
      <c r="P224" s="287"/>
      <c r="Q224" s="287"/>
      <c r="R224" s="287"/>
      <c r="S224" s="287"/>
      <c r="T224" s="287"/>
      <c r="U224" s="287"/>
      <c r="V224" s="287"/>
      <c r="W224" s="287"/>
      <c r="X224" s="287"/>
      <c r="Y224" s="287"/>
      <c r="Z224" s="287"/>
      <c r="AA224" s="287"/>
      <c r="AB224" s="287"/>
      <c r="AC224" s="287"/>
      <c r="AD224" s="287"/>
      <c r="AE224" s="287"/>
      <c r="AF224" s="287"/>
      <c r="AG224" s="287"/>
      <c r="AH224" s="287"/>
      <c r="AI224" s="287"/>
      <c r="AJ224" s="287"/>
      <c r="AK224" s="287"/>
      <c r="AL224" s="287"/>
      <c r="AM224" s="287"/>
      <c r="AN224" s="287"/>
      <c r="AO224" s="287"/>
      <c r="AP224" s="287"/>
      <c r="AQ224" s="287"/>
      <c r="AR224" s="287"/>
      <c r="AS224" s="287"/>
      <c r="AT224" s="287"/>
      <c r="AU224" s="287"/>
      <c r="AV224" s="287"/>
      <c r="AW224" s="287"/>
      <c r="AX224" s="287"/>
      <c r="AY224" s="287"/>
      <c r="AZ224" s="287"/>
      <c r="BA224" s="287"/>
      <c r="BB224" s="287"/>
      <c r="BC224" s="287"/>
    </row>
    <row r="225" ht="15.75" customHeight="1">
      <c r="A225" s="287"/>
      <c r="B225" s="287"/>
      <c r="C225" s="287"/>
      <c r="D225" s="287"/>
      <c r="E225" s="287"/>
      <c r="F225" s="287"/>
      <c r="G225" s="287"/>
      <c r="H225" s="287"/>
      <c r="I225" s="287"/>
      <c r="J225" s="287"/>
      <c r="K225" s="287"/>
      <c r="L225" s="287"/>
      <c r="M225" s="287"/>
      <c r="N225" s="287"/>
      <c r="O225" s="287"/>
      <c r="P225" s="287"/>
      <c r="Q225" s="287"/>
      <c r="R225" s="287"/>
      <c r="S225" s="287"/>
      <c r="T225" s="287"/>
      <c r="U225" s="287"/>
      <c r="V225" s="287"/>
      <c r="W225" s="287"/>
      <c r="X225" s="287"/>
      <c r="Y225" s="287"/>
      <c r="Z225" s="287"/>
      <c r="AA225" s="287"/>
      <c r="AB225" s="287"/>
      <c r="AC225" s="287"/>
      <c r="AD225" s="287"/>
      <c r="AE225" s="287"/>
      <c r="AF225" s="287"/>
      <c r="AG225" s="287"/>
      <c r="AH225" s="287"/>
      <c r="AI225" s="287"/>
      <c r="AJ225" s="287"/>
      <c r="AK225" s="287"/>
      <c r="AL225" s="287"/>
      <c r="AM225" s="287"/>
      <c r="AN225" s="287"/>
      <c r="AO225" s="287"/>
      <c r="AP225" s="287"/>
      <c r="AQ225" s="287"/>
      <c r="AR225" s="287"/>
      <c r="AS225" s="287"/>
      <c r="AT225" s="287"/>
      <c r="AU225" s="287"/>
      <c r="AV225" s="287"/>
      <c r="AW225" s="287"/>
      <c r="AX225" s="287"/>
      <c r="AY225" s="287"/>
      <c r="AZ225" s="287"/>
      <c r="BA225" s="287"/>
      <c r="BB225" s="287"/>
      <c r="BC225" s="287"/>
    </row>
    <row r="226" ht="15.75" customHeight="1">
      <c r="A226" s="287"/>
      <c r="B226" s="287"/>
      <c r="C226" s="287"/>
      <c r="D226" s="287"/>
      <c r="E226" s="287"/>
      <c r="F226" s="287"/>
      <c r="G226" s="287"/>
      <c r="H226" s="287"/>
      <c r="I226" s="287"/>
      <c r="J226" s="287"/>
      <c r="K226" s="287"/>
      <c r="L226" s="287"/>
      <c r="M226" s="287"/>
      <c r="N226" s="287"/>
      <c r="O226" s="287"/>
      <c r="P226" s="287"/>
      <c r="Q226" s="287"/>
      <c r="R226" s="287"/>
      <c r="S226" s="287"/>
      <c r="T226" s="287"/>
      <c r="U226" s="287"/>
      <c r="V226" s="287"/>
      <c r="W226" s="287"/>
      <c r="X226" s="287"/>
      <c r="Y226" s="287"/>
      <c r="Z226" s="287"/>
      <c r="AA226" s="287"/>
      <c r="AB226" s="287"/>
      <c r="AC226" s="287"/>
      <c r="AD226" s="287"/>
      <c r="AE226" s="287"/>
      <c r="AF226" s="287"/>
      <c r="AG226" s="287"/>
      <c r="AH226" s="287"/>
      <c r="AI226" s="287"/>
      <c r="AJ226" s="287"/>
      <c r="AK226" s="287"/>
      <c r="AL226" s="287"/>
      <c r="AM226" s="287"/>
      <c r="AN226" s="287"/>
      <c r="AO226" s="287"/>
      <c r="AP226" s="287"/>
      <c r="AQ226" s="287"/>
      <c r="AR226" s="287"/>
      <c r="AS226" s="287"/>
      <c r="AT226" s="287"/>
      <c r="AU226" s="287"/>
      <c r="AV226" s="287"/>
      <c r="AW226" s="287"/>
      <c r="AX226" s="287"/>
      <c r="AY226" s="287"/>
      <c r="AZ226" s="287"/>
      <c r="BA226" s="287"/>
      <c r="BB226" s="287"/>
      <c r="BC226" s="287"/>
    </row>
    <row r="227" ht="15.75" customHeight="1">
      <c r="A227" s="287"/>
      <c r="B227" s="287"/>
      <c r="C227" s="287"/>
      <c r="D227" s="287"/>
      <c r="E227" s="287"/>
      <c r="F227" s="287"/>
      <c r="G227" s="287"/>
      <c r="H227" s="287"/>
      <c r="I227" s="287"/>
      <c r="J227" s="287"/>
      <c r="K227" s="287"/>
      <c r="L227" s="287"/>
      <c r="M227" s="287"/>
      <c r="N227" s="287"/>
      <c r="O227" s="287"/>
      <c r="P227" s="287"/>
      <c r="Q227" s="287"/>
      <c r="R227" s="287"/>
      <c r="S227" s="287"/>
      <c r="T227" s="287"/>
      <c r="U227" s="287"/>
      <c r="V227" s="287"/>
      <c r="W227" s="287"/>
      <c r="X227" s="287"/>
      <c r="Y227" s="287"/>
      <c r="Z227" s="287"/>
      <c r="AA227" s="287"/>
      <c r="AB227" s="287"/>
      <c r="AC227" s="287"/>
      <c r="AD227" s="287"/>
      <c r="AE227" s="287"/>
      <c r="AF227" s="287"/>
      <c r="AG227" s="287"/>
      <c r="AH227" s="287"/>
      <c r="AI227" s="287"/>
      <c r="AJ227" s="287"/>
      <c r="AK227" s="287"/>
      <c r="AL227" s="287"/>
      <c r="AM227" s="287"/>
      <c r="AN227" s="287"/>
      <c r="AO227" s="287"/>
      <c r="AP227" s="287"/>
      <c r="AQ227" s="287"/>
      <c r="AR227" s="287"/>
      <c r="AS227" s="287"/>
      <c r="AT227" s="287"/>
      <c r="AU227" s="287"/>
      <c r="AV227" s="287"/>
      <c r="AW227" s="287"/>
      <c r="AX227" s="287"/>
      <c r="AY227" s="287"/>
      <c r="AZ227" s="287"/>
      <c r="BA227" s="287"/>
      <c r="BB227" s="287"/>
      <c r="BC227" s="287"/>
    </row>
    <row r="228" ht="15.75" customHeight="1">
      <c r="A228" s="287"/>
      <c r="B228" s="287"/>
      <c r="C228" s="287"/>
      <c r="D228" s="287"/>
      <c r="E228" s="287"/>
      <c r="F228" s="287"/>
      <c r="G228" s="287"/>
      <c r="H228" s="287"/>
      <c r="I228" s="287"/>
      <c r="J228" s="287"/>
      <c r="K228" s="287"/>
      <c r="L228" s="287"/>
      <c r="M228" s="287"/>
      <c r="N228" s="287"/>
      <c r="O228" s="287"/>
      <c r="P228" s="287"/>
      <c r="Q228" s="287"/>
      <c r="R228" s="287"/>
      <c r="S228" s="287"/>
      <c r="T228" s="287"/>
      <c r="U228" s="287"/>
      <c r="V228" s="287"/>
      <c r="W228" s="287"/>
      <c r="X228" s="287"/>
      <c r="Y228" s="287"/>
      <c r="Z228" s="287"/>
      <c r="AA228" s="287"/>
      <c r="AB228" s="287"/>
      <c r="AC228" s="287"/>
      <c r="AD228" s="287"/>
      <c r="AE228" s="287"/>
      <c r="AF228" s="287"/>
      <c r="AG228" s="287"/>
      <c r="AH228" s="287"/>
      <c r="AI228" s="287"/>
      <c r="AJ228" s="287"/>
      <c r="AK228" s="287"/>
      <c r="AL228" s="287"/>
      <c r="AM228" s="287"/>
      <c r="AN228" s="287"/>
      <c r="AO228" s="287"/>
      <c r="AP228" s="287"/>
      <c r="AQ228" s="287"/>
      <c r="AR228" s="287"/>
      <c r="AS228" s="287"/>
      <c r="AT228" s="287"/>
      <c r="AU228" s="287"/>
      <c r="AV228" s="287"/>
      <c r="AW228" s="287"/>
      <c r="AX228" s="287"/>
      <c r="AY228" s="287"/>
      <c r="AZ228" s="287"/>
      <c r="BA228" s="287"/>
      <c r="BB228" s="287"/>
      <c r="BC228" s="287"/>
    </row>
    <row r="229" ht="15.75" customHeight="1">
      <c r="A229" s="287"/>
      <c r="B229" s="287"/>
      <c r="C229" s="287"/>
      <c r="D229" s="287"/>
      <c r="E229" s="287"/>
      <c r="F229" s="287"/>
      <c r="G229" s="287"/>
      <c r="H229" s="287"/>
      <c r="I229" s="287"/>
      <c r="J229" s="287"/>
      <c r="K229" s="287"/>
      <c r="L229" s="287"/>
      <c r="M229" s="287"/>
      <c r="N229" s="287"/>
      <c r="O229" s="287"/>
      <c r="P229" s="287"/>
      <c r="Q229" s="287"/>
      <c r="R229" s="287"/>
      <c r="S229" s="287"/>
      <c r="T229" s="287"/>
      <c r="U229" s="287"/>
      <c r="V229" s="287"/>
      <c r="W229" s="287"/>
      <c r="X229" s="287"/>
      <c r="Y229" s="287"/>
      <c r="Z229" s="287"/>
      <c r="AA229" s="287"/>
      <c r="AB229" s="287"/>
      <c r="AC229" s="287"/>
      <c r="AD229" s="287"/>
      <c r="AE229" s="287"/>
      <c r="AF229" s="287"/>
      <c r="AG229" s="287"/>
      <c r="AH229" s="287"/>
      <c r="AI229" s="287"/>
      <c r="AJ229" s="287"/>
      <c r="AK229" s="287"/>
      <c r="AL229" s="287"/>
      <c r="AM229" s="287"/>
      <c r="AN229" s="287"/>
      <c r="AO229" s="287"/>
      <c r="AP229" s="287"/>
      <c r="AQ229" s="287"/>
      <c r="AR229" s="287"/>
      <c r="AS229" s="287"/>
      <c r="AT229" s="287"/>
      <c r="AU229" s="287"/>
      <c r="AV229" s="287"/>
      <c r="AW229" s="287"/>
      <c r="AX229" s="287"/>
      <c r="AY229" s="287"/>
      <c r="AZ229" s="287"/>
      <c r="BA229" s="287"/>
      <c r="BB229" s="287"/>
      <c r="BC229" s="287"/>
    </row>
    <row r="230" ht="15.75" customHeight="1">
      <c r="A230" s="287"/>
      <c r="B230" s="287"/>
      <c r="C230" s="287"/>
      <c r="D230" s="287"/>
      <c r="E230" s="287"/>
      <c r="F230" s="287"/>
      <c r="G230" s="287"/>
      <c r="H230" s="287"/>
      <c r="I230" s="287"/>
      <c r="J230" s="287"/>
      <c r="K230" s="287"/>
      <c r="L230" s="287"/>
      <c r="M230" s="287"/>
      <c r="N230" s="287"/>
      <c r="O230" s="287"/>
      <c r="P230" s="287"/>
      <c r="Q230" s="287"/>
      <c r="R230" s="287"/>
      <c r="S230" s="287"/>
      <c r="T230" s="287"/>
      <c r="U230" s="287"/>
      <c r="V230" s="287"/>
      <c r="W230" s="287"/>
      <c r="X230" s="287"/>
      <c r="Y230" s="287"/>
      <c r="Z230" s="287"/>
      <c r="AA230" s="287"/>
      <c r="AB230" s="287"/>
      <c r="AC230" s="287"/>
      <c r="AD230" s="287"/>
      <c r="AE230" s="287"/>
      <c r="AF230" s="287"/>
      <c r="AG230" s="287"/>
      <c r="AH230" s="287"/>
      <c r="AI230" s="287"/>
      <c r="AJ230" s="287"/>
      <c r="AK230" s="287"/>
      <c r="AL230" s="287"/>
      <c r="AM230" s="287"/>
      <c r="AN230" s="287"/>
      <c r="AO230" s="287"/>
      <c r="AP230" s="287"/>
      <c r="AQ230" s="287"/>
      <c r="AR230" s="287"/>
      <c r="AS230" s="287"/>
      <c r="AT230" s="287"/>
      <c r="AU230" s="287"/>
      <c r="AV230" s="287"/>
      <c r="AW230" s="287"/>
      <c r="AX230" s="287"/>
      <c r="AY230" s="287"/>
      <c r="AZ230" s="287"/>
      <c r="BA230" s="287"/>
      <c r="BB230" s="287"/>
      <c r="BC230" s="287"/>
    </row>
    <row r="231" ht="15.75" customHeight="1">
      <c r="A231" s="287"/>
      <c r="B231" s="287"/>
      <c r="C231" s="287"/>
      <c r="D231" s="287"/>
      <c r="E231" s="287"/>
      <c r="F231" s="287"/>
      <c r="G231" s="287"/>
      <c r="H231" s="287"/>
      <c r="I231" s="287"/>
      <c r="J231" s="287"/>
      <c r="K231" s="287"/>
      <c r="L231" s="287"/>
      <c r="M231" s="287"/>
      <c r="N231" s="287"/>
      <c r="O231" s="287"/>
      <c r="P231" s="287"/>
      <c r="Q231" s="287"/>
      <c r="R231" s="287"/>
      <c r="S231" s="287"/>
      <c r="T231" s="287"/>
      <c r="U231" s="287"/>
      <c r="V231" s="287"/>
      <c r="W231" s="287"/>
      <c r="X231" s="287"/>
      <c r="Y231" s="287"/>
      <c r="Z231" s="287"/>
      <c r="AA231" s="287"/>
      <c r="AB231" s="287"/>
      <c r="AC231" s="287"/>
      <c r="AD231" s="287"/>
      <c r="AE231" s="287"/>
      <c r="AF231" s="287"/>
      <c r="AG231" s="287"/>
      <c r="AH231" s="287"/>
      <c r="AI231" s="287"/>
      <c r="AJ231" s="287"/>
      <c r="AK231" s="287"/>
      <c r="AL231" s="287"/>
      <c r="AM231" s="287"/>
      <c r="AN231" s="287"/>
      <c r="AO231" s="287"/>
      <c r="AP231" s="287"/>
      <c r="AQ231" s="287"/>
      <c r="AR231" s="287"/>
      <c r="AS231" s="287"/>
      <c r="AT231" s="287"/>
      <c r="AU231" s="287"/>
      <c r="AV231" s="287"/>
      <c r="AW231" s="287"/>
      <c r="AX231" s="287"/>
      <c r="AY231" s="287"/>
      <c r="AZ231" s="287"/>
      <c r="BA231" s="287"/>
      <c r="BB231" s="287"/>
      <c r="BC231" s="287"/>
    </row>
    <row r="232" ht="15.75" customHeight="1">
      <c r="A232" s="287"/>
      <c r="B232" s="287"/>
      <c r="C232" s="287"/>
      <c r="D232" s="287"/>
      <c r="E232" s="287"/>
      <c r="F232" s="287"/>
      <c r="G232" s="287"/>
      <c r="H232" s="287"/>
      <c r="I232" s="287"/>
      <c r="J232" s="287"/>
      <c r="K232" s="287"/>
      <c r="L232" s="287"/>
      <c r="M232" s="287"/>
      <c r="N232" s="287"/>
      <c r="O232" s="287"/>
      <c r="P232" s="287"/>
      <c r="Q232" s="287"/>
      <c r="R232" s="287"/>
      <c r="S232" s="287"/>
      <c r="T232" s="287"/>
      <c r="U232" s="287"/>
      <c r="V232" s="287"/>
      <c r="W232" s="287"/>
      <c r="X232" s="287"/>
      <c r="Y232" s="287"/>
      <c r="Z232" s="287"/>
      <c r="AA232" s="287"/>
      <c r="AB232" s="287"/>
      <c r="AC232" s="287"/>
      <c r="AD232" s="287"/>
      <c r="AE232" s="287"/>
      <c r="AF232" s="287"/>
      <c r="AG232" s="287"/>
      <c r="AH232" s="287"/>
      <c r="AI232" s="287"/>
      <c r="AJ232" s="287"/>
      <c r="AK232" s="287"/>
      <c r="AL232" s="287"/>
      <c r="AM232" s="287"/>
      <c r="AN232" s="287"/>
      <c r="AO232" s="287"/>
      <c r="AP232" s="287"/>
      <c r="AQ232" s="287"/>
      <c r="AR232" s="287"/>
      <c r="AS232" s="287"/>
      <c r="AT232" s="287"/>
      <c r="AU232" s="287"/>
      <c r="AV232" s="287"/>
      <c r="AW232" s="287"/>
      <c r="AX232" s="287"/>
      <c r="AY232" s="287"/>
      <c r="AZ232" s="287"/>
      <c r="BA232" s="287"/>
      <c r="BB232" s="287"/>
      <c r="BC232" s="287"/>
    </row>
    <row r="233" ht="15.75" customHeight="1">
      <c r="A233" s="287"/>
      <c r="B233" s="287"/>
      <c r="C233" s="287"/>
      <c r="D233" s="287"/>
      <c r="E233" s="287"/>
      <c r="F233" s="287"/>
      <c r="G233" s="287"/>
      <c r="H233" s="287"/>
      <c r="I233" s="287"/>
      <c r="J233" s="287"/>
      <c r="K233" s="287"/>
      <c r="L233" s="287"/>
      <c r="M233" s="287"/>
      <c r="N233" s="287"/>
      <c r="O233" s="287"/>
      <c r="P233" s="287"/>
      <c r="Q233" s="287"/>
      <c r="R233" s="287"/>
      <c r="S233" s="287"/>
      <c r="T233" s="287"/>
      <c r="U233" s="287"/>
      <c r="V233" s="287"/>
      <c r="W233" s="287"/>
      <c r="X233" s="287"/>
      <c r="Y233" s="287"/>
      <c r="Z233" s="287"/>
      <c r="AA233" s="287"/>
      <c r="AB233" s="287"/>
      <c r="AC233" s="287"/>
      <c r="AD233" s="287"/>
      <c r="AE233" s="287"/>
      <c r="AF233" s="287"/>
      <c r="AG233" s="287"/>
      <c r="AH233" s="287"/>
      <c r="AI233" s="287"/>
      <c r="AJ233" s="287"/>
      <c r="AK233" s="287"/>
      <c r="AL233" s="287"/>
      <c r="AM233" s="287"/>
      <c r="AN233" s="287"/>
      <c r="AO233" s="287"/>
      <c r="AP233" s="287"/>
      <c r="AQ233" s="287"/>
      <c r="AR233" s="287"/>
      <c r="AS233" s="287"/>
      <c r="AT233" s="287"/>
      <c r="AU233" s="287"/>
      <c r="AV233" s="287"/>
      <c r="AW233" s="287"/>
      <c r="AX233" s="287"/>
      <c r="AY233" s="287"/>
      <c r="AZ233" s="287"/>
      <c r="BA233" s="287"/>
      <c r="BB233" s="287"/>
      <c r="BC233" s="287"/>
    </row>
    <row r="234" ht="15.75" customHeight="1">
      <c r="A234" s="287"/>
      <c r="B234" s="287"/>
      <c r="C234" s="287"/>
      <c r="D234" s="287"/>
      <c r="E234" s="287"/>
      <c r="F234" s="287"/>
      <c r="G234" s="287"/>
      <c r="H234" s="287"/>
      <c r="I234" s="287"/>
      <c r="J234" s="287"/>
      <c r="K234" s="287"/>
      <c r="L234" s="287"/>
      <c r="M234" s="287"/>
      <c r="N234" s="287"/>
      <c r="O234" s="287"/>
      <c r="P234" s="287"/>
      <c r="Q234" s="287"/>
      <c r="R234" s="287"/>
      <c r="S234" s="287"/>
      <c r="T234" s="287"/>
      <c r="U234" s="287"/>
      <c r="V234" s="287"/>
      <c r="W234" s="287"/>
      <c r="X234" s="287"/>
      <c r="Y234" s="287"/>
      <c r="Z234" s="287"/>
      <c r="AA234" s="287"/>
      <c r="AB234" s="287"/>
      <c r="AC234" s="287"/>
      <c r="AD234" s="287"/>
      <c r="AE234" s="287"/>
      <c r="AF234" s="287"/>
      <c r="AG234" s="287"/>
      <c r="AH234" s="287"/>
      <c r="AI234" s="287"/>
      <c r="AJ234" s="287"/>
      <c r="AK234" s="287"/>
      <c r="AL234" s="287"/>
      <c r="AM234" s="287"/>
      <c r="AN234" s="287"/>
      <c r="AO234" s="287"/>
      <c r="AP234" s="287"/>
      <c r="AQ234" s="287"/>
      <c r="AR234" s="287"/>
      <c r="AS234" s="287"/>
      <c r="AT234" s="287"/>
      <c r="AU234" s="287"/>
      <c r="AV234" s="287"/>
      <c r="AW234" s="287"/>
      <c r="AX234" s="287"/>
      <c r="AY234" s="287"/>
      <c r="AZ234" s="287"/>
      <c r="BA234" s="287"/>
      <c r="BB234" s="287"/>
      <c r="BC234" s="287"/>
    </row>
    <row r="235" ht="15.75" customHeight="1">
      <c r="A235" s="287"/>
      <c r="B235" s="287"/>
      <c r="C235" s="287"/>
      <c r="D235" s="287"/>
      <c r="E235" s="287"/>
      <c r="F235" s="287"/>
      <c r="G235" s="287"/>
      <c r="H235" s="287"/>
      <c r="I235" s="287"/>
      <c r="J235" s="287"/>
      <c r="K235" s="287"/>
      <c r="L235" s="287"/>
      <c r="M235" s="287"/>
      <c r="N235" s="287"/>
      <c r="O235" s="287"/>
      <c r="P235" s="287"/>
      <c r="Q235" s="287"/>
      <c r="R235" s="287"/>
      <c r="S235" s="287"/>
      <c r="T235" s="287"/>
      <c r="U235" s="287"/>
      <c r="V235" s="287"/>
      <c r="W235" s="287"/>
      <c r="X235" s="287"/>
      <c r="Y235" s="287"/>
      <c r="Z235" s="287"/>
      <c r="AA235" s="287"/>
      <c r="AB235" s="287"/>
      <c r="AC235" s="287"/>
      <c r="AD235" s="287"/>
      <c r="AE235" s="287"/>
      <c r="AF235" s="287"/>
      <c r="AG235" s="287"/>
      <c r="AH235" s="287"/>
      <c r="AI235" s="287"/>
      <c r="AJ235" s="287"/>
      <c r="AK235" s="287"/>
      <c r="AL235" s="287"/>
      <c r="AM235" s="287"/>
      <c r="AN235" s="287"/>
      <c r="AO235" s="287"/>
      <c r="AP235" s="287"/>
      <c r="AQ235" s="287"/>
      <c r="AR235" s="287"/>
      <c r="AS235" s="287"/>
      <c r="AT235" s="287"/>
      <c r="AU235" s="287"/>
      <c r="AV235" s="287"/>
      <c r="AW235" s="287"/>
      <c r="AX235" s="287"/>
      <c r="AY235" s="287"/>
      <c r="AZ235" s="287"/>
      <c r="BA235" s="287"/>
      <c r="BB235" s="287"/>
      <c r="BC235" s="287"/>
    </row>
    <row r="236" ht="15.75" customHeight="1">
      <c r="A236" s="287"/>
      <c r="B236" s="287"/>
      <c r="C236" s="287"/>
      <c r="D236" s="287"/>
      <c r="E236" s="287"/>
      <c r="F236" s="287"/>
      <c r="G236" s="287"/>
      <c r="H236" s="287"/>
      <c r="I236" s="287"/>
      <c r="J236" s="287"/>
      <c r="K236" s="287"/>
      <c r="L236" s="287"/>
      <c r="M236" s="287"/>
      <c r="N236" s="287"/>
      <c r="O236" s="287"/>
      <c r="P236" s="287"/>
      <c r="Q236" s="287"/>
      <c r="R236" s="287"/>
      <c r="S236" s="287"/>
      <c r="T236" s="287"/>
      <c r="U236" s="287"/>
      <c r="V236" s="287"/>
      <c r="W236" s="287"/>
      <c r="X236" s="287"/>
      <c r="Y236" s="287"/>
      <c r="Z236" s="287"/>
      <c r="AA236" s="287"/>
      <c r="AB236" s="287"/>
      <c r="AC236" s="287"/>
      <c r="AD236" s="287"/>
      <c r="AE236" s="287"/>
      <c r="AF236" s="287"/>
      <c r="AG236" s="287"/>
      <c r="AH236" s="287"/>
      <c r="AI236" s="287"/>
      <c r="AJ236" s="287"/>
      <c r="AK236" s="287"/>
      <c r="AL236" s="287"/>
      <c r="AM236" s="287"/>
      <c r="AN236" s="287"/>
      <c r="AO236" s="287"/>
      <c r="AP236" s="287"/>
      <c r="AQ236" s="287"/>
      <c r="AR236" s="287"/>
      <c r="AS236" s="287"/>
      <c r="AT236" s="287"/>
      <c r="AU236" s="287"/>
      <c r="AV236" s="287"/>
      <c r="AW236" s="287"/>
      <c r="AX236" s="287"/>
      <c r="AY236" s="287"/>
      <c r="AZ236" s="287"/>
      <c r="BA236" s="287"/>
      <c r="BB236" s="287"/>
      <c r="BC236" s="287"/>
    </row>
    <row r="237" ht="15.75" customHeight="1">
      <c r="A237" s="287"/>
      <c r="B237" s="287"/>
      <c r="C237" s="287"/>
      <c r="D237" s="287"/>
      <c r="E237" s="287"/>
      <c r="F237" s="287"/>
      <c r="G237" s="287"/>
      <c r="H237" s="287"/>
      <c r="I237" s="287"/>
      <c r="J237" s="287"/>
      <c r="K237" s="287"/>
      <c r="L237" s="287"/>
      <c r="M237" s="287"/>
      <c r="N237" s="287"/>
      <c r="O237" s="287"/>
      <c r="P237" s="287"/>
      <c r="Q237" s="287"/>
      <c r="R237" s="287"/>
      <c r="S237" s="287"/>
      <c r="T237" s="287"/>
      <c r="U237" s="287"/>
      <c r="V237" s="287"/>
      <c r="W237" s="287"/>
      <c r="X237" s="287"/>
      <c r="Y237" s="287"/>
      <c r="Z237" s="287"/>
      <c r="AA237" s="287"/>
      <c r="AB237" s="287"/>
      <c r="AC237" s="287"/>
      <c r="AD237" s="287"/>
      <c r="AE237" s="287"/>
      <c r="AF237" s="287"/>
      <c r="AG237" s="287"/>
      <c r="AH237" s="287"/>
      <c r="AI237" s="287"/>
      <c r="AJ237" s="287"/>
      <c r="AK237" s="287"/>
      <c r="AL237" s="287"/>
      <c r="AM237" s="287"/>
      <c r="AN237" s="287"/>
      <c r="AO237" s="287"/>
      <c r="AP237" s="287"/>
      <c r="AQ237" s="287"/>
      <c r="AR237" s="287"/>
      <c r="AS237" s="287"/>
      <c r="AT237" s="287"/>
      <c r="AU237" s="287"/>
      <c r="AV237" s="287"/>
      <c r="AW237" s="287"/>
      <c r="AX237" s="287"/>
      <c r="AY237" s="287"/>
      <c r="AZ237" s="287"/>
      <c r="BA237" s="287"/>
      <c r="BB237" s="287"/>
      <c r="BC237" s="287"/>
    </row>
    <row r="238" ht="15.75" customHeight="1">
      <c r="A238" s="287"/>
      <c r="B238" s="287"/>
      <c r="C238" s="287"/>
      <c r="D238" s="287"/>
      <c r="E238" s="287"/>
      <c r="F238" s="287"/>
      <c r="G238" s="287"/>
      <c r="H238" s="287"/>
      <c r="I238" s="287"/>
      <c r="J238" s="287"/>
      <c r="K238" s="287"/>
      <c r="L238" s="287"/>
      <c r="M238" s="287"/>
      <c r="N238" s="287"/>
      <c r="O238" s="287"/>
      <c r="P238" s="287"/>
      <c r="Q238" s="287"/>
      <c r="R238" s="287"/>
      <c r="S238" s="287"/>
      <c r="T238" s="287"/>
      <c r="U238" s="287"/>
      <c r="V238" s="287"/>
      <c r="W238" s="287"/>
      <c r="X238" s="287"/>
      <c r="Y238" s="287"/>
      <c r="Z238" s="287"/>
      <c r="AA238" s="287"/>
      <c r="AB238" s="287"/>
      <c r="AC238" s="287"/>
      <c r="AD238" s="287"/>
      <c r="AE238" s="287"/>
      <c r="AF238" s="287"/>
      <c r="AG238" s="287"/>
      <c r="AH238" s="287"/>
      <c r="AI238" s="287"/>
      <c r="AJ238" s="287"/>
      <c r="AK238" s="287"/>
      <c r="AL238" s="287"/>
      <c r="AM238" s="287"/>
      <c r="AN238" s="287"/>
      <c r="AO238" s="287"/>
      <c r="AP238" s="287"/>
      <c r="AQ238" s="287"/>
      <c r="AR238" s="287"/>
      <c r="AS238" s="287"/>
      <c r="AT238" s="287"/>
      <c r="AU238" s="287"/>
      <c r="AV238" s="287"/>
      <c r="AW238" s="287"/>
      <c r="AX238" s="287"/>
      <c r="AY238" s="287"/>
      <c r="AZ238" s="287"/>
      <c r="BA238" s="287"/>
      <c r="BB238" s="287"/>
      <c r="BC238" s="287"/>
    </row>
    <row r="239" ht="15.75" customHeight="1">
      <c r="A239" s="287"/>
      <c r="B239" s="287"/>
      <c r="C239" s="287"/>
      <c r="D239" s="287"/>
      <c r="E239" s="287"/>
      <c r="F239" s="287"/>
      <c r="G239" s="287"/>
      <c r="H239" s="287"/>
      <c r="I239" s="287"/>
      <c r="J239" s="287"/>
      <c r="K239" s="287"/>
      <c r="L239" s="287"/>
      <c r="M239" s="287"/>
      <c r="N239" s="287"/>
      <c r="O239" s="287"/>
      <c r="P239" s="287"/>
      <c r="Q239" s="287"/>
      <c r="R239" s="287"/>
      <c r="S239" s="287"/>
      <c r="T239" s="287"/>
      <c r="U239" s="287"/>
      <c r="V239" s="287"/>
      <c r="W239" s="287"/>
      <c r="X239" s="287"/>
      <c r="Y239" s="287"/>
      <c r="Z239" s="287"/>
      <c r="AA239" s="287"/>
      <c r="AB239" s="287"/>
      <c r="AC239" s="287"/>
      <c r="AD239" s="287"/>
      <c r="AE239" s="287"/>
      <c r="AF239" s="287"/>
      <c r="AG239" s="287"/>
      <c r="AH239" s="287"/>
      <c r="AI239" s="287"/>
      <c r="AJ239" s="287"/>
      <c r="AK239" s="287"/>
      <c r="AL239" s="287"/>
      <c r="AM239" s="287"/>
      <c r="AN239" s="287"/>
      <c r="AO239" s="287"/>
      <c r="AP239" s="287"/>
      <c r="AQ239" s="287"/>
      <c r="AR239" s="287"/>
      <c r="AS239" s="287"/>
      <c r="AT239" s="287"/>
      <c r="AU239" s="287"/>
      <c r="AV239" s="287"/>
      <c r="AW239" s="287"/>
      <c r="AX239" s="287"/>
      <c r="AY239" s="287"/>
      <c r="AZ239" s="287"/>
      <c r="BA239" s="287"/>
      <c r="BB239" s="287"/>
      <c r="BC239" s="287"/>
    </row>
    <row r="240" ht="15.75" customHeight="1">
      <c r="A240" s="287"/>
      <c r="B240" s="287"/>
      <c r="C240" s="287"/>
      <c r="D240" s="287"/>
      <c r="E240" s="287"/>
      <c r="F240" s="287"/>
      <c r="G240" s="287"/>
      <c r="H240" s="287"/>
      <c r="I240" s="287"/>
      <c r="J240" s="287"/>
      <c r="K240" s="287"/>
      <c r="L240" s="287"/>
      <c r="M240" s="287"/>
      <c r="N240" s="287"/>
      <c r="O240" s="287"/>
      <c r="P240" s="287"/>
      <c r="Q240" s="287"/>
      <c r="R240" s="287"/>
      <c r="S240" s="287"/>
      <c r="T240" s="287"/>
      <c r="U240" s="287"/>
      <c r="V240" s="287"/>
      <c r="W240" s="287"/>
      <c r="X240" s="287"/>
      <c r="Y240" s="287"/>
      <c r="Z240" s="287"/>
      <c r="AA240" s="287"/>
      <c r="AB240" s="287"/>
      <c r="AC240" s="287"/>
      <c r="AD240" s="287"/>
      <c r="AE240" s="287"/>
      <c r="AF240" s="287"/>
      <c r="AG240" s="287"/>
      <c r="AH240" s="287"/>
      <c r="AI240" s="287"/>
      <c r="AJ240" s="287"/>
      <c r="AK240" s="287"/>
      <c r="AL240" s="287"/>
      <c r="AM240" s="287"/>
      <c r="AN240" s="287"/>
      <c r="AO240" s="287"/>
      <c r="AP240" s="287"/>
      <c r="AQ240" s="287"/>
      <c r="AR240" s="287"/>
      <c r="AS240" s="287"/>
      <c r="AT240" s="287"/>
      <c r="AU240" s="287"/>
      <c r="AV240" s="287"/>
      <c r="AW240" s="287"/>
      <c r="AX240" s="287"/>
      <c r="AY240" s="287"/>
      <c r="AZ240" s="287"/>
      <c r="BA240" s="287"/>
      <c r="BB240" s="287"/>
      <c r="BC240" s="287"/>
    </row>
    <row r="241" ht="15.75" customHeight="1">
      <c r="A241" s="287"/>
      <c r="B241" s="287"/>
      <c r="C241" s="287"/>
      <c r="D241" s="287"/>
      <c r="E241" s="287"/>
      <c r="F241" s="287"/>
      <c r="G241" s="287"/>
      <c r="H241" s="287"/>
      <c r="I241" s="287"/>
      <c r="J241" s="287"/>
      <c r="K241" s="287"/>
      <c r="L241" s="287"/>
      <c r="M241" s="287"/>
      <c r="N241" s="287"/>
      <c r="O241" s="287"/>
      <c r="P241" s="287"/>
      <c r="Q241" s="287"/>
      <c r="R241" s="287"/>
      <c r="S241" s="287"/>
      <c r="T241" s="287"/>
      <c r="U241" s="287"/>
      <c r="V241" s="287"/>
      <c r="W241" s="287"/>
      <c r="X241" s="287"/>
      <c r="Y241" s="287"/>
      <c r="Z241" s="287"/>
      <c r="AA241" s="287"/>
      <c r="AB241" s="287"/>
      <c r="AC241" s="287"/>
      <c r="AD241" s="287"/>
      <c r="AE241" s="287"/>
      <c r="AF241" s="287"/>
      <c r="AG241" s="287"/>
      <c r="AH241" s="287"/>
      <c r="AI241" s="287"/>
      <c r="AJ241" s="287"/>
      <c r="AK241" s="287"/>
      <c r="AL241" s="287"/>
      <c r="AM241" s="287"/>
      <c r="AN241" s="287"/>
      <c r="AO241" s="287"/>
      <c r="AP241" s="287"/>
      <c r="AQ241" s="287"/>
      <c r="AR241" s="287"/>
      <c r="AS241" s="287"/>
      <c r="AT241" s="287"/>
      <c r="AU241" s="287"/>
      <c r="AV241" s="287"/>
      <c r="AW241" s="287"/>
      <c r="AX241" s="287"/>
      <c r="AY241" s="287"/>
      <c r="AZ241" s="287"/>
      <c r="BA241" s="287"/>
      <c r="BB241" s="287"/>
      <c r="BC241" s="287"/>
    </row>
    <row r="242" ht="15.75" customHeight="1">
      <c r="A242" s="287"/>
      <c r="B242" s="287"/>
      <c r="C242" s="287"/>
      <c r="D242" s="287"/>
      <c r="E242" s="287"/>
      <c r="F242" s="287"/>
      <c r="G242" s="287"/>
      <c r="H242" s="287"/>
      <c r="I242" s="287"/>
      <c r="J242" s="287"/>
      <c r="K242" s="287"/>
      <c r="L242" s="287"/>
      <c r="M242" s="287"/>
      <c r="N242" s="287"/>
      <c r="O242" s="287"/>
      <c r="P242" s="287"/>
      <c r="Q242" s="287"/>
      <c r="R242" s="287"/>
      <c r="S242" s="287"/>
      <c r="T242" s="287"/>
      <c r="U242" s="287"/>
      <c r="V242" s="287"/>
      <c r="W242" s="287"/>
      <c r="X242" s="287"/>
      <c r="Y242" s="287"/>
      <c r="Z242" s="287"/>
      <c r="AA242" s="287"/>
      <c r="AB242" s="287"/>
      <c r="AC242" s="287"/>
      <c r="AD242" s="287"/>
      <c r="AE242" s="287"/>
      <c r="AF242" s="287"/>
      <c r="AG242" s="287"/>
      <c r="AH242" s="287"/>
      <c r="AI242" s="287"/>
      <c r="AJ242" s="287"/>
      <c r="AK242" s="287"/>
      <c r="AL242" s="287"/>
      <c r="AM242" s="287"/>
      <c r="AN242" s="287"/>
      <c r="AO242" s="287"/>
      <c r="AP242" s="287"/>
      <c r="AQ242" s="287"/>
      <c r="AR242" s="287"/>
      <c r="AS242" s="287"/>
      <c r="AT242" s="287"/>
      <c r="AU242" s="287"/>
      <c r="AV242" s="287"/>
      <c r="AW242" s="287"/>
      <c r="AX242" s="287"/>
      <c r="AY242" s="287"/>
      <c r="AZ242" s="287"/>
      <c r="BA242" s="287"/>
      <c r="BB242" s="287"/>
      <c r="BC242" s="287"/>
    </row>
    <row r="243" ht="15.75" customHeight="1">
      <c r="A243" s="287"/>
      <c r="B243" s="287"/>
      <c r="C243" s="287"/>
      <c r="D243" s="287"/>
      <c r="E243" s="287"/>
      <c r="F243" s="287"/>
      <c r="G243" s="287"/>
      <c r="H243" s="287"/>
      <c r="I243" s="287"/>
      <c r="J243" s="287"/>
      <c r="K243" s="287"/>
      <c r="L243" s="287"/>
      <c r="M243" s="287"/>
      <c r="N243" s="287"/>
      <c r="O243" s="287"/>
      <c r="P243" s="287"/>
      <c r="Q243" s="287"/>
      <c r="R243" s="287"/>
      <c r="S243" s="287"/>
      <c r="T243" s="287"/>
      <c r="U243" s="287"/>
      <c r="V243" s="287"/>
      <c r="W243" s="287"/>
      <c r="X243" s="287"/>
      <c r="Y243" s="287"/>
      <c r="Z243" s="287"/>
      <c r="AA243" s="287"/>
      <c r="AB243" s="287"/>
      <c r="AC243" s="287"/>
      <c r="AD243" s="287"/>
      <c r="AE243" s="287"/>
      <c r="AF243" s="287"/>
      <c r="AG243" s="287"/>
      <c r="AH243" s="287"/>
      <c r="AI243" s="287"/>
      <c r="AJ243" s="287"/>
      <c r="AK243" s="287"/>
      <c r="AL243" s="287"/>
      <c r="AM243" s="287"/>
      <c r="AN243" s="287"/>
      <c r="AO243" s="287"/>
      <c r="AP243" s="287"/>
      <c r="AQ243" s="287"/>
      <c r="AR243" s="287"/>
      <c r="AS243" s="287"/>
      <c r="AT243" s="287"/>
      <c r="AU243" s="287"/>
      <c r="AV243" s="287"/>
      <c r="AW243" s="287"/>
      <c r="AX243" s="287"/>
      <c r="AY243" s="287"/>
      <c r="AZ243" s="287"/>
      <c r="BA243" s="287"/>
      <c r="BB243" s="287"/>
      <c r="BC243" s="287"/>
    </row>
    <row r="244" ht="15.75" customHeight="1">
      <c r="A244" s="287"/>
      <c r="B244" s="287"/>
      <c r="C244" s="287"/>
      <c r="D244" s="287"/>
      <c r="E244" s="287"/>
      <c r="F244" s="287"/>
      <c r="G244" s="287"/>
      <c r="H244" s="287"/>
      <c r="I244" s="287"/>
      <c r="J244" s="287"/>
      <c r="K244" s="287"/>
      <c r="L244" s="287"/>
      <c r="M244" s="287"/>
      <c r="N244" s="287"/>
      <c r="O244" s="287"/>
      <c r="P244" s="287"/>
      <c r="Q244" s="287"/>
      <c r="R244" s="287"/>
      <c r="S244" s="287"/>
      <c r="T244" s="287"/>
      <c r="U244" s="287"/>
      <c r="V244" s="287"/>
      <c r="W244" s="287"/>
      <c r="X244" s="287"/>
      <c r="Y244" s="287"/>
      <c r="Z244" s="287"/>
      <c r="AA244" s="287"/>
      <c r="AB244" s="287"/>
      <c r="AC244" s="287"/>
      <c r="AD244" s="287"/>
      <c r="AE244" s="287"/>
      <c r="AF244" s="287"/>
      <c r="AG244" s="287"/>
      <c r="AH244" s="287"/>
      <c r="AI244" s="287"/>
      <c r="AJ244" s="287"/>
      <c r="AK244" s="287"/>
      <c r="AL244" s="287"/>
      <c r="AM244" s="287"/>
      <c r="AN244" s="287"/>
      <c r="AO244" s="287"/>
      <c r="AP244" s="287"/>
      <c r="AQ244" s="287"/>
      <c r="AR244" s="287"/>
      <c r="AS244" s="287"/>
      <c r="AT244" s="287"/>
      <c r="AU244" s="287"/>
      <c r="AV244" s="287"/>
      <c r="AW244" s="287"/>
      <c r="AX244" s="287"/>
      <c r="AY244" s="287"/>
      <c r="AZ244" s="287"/>
      <c r="BA244" s="287"/>
      <c r="BB244" s="287"/>
      <c r="BC244" s="287"/>
    </row>
    <row r="245" ht="15.75" customHeight="1">
      <c r="A245" s="287"/>
      <c r="B245" s="287"/>
      <c r="C245" s="287"/>
      <c r="D245" s="287"/>
      <c r="E245" s="287"/>
      <c r="F245" s="287"/>
      <c r="G245" s="287"/>
      <c r="H245" s="287"/>
      <c r="I245" s="287"/>
      <c r="J245" s="287"/>
      <c r="K245" s="287"/>
      <c r="L245" s="287"/>
      <c r="M245" s="287"/>
      <c r="N245" s="287"/>
      <c r="O245" s="287"/>
      <c r="P245" s="287"/>
      <c r="Q245" s="287"/>
      <c r="R245" s="287"/>
      <c r="S245" s="287"/>
      <c r="T245" s="287"/>
      <c r="U245" s="287"/>
      <c r="V245" s="287"/>
      <c r="W245" s="287"/>
      <c r="X245" s="287"/>
      <c r="Y245" s="287"/>
      <c r="Z245" s="287"/>
      <c r="AA245" s="287"/>
      <c r="AB245" s="287"/>
      <c r="AC245" s="287"/>
      <c r="AD245" s="287"/>
      <c r="AE245" s="287"/>
      <c r="AF245" s="287"/>
      <c r="AG245" s="287"/>
      <c r="AH245" s="287"/>
      <c r="AI245" s="287"/>
      <c r="AJ245" s="287"/>
      <c r="AK245" s="287"/>
      <c r="AL245" s="287"/>
      <c r="AM245" s="287"/>
      <c r="AN245" s="287"/>
      <c r="AO245" s="287"/>
      <c r="AP245" s="287"/>
      <c r="AQ245" s="287"/>
      <c r="AR245" s="287"/>
      <c r="AS245" s="287"/>
      <c r="AT245" s="287"/>
      <c r="AU245" s="287"/>
      <c r="AV245" s="287"/>
      <c r="AW245" s="287"/>
      <c r="AX245" s="287"/>
      <c r="AY245" s="287"/>
      <c r="AZ245" s="287"/>
      <c r="BA245" s="287"/>
      <c r="BB245" s="287"/>
      <c r="BC245" s="287"/>
    </row>
    <row r="246" ht="15.75" customHeight="1">
      <c r="A246" s="287"/>
      <c r="B246" s="287"/>
      <c r="C246" s="287"/>
      <c r="D246" s="287"/>
      <c r="E246" s="287"/>
      <c r="F246" s="287"/>
      <c r="G246" s="287"/>
      <c r="H246" s="287"/>
      <c r="I246" s="287"/>
      <c r="J246" s="287"/>
      <c r="K246" s="287"/>
      <c r="L246" s="287"/>
      <c r="M246" s="287"/>
      <c r="N246" s="287"/>
      <c r="O246" s="287"/>
      <c r="P246" s="287"/>
      <c r="Q246" s="287"/>
      <c r="R246" s="287"/>
      <c r="S246" s="287"/>
      <c r="T246" s="287"/>
      <c r="U246" s="287"/>
      <c r="V246" s="287"/>
      <c r="W246" s="287"/>
      <c r="X246" s="287"/>
      <c r="Y246" s="287"/>
      <c r="Z246" s="287"/>
      <c r="AA246" s="287"/>
      <c r="AB246" s="287"/>
      <c r="AC246" s="287"/>
      <c r="AD246" s="287"/>
      <c r="AE246" s="287"/>
      <c r="AF246" s="287"/>
      <c r="AG246" s="287"/>
      <c r="AH246" s="287"/>
      <c r="AI246" s="287"/>
      <c r="AJ246" s="287"/>
      <c r="AK246" s="287"/>
      <c r="AL246" s="287"/>
      <c r="AM246" s="287"/>
      <c r="AN246" s="287"/>
      <c r="AO246" s="287"/>
      <c r="AP246" s="287"/>
      <c r="AQ246" s="287"/>
      <c r="AR246" s="287"/>
      <c r="AS246" s="287"/>
      <c r="AT246" s="287"/>
      <c r="AU246" s="287"/>
      <c r="AV246" s="287"/>
      <c r="AW246" s="287"/>
      <c r="AX246" s="287"/>
      <c r="AY246" s="287"/>
      <c r="AZ246" s="287"/>
      <c r="BA246" s="287"/>
      <c r="BB246" s="287"/>
      <c r="BC246" s="287"/>
    </row>
    <row r="247" ht="15.75" customHeight="1">
      <c r="A247" s="287"/>
      <c r="B247" s="287"/>
      <c r="C247" s="287"/>
      <c r="D247" s="287"/>
      <c r="E247" s="287"/>
      <c r="F247" s="287"/>
      <c r="G247" s="287"/>
      <c r="H247" s="287"/>
      <c r="I247" s="287"/>
      <c r="J247" s="287"/>
      <c r="K247" s="287"/>
      <c r="L247" s="287"/>
      <c r="M247" s="287"/>
      <c r="N247" s="287"/>
      <c r="O247" s="287"/>
      <c r="P247" s="287"/>
      <c r="Q247" s="287"/>
      <c r="R247" s="287"/>
      <c r="S247" s="287"/>
      <c r="T247" s="287"/>
      <c r="U247" s="287"/>
      <c r="V247" s="287"/>
      <c r="W247" s="287"/>
      <c r="X247" s="287"/>
      <c r="Y247" s="287"/>
      <c r="Z247" s="287"/>
      <c r="AA247" s="287"/>
      <c r="AB247" s="287"/>
      <c r="AC247" s="287"/>
      <c r="AD247" s="287"/>
      <c r="AE247" s="287"/>
      <c r="AF247" s="287"/>
      <c r="AG247" s="287"/>
      <c r="AH247" s="287"/>
      <c r="AI247" s="287"/>
      <c r="AJ247" s="287"/>
      <c r="AK247" s="287"/>
      <c r="AL247" s="287"/>
      <c r="AM247" s="287"/>
      <c r="AN247" s="287"/>
      <c r="AO247" s="287"/>
      <c r="AP247" s="287"/>
      <c r="AQ247" s="287"/>
      <c r="AR247" s="287"/>
      <c r="AS247" s="287"/>
      <c r="AT247" s="287"/>
      <c r="AU247" s="287"/>
      <c r="AV247" s="287"/>
      <c r="AW247" s="287"/>
      <c r="AX247" s="287"/>
      <c r="AY247" s="287"/>
      <c r="AZ247" s="287"/>
      <c r="BA247" s="287"/>
      <c r="BB247" s="287"/>
      <c r="BC247" s="287"/>
    </row>
    <row r="248" ht="15.75" customHeight="1">
      <c r="A248" s="287"/>
      <c r="B248" s="287"/>
      <c r="C248" s="287"/>
      <c r="D248" s="287"/>
      <c r="E248" s="287"/>
      <c r="F248" s="287"/>
      <c r="G248" s="287"/>
      <c r="H248" s="287"/>
      <c r="I248" s="287"/>
      <c r="J248" s="287"/>
      <c r="K248" s="287"/>
      <c r="L248" s="287"/>
      <c r="M248" s="287"/>
      <c r="N248" s="287"/>
      <c r="O248" s="287"/>
      <c r="P248" s="287"/>
      <c r="Q248" s="287"/>
      <c r="R248" s="287"/>
      <c r="S248" s="287"/>
      <c r="T248" s="287"/>
      <c r="U248" s="287"/>
      <c r="V248" s="287"/>
      <c r="W248" s="287"/>
      <c r="X248" s="287"/>
      <c r="Y248" s="287"/>
      <c r="Z248" s="287"/>
      <c r="AA248" s="287"/>
      <c r="AB248" s="287"/>
      <c r="AC248" s="287"/>
      <c r="AD248" s="287"/>
      <c r="AE248" s="287"/>
      <c r="AF248" s="287"/>
      <c r="AG248" s="287"/>
      <c r="AH248" s="287"/>
      <c r="AI248" s="287"/>
      <c r="AJ248" s="287"/>
      <c r="AK248" s="287"/>
      <c r="AL248" s="287"/>
      <c r="AM248" s="287"/>
      <c r="AN248" s="287"/>
      <c r="AO248" s="287"/>
      <c r="AP248" s="287"/>
      <c r="AQ248" s="287"/>
      <c r="AR248" s="287"/>
      <c r="AS248" s="287"/>
      <c r="AT248" s="287"/>
      <c r="AU248" s="287"/>
      <c r="AV248" s="287"/>
      <c r="AW248" s="287"/>
      <c r="AX248" s="287"/>
      <c r="AY248" s="287"/>
      <c r="AZ248" s="287"/>
      <c r="BA248" s="287"/>
      <c r="BB248" s="287"/>
      <c r="BC248" s="287"/>
    </row>
    <row r="249" ht="15.75" customHeight="1">
      <c r="A249" s="287"/>
      <c r="B249" s="287"/>
      <c r="C249" s="287"/>
      <c r="D249" s="287"/>
      <c r="E249" s="287"/>
      <c r="F249" s="287"/>
      <c r="G249" s="287"/>
      <c r="H249" s="287"/>
      <c r="I249" s="287"/>
      <c r="J249" s="287"/>
      <c r="K249" s="287"/>
      <c r="L249" s="287"/>
      <c r="M249" s="287"/>
      <c r="N249" s="287"/>
      <c r="O249" s="287"/>
      <c r="P249" s="287"/>
      <c r="Q249" s="287"/>
      <c r="R249" s="287"/>
      <c r="S249" s="287"/>
      <c r="T249" s="287"/>
      <c r="U249" s="287"/>
      <c r="V249" s="287"/>
      <c r="W249" s="287"/>
      <c r="X249" s="287"/>
      <c r="Y249" s="287"/>
      <c r="Z249" s="287"/>
      <c r="AA249" s="287"/>
      <c r="AB249" s="287"/>
      <c r="AC249" s="287"/>
      <c r="AD249" s="287"/>
      <c r="AE249" s="287"/>
      <c r="AF249" s="287"/>
      <c r="AG249" s="287"/>
      <c r="AH249" s="287"/>
      <c r="AI249" s="287"/>
      <c r="AJ249" s="287"/>
      <c r="AK249" s="287"/>
      <c r="AL249" s="287"/>
      <c r="AM249" s="287"/>
      <c r="AN249" s="287"/>
      <c r="AO249" s="287"/>
      <c r="AP249" s="287"/>
      <c r="AQ249" s="287"/>
      <c r="AR249" s="287"/>
      <c r="AS249" s="287"/>
      <c r="AT249" s="287"/>
      <c r="AU249" s="287"/>
      <c r="AV249" s="287"/>
      <c r="AW249" s="287"/>
      <c r="AX249" s="287"/>
      <c r="AY249" s="287"/>
      <c r="AZ249" s="287"/>
      <c r="BA249" s="287"/>
      <c r="BB249" s="287"/>
      <c r="BC249" s="287"/>
    </row>
    <row r="250" ht="15.75" customHeight="1">
      <c r="A250" s="287"/>
      <c r="B250" s="287"/>
      <c r="C250" s="287"/>
      <c r="D250" s="287"/>
      <c r="E250" s="287"/>
      <c r="F250" s="287"/>
      <c r="G250" s="287"/>
      <c r="H250" s="287"/>
      <c r="I250" s="287"/>
      <c r="J250" s="287"/>
      <c r="K250" s="287"/>
      <c r="L250" s="287"/>
      <c r="M250" s="287"/>
      <c r="N250" s="287"/>
      <c r="O250" s="287"/>
      <c r="P250" s="287"/>
      <c r="Q250" s="287"/>
      <c r="R250" s="287"/>
      <c r="S250" s="287"/>
      <c r="T250" s="287"/>
      <c r="U250" s="287"/>
      <c r="V250" s="287"/>
      <c r="W250" s="287"/>
      <c r="X250" s="287"/>
      <c r="Y250" s="287"/>
      <c r="Z250" s="287"/>
      <c r="AA250" s="287"/>
      <c r="AB250" s="287"/>
      <c r="AC250" s="287"/>
      <c r="AD250" s="287"/>
      <c r="AE250" s="287"/>
      <c r="AF250" s="287"/>
      <c r="AG250" s="287"/>
      <c r="AH250" s="287"/>
      <c r="AI250" s="287"/>
      <c r="AJ250" s="287"/>
      <c r="AK250" s="287"/>
      <c r="AL250" s="287"/>
      <c r="AM250" s="287"/>
      <c r="AN250" s="287"/>
      <c r="AO250" s="287"/>
      <c r="AP250" s="287"/>
      <c r="AQ250" s="287"/>
      <c r="AR250" s="287"/>
      <c r="AS250" s="287"/>
      <c r="AT250" s="287"/>
      <c r="AU250" s="287"/>
      <c r="AV250" s="287"/>
      <c r="AW250" s="287"/>
      <c r="AX250" s="287"/>
      <c r="AY250" s="287"/>
      <c r="AZ250" s="287"/>
      <c r="BA250" s="287"/>
      <c r="BB250" s="287"/>
      <c r="BC250" s="287"/>
    </row>
    <row r="251" ht="15.75" customHeight="1">
      <c r="A251" s="287"/>
      <c r="B251" s="287"/>
      <c r="C251" s="287"/>
      <c r="D251" s="287"/>
      <c r="E251" s="287"/>
      <c r="F251" s="287"/>
      <c r="G251" s="287"/>
      <c r="H251" s="287"/>
      <c r="I251" s="287"/>
      <c r="J251" s="287"/>
      <c r="K251" s="287"/>
      <c r="L251" s="287"/>
      <c r="M251" s="287"/>
      <c r="N251" s="287"/>
      <c r="O251" s="287"/>
      <c r="P251" s="287"/>
      <c r="Q251" s="287"/>
      <c r="R251" s="287"/>
      <c r="S251" s="287"/>
      <c r="T251" s="287"/>
      <c r="U251" s="287"/>
      <c r="V251" s="287"/>
      <c r="W251" s="287"/>
      <c r="X251" s="287"/>
      <c r="Y251" s="287"/>
      <c r="Z251" s="287"/>
      <c r="AA251" s="287"/>
      <c r="AB251" s="287"/>
      <c r="AC251" s="287"/>
      <c r="AD251" s="287"/>
      <c r="AE251" s="287"/>
      <c r="AF251" s="287"/>
      <c r="AG251" s="287"/>
      <c r="AH251" s="287"/>
      <c r="AI251" s="287"/>
      <c r="AJ251" s="287"/>
      <c r="AK251" s="287"/>
      <c r="AL251" s="287"/>
      <c r="AM251" s="287"/>
      <c r="AN251" s="287"/>
      <c r="AO251" s="287"/>
      <c r="AP251" s="287"/>
      <c r="AQ251" s="287"/>
      <c r="AR251" s="287"/>
      <c r="AS251" s="287"/>
      <c r="AT251" s="287"/>
      <c r="AU251" s="287"/>
      <c r="AV251" s="287"/>
      <c r="AW251" s="287"/>
      <c r="AX251" s="287"/>
      <c r="AY251" s="287"/>
      <c r="AZ251" s="287"/>
      <c r="BA251" s="287"/>
      <c r="BB251" s="287"/>
      <c r="BC251" s="287"/>
    </row>
    <row r="252" ht="15.75" customHeight="1">
      <c r="A252" s="287"/>
      <c r="B252" s="287"/>
      <c r="C252" s="287"/>
      <c r="D252" s="287"/>
      <c r="E252" s="287"/>
      <c r="F252" s="287"/>
      <c r="G252" s="287"/>
      <c r="H252" s="287"/>
      <c r="I252" s="287"/>
      <c r="J252" s="287"/>
      <c r="K252" s="287"/>
      <c r="L252" s="287"/>
      <c r="M252" s="287"/>
      <c r="N252" s="287"/>
      <c r="O252" s="287"/>
      <c r="P252" s="287"/>
      <c r="Q252" s="287"/>
      <c r="R252" s="287"/>
      <c r="S252" s="287"/>
      <c r="T252" s="287"/>
      <c r="U252" s="287"/>
      <c r="V252" s="287"/>
      <c r="W252" s="287"/>
      <c r="X252" s="287"/>
      <c r="Y252" s="287"/>
      <c r="Z252" s="287"/>
      <c r="AA252" s="287"/>
      <c r="AB252" s="287"/>
      <c r="AC252" s="287"/>
      <c r="AD252" s="287"/>
      <c r="AE252" s="287"/>
      <c r="AF252" s="287"/>
      <c r="AG252" s="287"/>
      <c r="AH252" s="287"/>
      <c r="AI252" s="287"/>
      <c r="AJ252" s="287"/>
      <c r="AK252" s="287"/>
      <c r="AL252" s="287"/>
      <c r="AM252" s="287"/>
      <c r="AN252" s="287"/>
      <c r="AO252" s="287"/>
      <c r="AP252" s="287"/>
      <c r="AQ252" s="287"/>
      <c r="AR252" s="287"/>
      <c r="AS252" s="287"/>
      <c r="AT252" s="287"/>
      <c r="AU252" s="287"/>
      <c r="AV252" s="287"/>
      <c r="AW252" s="287"/>
      <c r="AX252" s="287"/>
      <c r="AY252" s="287"/>
      <c r="AZ252" s="287"/>
      <c r="BA252" s="287"/>
      <c r="BB252" s="287"/>
      <c r="BC252" s="287"/>
    </row>
    <row r="253" ht="15.75" customHeight="1">
      <c r="A253" s="287"/>
      <c r="B253" s="287"/>
      <c r="C253" s="287"/>
      <c r="D253" s="287"/>
      <c r="E253" s="287"/>
      <c r="F253" s="287"/>
      <c r="G253" s="287"/>
      <c r="H253" s="287"/>
      <c r="I253" s="287"/>
      <c r="J253" s="287"/>
      <c r="K253" s="287"/>
      <c r="L253" s="287"/>
      <c r="M253" s="287"/>
      <c r="N253" s="287"/>
      <c r="O253" s="287"/>
      <c r="P253" s="287"/>
      <c r="Q253" s="287"/>
      <c r="R253" s="287"/>
      <c r="S253" s="287"/>
      <c r="T253" s="287"/>
      <c r="U253" s="287"/>
      <c r="V253" s="287"/>
      <c r="W253" s="287"/>
      <c r="X253" s="287"/>
      <c r="Y253" s="287"/>
      <c r="Z253" s="287"/>
      <c r="AA253" s="287"/>
      <c r="AB253" s="287"/>
      <c r="AC253" s="287"/>
      <c r="AD253" s="287"/>
      <c r="AE253" s="287"/>
      <c r="AF253" s="287"/>
      <c r="AG253" s="287"/>
      <c r="AH253" s="287"/>
      <c r="AI253" s="287"/>
      <c r="AJ253" s="287"/>
      <c r="AK253" s="287"/>
      <c r="AL253" s="287"/>
      <c r="AM253" s="287"/>
      <c r="AN253" s="287"/>
      <c r="AO253" s="287"/>
      <c r="AP253" s="287"/>
      <c r="AQ253" s="287"/>
      <c r="AR253" s="287"/>
      <c r="AS253" s="287"/>
      <c r="AT253" s="287"/>
      <c r="AU253" s="287"/>
      <c r="AV253" s="287"/>
      <c r="AW253" s="287"/>
      <c r="AX253" s="287"/>
      <c r="AY253" s="287"/>
      <c r="AZ253" s="287"/>
      <c r="BA253" s="287"/>
      <c r="BB253" s="287"/>
      <c r="BC253" s="287"/>
    </row>
    <row r="254" ht="15.75" customHeight="1">
      <c r="A254" s="287"/>
      <c r="B254" s="287"/>
      <c r="C254" s="287"/>
      <c r="D254" s="287"/>
      <c r="E254" s="287"/>
      <c r="F254" s="287"/>
      <c r="G254" s="287"/>
      <c r="H254" s="287"/>
      <c r="I254" s="287"/>
      <c r="J254" s="287"/>
      <c r="K254" s="287"/>
      <c r="L254" s="287"/>
      <c r="M254" s="287"/>
      <c r="N254" s="287"/>
      <c r="O254" s="287"/>
      <c r="P254" s="287"/>
      <c r="Q254" s="287"/>
      <c r="R254" s="287"/>
      <c r="S254" s="287"/>
      <c r="T254" s="287"/>
      <c r="U254" s="287"/>
      <c r="V254" s="287"/>
      <c r="W254" s="287"/>
      <c r="X254" s="287"/>
      <c r="Y254" s="287"/>
      <c r="Z254" s="287"/>
      <c r="AA254" s="287"/>
      <c r="AB254" s="287"/>
      <c r="AC254" s="287"/>
      <c r="AD254" s="287"/>
      <c r="AE254" s="287"/>
      <c r="AF254" s="287"/>
      <c r="AG254" s="287"/>
      <c r="AH254" s="287"/>
      <c r="AI254" s="287"/>
      <c r="AJ254" s="287"/>
      <c r="AK254" s="287"/>
      <c r="AL254" s="287"/>
      <c r="AM254" s="287"/>
      <c r="AN254" s="287"/>
      <c r="AO254" s="287"/>
      <c r="AP254" s="287"/>
      <c r="AQ254" s="287"/>
      <c r="AR254" s="287"/>
      <c r="AS254" s="287"/>
      <c r="AT254" s="287"/>
      <c r="AU254" s="287"/>
      <c r="AV254" s="287"/>
      <c r="AW254" s="287"/>
      <c r="AX254" s="287"/>
      <c r="AY254" s="287"/>
      <c r="AZ254" s="287"/>
      <c r="BA254" s="287"/>
      <c r="BB254" s="287"/>
      <c r="BC254" s="287"/>
    </row>
    <row r="255" ht="15.75" customHeight="1">
      <c r="A255" s="287"/>
      <c r="B255" s="287"/>
      <c r="C255" s="287"/>
      <c r="D255" s="287"/>
      <c r="E255" s="287"/>
      <c r="F255" s="287"/>
      <c r="G255" s="287"/>
      <c r="H255" s="287"/>
      <c r="I255" s="287"/>
      <c r="J255" s="287"/>
      <c r="K255" s="287"/>
      <c r="L255" s="287"/>
      <c r="M255" s="287"/>
      <c r="N255" s="287"/>
      <c r="O255" s="287"/>
      <c r="P255" s="287"/>
      <c r="Q255" s="287"/>
      <c r="R255" s="287"/>
      <c r="S255" s="287"/>
      <c r="T255" s="287"/>
      <c r="U255" s="287"/>
      <c r="V255" s="287"/>
      <c r="W255" s="287"/>
      <c r="X255" s="287"/>
      <c r="Y255" s="287"/>
      <c r="Z255" s="287"/>
      <c r="AA255" s="287"/>
      <c r="AB255" s="287"/>
      <c r="AC255" s="287"/>
      <c r="AD255" s="287"/>
      <c r="AE255" s="287"/>
      <c r="AF255" s="287"/>
      <c r="AG255" s="287"/>
      <c r="AH255" s="287"/>
      <c r="AI255" s="287"/>
      <c r="AJ255" s="287"/>
      <c r="AK255" s="287"/>
      <c r="AL255" s="287"/>
      <c r="AM255" s="287"/>
      <c r="AN255" s="287"/>
      <c r="AO255" s="287"/>
      <c r="AP255" s="287"/>
      <c r="AQ255" s="287"/>
      <c r="AR255" s="287"/>
      <c r="AS255" s="287"/>
      <c r="AT255" s="287"/>
      <c r="AU255" s="287"/>
      <c r="AV255" s="287"/>
      <c r="AW255" s="287"/>
      <c r="AX255" s="287"/>
      <c r="AY255" s="287"/>
      <c r="AZ255" s="287"/>
      <c r="BA255" s="287"/>
      <c r="BB255" s="287"/>
      <c r="BC255" s="287"/>
    </row>
    <row r="256" ht="15.75" customHeight="1">
      <c r="A256" s="287"/>
      <c r="B256" s="287"/>
      <c r="C256" s="287"/>
      <c r="D256" s="287"/>
      <c r="E256" s="287"/>
      <c r="F256" s="287"/>
      <c r="G256" s="287"/>
      <c r="H256" s="287"/>
      <c r="I256" s="287"/>
      <c r="J256" s="287"/>
      <c r="K256" s="287"/>
      <c r="L256" s="287"/>
      <c r="M256" s="287"/>
      <c r="N256" s="287"/>
      <c r="O256" s="287"/>
      <c r="P256" s="287"/>
      <c r="Q256" s="287"/>
      <c r="R256" s="287"/>
      <c r="S256" s="287"/>
      <c r="T256" s="287"/>
      <c r="U256" s="287"/>
      <c r="V256" s="287"/>
      <c r="W256" s="287"/>
      <c r="X256" s="287"/>
      <c r="Y256" s="287"/>
      <c r="Z256" s="287"/>
      <c r="AA256" s="287"/>
      <c r="AB256" s="287"/>
      <c r="AC256" s="287"/>
      <c r="AD256" s="287"/>
      <c r="AE256" s="287"/>
      <c r="AF256" s="287"/>
      <c r="AG256" s="287"/>
      <c r="AH256" s="287"/>
      <c r="AI256" s="287"/>
      <c r="AJ256" s="287"/>
      <c r="AK256" s="287"/>
      <c r="AL256" s="287"/>
      <c r="AM256" s="287"/>
      <c r="AN256" s="287"/>
      <c r="AO256" s="287"/>
      <c r="AP256" s="287"/>
      <c r="AQ256" s="287"/>
      <c r="AR256" s="287"/>
      <c r="AS256" s="287"/>
      <c r="AT256" s="287"/>
      <c r="AU256" s="287"/>
      <c r="AV256" s="287"/>
      <c r="AW256" s="287"/>
      <c r="AX256" s="287"/>
      <c r="AY256" s="287"/>
      <c r="AZ256" s="287"/>
      <c r="BA256" s="287"/>
      <c r="BB256" s="287"/>
      <c r="BC256" s="287"/>
    </row>
    <row r="257" ht="15.75" customHeight="1">
      <c r="A257" s="287"/>
      <c r="B257" s="287"/>
      <c r="C257" s="287"/>
      <c r="D257" s="287"/>
      <c r="E257" s="287"/>
      <c r="F257" s="287"/>
      <c r="G257" s="287"/>
      <c r="H257" s="287"/>
      <c r="I257" s="287"/>
      <c r="J257" s="287"/>
      <c r="K257" s="287"/>
      <c r="L257" s="287"/>
      <c r="M257" s="287"/>
      <c r="N257" s="287"/>
      <c r="O257" s="287"/>
      <c r="P257" s="287"/>
      <c r="Q257" s="287"/>
      <c r="R257" s="287"/>
      <c r="S257" s="287"/>
      <c r="T257" s="287"/>
      <c r="U257" s="287"/>
      <c r="V257" s="287"/>
      <c r="W257" s="287"/>
      <c r="X257" s="287"/>
      <c r="Y257" s="287"/>
      <c r="Z257" s="287"/>
      <c r="AA257" s="287"/>
      <c r="AB257" s="287"/>
      <c r="AC257" s="287"/>
      <c r="AD257" s="287"/>
      <c r="AE257" s="287"/>
      <c r="AF257" s="287"/>
      <c r="AG257" s="287"/>
      <c r="AH257" s="287"/>
      <c r="AI257" s="287"/>
      <c r="AJ257" s="287"/>
      <c r="AK257" s="287"/>
      <c r="AL257" s="287"/>
      <c r="AM257" s="287"/>
      <c r="AN257" s="287"/>
      <c r="AO257" s="287"/>
      <c r="AP257" s="287"/>
      <c r="AQ257" s="287"/>
      <c r="AR257" s="287"/>
      <c r="AS257" s="287"/>
      <c r="AT257" s="287"/>
      <c r="AU257" s="287"/>
      <c r="AV257" s="287"/>
      <c r="AW257" s="287"/>
      <c r="AX257" s="287"/>
      <c r="AY257" s="287"/>
      <c r="AZ257" s="287"/>
      <c r="BA257" s="287"/>
      <c r="BB257" s="287"/>
      <c r="BC257" s="287"/>
    </row>
    <row r="258" ht="15.75" customHeight="1">
      <c r="A258" s="287"/>
      <c r="B258" s="287"/>
      <c r="C258" s="287"/>
      <c r="D258" s="287"/>
      <c r="E258" s="287"/>
      <c r="F258" s="287"/>
      <c r="G258" s="287"/>
      <c r="H258" s="287"/>
      <c r="I258" s="287"/>
      <c r="J258" s="287"/>
      <c r="K258" s="287"/>
      <c r="L258" s="287"/>
      <c r="M258" s="287"/>
      <c r="N258" s="287"/>
      <c r="O258" s="287"/>
      <c r="P258" s="287"/>
      <c r="Q258" s="287"/>
      <c r="R258" s="287"/>
      <c r="S258" s="287"/>
      <c r="T258" s="287"/>
      <c r="U258" s="287"/>
      <c r="V258" s="287"/>
      <c r="W258" s="287"/>
      <c r="X258" s="287"/>
      <c r="Y258" s="287"/>
      <c r="Z258" s="287"/>
      <c r="AA258" s="287"/>
      <c r="AB258" s="287"/>
      <c r="AC258" s="287"/>
      <c r="AD258" s="287"/>
      <c r="AE258" s="287"/>
      <c r="AF258" s="287"/>
      <c r="AG258" s="287"/>
      <c r="AH258" s="287"/>
      <c r="AI258" s="287"/>
      <c r="AJ258" s="287"/>
      <c r="AK258" s="287"/>
      <c r="AL258" s="287"/>
      <c r="AM258" s="287"/>
      <c r="AN258" s="287"/>
      <c r="AO258" s="287"/>
      <c r="AP258" s="287"/>
      <c r="AQ258" s="287"/>
      <c r="AR258" s="287"/>
      <c r="AS258" s="287"/>
      <c r="AT258" s="287"/>
      <c r="AU258" s="287"/>
      <c r="AV258" s="287"/>
      <c r="AW258" s="287"/>
      <c r="AX258" s="287"/>
      <c r="AY258" s="287"/>
      <c r="AZ258" s="287"/>
      <c r="BA258" s="287"/>
      <c r="BB258" s="287"/>
      <c r="BC258" s="287"/>
    </row>
    <row r="259" ht="15.75" customHeight="1">
      <c r="A259" s="287"/>
      <c r="B259" s="287"/>
      <c r="C259" s="287"/>
      <c r="D259" s="287"/>
      <c r="E259" s="287"/>
      <c r="F259" s="287"/>
      <c r="G259" s="287"/>
      <c r="H259" s="287"/>
      <c r="I259" s="287"/>
      <c r="J259" s="287"/>
      <c r="K259" s="287"/>
      <c r="L259" s="287"/>
      <c r="M259" s="287"/>
      <c r="N259" s="287"/>
      <c r="O259" s="287"/>
      <c r="P259" s="287"/>
      <c r="Q259" s="287"/>
      <c r="R259" s="287"/>
      <c r="S259" s="287"/>
      <c r="T259" s="287"/>
      <c r="U259" s="287"/>
      <c r="V259" s="287"/>
      <c r="W259" s="287"/>
      <c r="X259" s="287"/>
      <c r="Y259" s="287"/>
      <c r="Z259" s="287"/>
      <c r="AA259" s="287"/>
      <c r="AB259" s="287"/>
      <c r="AC259" s="287"/>
      <c r="AD259" s="287"/>
      <c r="AE259" s="287"/>
      <c r="AF259" s="287"/>
      <c r="AG259" s="287"/>
      <c r="AH259" s="287"/>
      <c r="AI259" s="287"/>
      <c r="AJ259" s="287"/>
      <c r="AK259" s="287"/>
      <c r="AL259" s="287"/>
      <c r="AM259" s="287"/>
      <c r="AN259" s="287"/>
      <c r="AO259" s="287"/>
      <c r="AP259" s="287"/>
      <c r="AQ259" s="287"/>
      <c r="AR259" s="287"/>
      <c r="AS259" s="287"/>
      <c r="AT259" s="287"/>
      <c r="AU259" s="287"/>
      <c r="AV259" s="287"/>
      <c r="AW259" s="287"/>
      <c r="AX259" s="287"/>
      <c r="AY259" s="287"/>
      <c r="AZ259" s="287"/>
      <c r="BA259" s="287"/>
      <c r="BB259" s="287"/>
      <c r="BC259" s="287"/>
    </row>
    <row r="260" ht="15.75" customHeight="1">
      <c r="A260" s="287"/>
      <c r="B260" s="287"/>
      <c r="C260" s="287"/>
      <c r="D260" s="287"/>
      <c r="E260" s="287"/>
      <c r="F260" s="287"/>
      <c r="G260" s="287"/>
      <c r="H260" s="287"/>
      <c r="I260" s="287"/>
      <c r="J260" s="287"/>
      <c r="K260" s="287"/>
      <c r="L260" s="287"/>
      <c r="M260" s="287"/>
      <c r="N260" s="287"/>
      <c r="O260" s="287"/>
      <c r="P260" s="287"/>
      <c r="Q260" s="287"/>
      <c r="R260" s="287"/>
      <c r="S260" s="287"/>
      <c r="T260" s="287"/>
      <c r="U260" s="287"/>
      <c r="V260" s="287"/>
      <c r="W260" s="287"/>
      <c r="X260" s="287"/>
      <c r="Y260" s="287"/>
      <c r="Z260" s="287"/>
      <c r="AA260" s="287"/>
      <c r="AB260" s="287"/>
      <c r="AC260" s="287"/>
      <c r="AD260" s="287"/>
      <c r="AE260" s="287"/>
      <c r="AF260" s="287"/>
      <c r="AG260" s="287"/>
      <c r="AH260" s="287"/>
      <c r="AI260" s="287"/>
      <c r="AJ260" s="287"/>
      <c r="AK260" s="287"/>
      <c r="AL260" s="287"/>
      <c r="AM260" s="287"/>
      <c r="AN260" s="287"/>
      <c r="AO260" s="287"/>
      <c r="AP260" s="287"/>
      <c r="AQ260" s="287"/>
      <c r="AR260" s="287"/>
      <c r="AS260" s="287"/>
      <c r="AT260" s="287"/>
      <c r="AU260" s="287"/>
      <c r="AV260" s="287"/>
      <c r="AW260" s="287"/>
      <c r="AX260" s="287"/>
      <c r="AY260" s="287"/>
      <c r="AZ260" s="287"/>
      <c r="BA260" s="287"/>
      <c r="BB260" s="287"/>
      <c r="BC260" s="287"/>
    </row>
    <row r="261" ht="15.75" customHeight="1">
      <c r="A261" s="287"/>
      <c r="B261" s="287"/>
      <c r="C261" s="287"/>
      <c r="D261" s="287"/>
      <c r="E261" s="287"/>
      <c r="F261" s="287"/>
      <c r="G261" s="287"/>
      <c r="H261" s="287"/>
      <c r="I261" s="287"/>
      <c r="J261" s="287"/>
      <c r="K261" s="287"/>
      <c r="L261" s="287"/>
      <c r="M261" s="287"/>
      <c r="N261" s="287"/>
      <c r="O261" s="287"/>
      <c r="P261" s="287"/>
      <c r="Q261" s="287"/>
      <c r="R261" s="287"/>
      <c r="S261" s="287"/>
      <c r="T261" s="287"/>
      <c r="U261" s="287"/>
      <c r="V261" s="287"/>
      <c r="W261" s="287"/>
      <c r="X261" s="287"/>
      <c r="Y261" s="287"/>
      <c r="Z261" s="287"/>
      <c r="AA261" s="287"/>
      <c r="AB261" s="287"/>
      <c r="AC261" s="287"/>
      <c r="AD261" s="287"/>
      <c r="AE261" s="287"/>
      <c r="AF261" s="287"/>
      <c r="AG261" s="287"/>
      <c r="AH261" s="287"/>
      <c r="AI261" s="287"/>
      <c r="AJ261" s="287"/>
      <c r="AK261" s="287"/>
      <c r="AL261" s="287"/>
      <c r="AM261" s="287"/>
      <c r="AN261" s="287"/>
      <c r="AO261" s="287"/>
      <c r="AP261" s="287"/>
      <c r="AQ261" s="287"/>
      <c r="AR261" s="287"/>
      <c r="AS261" s="287"/>
      <c r="AT261" s="287"/>
      <c r="AU261" s="287"/>
      <c r="AV261" s="287"/>
      <c r="AW261" s="287"/>
      <c r="AX261" s="287"/>
      <c r="AY261" s="287"/>
      <c r="AZ261" s="287"/>
      <c r="BA261" s="287"/>
      <c r="BB261" s="287"/>
      <c r="BC261" s="287"/>
    </row>
    <row r="262" ht="15.75" customHeight="1">
      <c r="A262" s="287"/>
      <c r="B262" s="287"/>
      <c r="C262" s="287"/>
      <c r="D262" s="287"/>
      <c r="E262" s="287"/>
      <c r="F262" s="287"/>
      <c r="G262" s="287"/>
      <c r="H262" s="287"/>
      <c r="I262" s="287"/>
      <c r="J262" s="287"/>
      <c r="K262" s="287"/>
      <c r="L262" s="287"/>
      <c r="M262" s="287"/>
      <c r="N262" s="287"/>
      <c r="O262" s="287"/>
      <c r="P262" s="287"/>
      <c r="Q262" s="287"/>
      <c r="R262" s="287"/>
      <c r="S262" s="287"/>
      <c r="T262" s="287"/>
      <c r="U262" s="287"/>
      <c r="V262" s="287"/>
      <c r="W262" s="287"/>
      <c r="X262" s="287"/>
      <c r="Y262" s="287"/>
      <c r="Z262" s="287"/>
      <c r="AA262" s="287"/>
      <c r="AB262" s="287"/>
      <c r="AC262" s="287"/>
      <c r="AD262" s="287"/>
      <c r="AE262" s="287"/>
      <c r="AF262" s="287"/>
      <c r="AG262" s="287"/>
      <c r="AH262" s="287"/>
      <c r="AI262" s="287"/>
      <c r="AJ262" s="287"/>
      <c r="AK262" s="287"/>
      <c r="AL262" s="287"/>
      <c r="AM262" s="287"/>
      <c r="AN262" s="287"/>
      <c r="AO262" s="287"/>
      <c r="AP262" s="287"/>
      <c r="AQ262" s="287"/>
      <c r="AR262" s="287"/>
      <c r="AS262" s="287"/>
      <c r="AT262" s="287"/>
      <c r="AU262" s="287"/>
      <c r="AV262" s="287"/>
      <c r="AW262" s="287"/>
      <c r="AX262" s="287"/>
      <c r="AY262" s="287"/>
      <c r="AZ262" s="287"/>
      <c r="BA262" s="287"/>
      <c r="BB262" s="287"/>
      <c r="BC262" s="287"/>
    </row>
    <row r="263" ht="15.75" customHeight="1">
      <c r="A263" s="287"/>
      <c r="B263" s="287"/>
      <c r="C263" s="287"/>
      <c r="D263" s="287"/>
      <c r="E263" s="287"/>
      <c r="F263" s="287"/>
      <c r="G263" s="287"/>
      <c r="H263" s="287"/>
      <c r="I263" s="287"/>
      <c r="J263" s="287"/>
      <c r="K263" s="287"/>
      <c r="L263" s="287"/>
      <c r="M263" s="287"/>
      <c r="N263" s="287"/>
      <c r="O263" s="287"/>
      <c r="P263" s="287"/>
      <c r="Q263" s="287"/>
      <c r="R263" s="287"/>
      <c r="S263" s="287"/>
      <c r="T263" s="287"/>
      <c r="U263" s="287"/>
      <c r="V263" s="287"/>
      <c r="W263" s="287"/>
      <c r="X263" s="287"/>
      <c r="Y263" s="287"/>
      <c r="Z263" s="287"/>
      <c r="AA263" s="287"/>
      <c r="AB263" s="287"/>
      <c r="AC263" s="287"/>
      <c r="AD263" s="287"/>
      <c r="AE263" s="287"/>
      <c r="AF263" s="287"/>
      <c r="AG263" s="287"/>
      <c r="AH263" s="287"/>
      <c r="AI263" s="287"/>
      <c r="AJ263" s="287"/>
      <c r="AK263" s="287"/>
      <c r="AL263" s="287"/>
      <c r="AM263" s="287"/>
      <c r="AN263" s="287"/>
      <c r="AO263" s="287"/>
      <c r="AP263" s="287"/>
      <c r="AQ263" s="287"/>
      <c r="AR263" s="287"/>
      <c r="AS263" s="287"/>
      <c r="AT263" s="287"/>
      <c r="AU263" s="287"/>
      <c r="AV263" s="287"/>
      <c r="AW263" s="287"/>
      <c r="AX263" s="287"/>
      <c r="AY263" s="287"/>
      <c r="AZ263" s="287"/>
      <c r="BA263" s="287"/>
      <c r="BB263" s="287"/>
      <c r="BC263" s="287"/>
    </row>
    <row r="264" ht="15.75" customHeight="1">
      <c r="A264" s="287"/>
      <c r="B264" s="287"/>
      <c r="C264" s="287"/>
      <c r="D264" s="287"/>
      <c r="E264" s="287"/>
      <c r="F264" s="287"/>
      <c r="G264" s="287"/>
      <c r="H264" s="287"/>
      <c r="I264" s="287"/>
      <c r="J264" s="287"/>
      <c r="K264" s="287"/>
      <c r="L264" s="287"/>
      <c r="M264" s="287"/>
      <c r="N264" s="287"/>
      <c r="O264" s="287"/>
      <c r="P264" s="287"/>
      <c r="Q264" s="287"/>
      <c r="R264" s="287"/>
      <c r="S264" s="287"/>
      <c r="T264" s="287"/>
      <c r="U264" s="287"/>
      <c r="V264" s="287"/>
      <c r="W264" s="287"/>
      <c r="X264" s="287"/>
      <c r="Y264" s="287"/>
      <c r="Z264" s="287"/>
      <c r="AA264" s="287"/>
      <c r="AB264" s="287"/>
      <c r="AC264" s="287"/>
      <c r="AD264" s="287"/>
      <c r="AE264" s="287"/>
      <c r="AF264" s="287"/>
      <c r="AG264" s="287"/>
      <c r="AH264" s="287"/>
      <c r="AI264" s="287"/>
      <c r="AJ264" s="287"/>
      <c r="AK264" s="287"/>
      <c r="AL264" s="287"/>
      <c r="AM264" s="287"/>
      <c r="AN264" s="287"/>
      <c r="AO264" s="287"/>
      <c r="AP264" s="287"/>
      <c r="AQ264" s="287"/>
      <c r="AR264" s="287"/>
      <c r="AS264" s="287"/>
      <c r="AT264" s="287"/>
      <c r="AU264" s="287"/>
      <c r="AV264" s="287"/>
      <c r="AW264" s="287"/>
      <c r="AX264" s="287"/>
      <c r="AY264" s="287"/>
      <c r="AZ264" s="287"/>
      <c r="BA264" s="287"/>
      <c r="BB264" s="287"/>
      <c r="BC264" s="287"/>
    </row>
    <row r="265" ht="15.75" customHeight="1">
      <c r="A265" s="287"/>
      <c r="B265" s="287"/>
      <c r="C265" s="287"/>
      <c r="D265" s="287"/>
      <c r="E265" s="287"/>
      <c r="F265" s="287"/>
      <c r="G265" s="287"/>
      <c r="H265" s="287"/>
      <c r="I265" s="287"/>
      <c r="J265" s="287"/>
      <c r="K265" s="287"/>
      <c r="L265" s="287"/>
      <c r="M265" s="287"/>
      <c r="N265" s="287"/>
      <c r="O265" s="287"/>
      <c r="P265" s="287"/>
      <c r="Q265" s="287"/>
      <c r="R265" s="287"/>
      <c r="S265" s="287"/>
      <c r="T265" s="287"/>
      <c r="U265" s="287"/>
      <c r="V265" s="287"/>
      <c r="W265" s="287"/>
      <c r="X265" s="287"/>
      <c r="Y265" s="287"/>
      <c r="Z265" s="287"/>
      <c r="AA265" s="287"/>
      <c r="AB265" s="287"/>
      <c r="AC265" s="287"/>
      <c r="AD265" s="287"/>
      <c r="AE265" s="287"/>
      <c r="AF265" s="287"/>
      <c r="AG265" s="287"/>
      <c r="AH265" s="287"/>
      <c r="AI265" s="287"/>
      <c r="AJ265" s="287"/>
      <c r="AK265" s="287"/>
      <c r="AL265" s="287"/>
      <c r="AM265" s="287"/>
      <c r="AN265" s="287"/>
      <c r="AO265" s="287"/>
      <c r="AP265" s="287"/>
      <c r="AQ265" s="287"/>
      <c r="AR265" s="287"/>
      <c r="AS265" s="287"/>
      <c r="AT265" s="287"/>
      <c r="AU265" s="287"/>
      <c r="AV265" s="287"/>
      <c r="AW265" s="287"/>
      <c r="AX265" s="287"/>
      <c r="AY265" s="287"/>
      <c r="AZ265" s="287"/>
      <c r="BA265" s="287"/>
      <c r="BB265" s="287"/>
      <c r="BC265" s="287"/>
    </row>
    <row r="266" ht="15.75" customHeight="1">
      <c r="A266" s="287"/>
      <c r="B266" s="287"/>
      <c r="C266" s="287"/>
      <c r="D266" s="287"/>
      <c r="E266" s="287"/>
      <c r="F266" s="287"/>
      <c r="G266" s="287"/>
      <c r="H266" s="287"/>
      <c r="I266" s="287"/>
      <c r="J266" s="287"/>
      <c r="K266" s="287"/>
      <c r="L266" s="287"/>
      <c r="M266" s="287"/>
      <c r="N266" s="287"/>
      <c r="O266" s="287"/>
      <c r="P266" s="287"/>
      <c r="Q266" s="287"/>
      <c r="R266" s="287"/>
      <c r="S266" s="287"/>
      <c r="T266" s="287"/>
      <c r="U266" s="287"/>
      <c r="V266" s="287"/>
      <c r="W266" s="287"/>
      <c r="X266" s="287"/>
      <c r="Y266" s="287"/>
      <c r="Z266" s="287"/>
      <c r="AA266" s="287"/>
      <c r="AB266" s="287"/>
      <c r="AC266" s="287"/>
      <c r="AD266" s="287"/>
      <c r="AE266" s="287"/>
      <c r="AF266" s="287"/>
      <c r="AG266" s="287"/>
      <c r="AH266" s="287"/>
      <c r="AI266" s="287"/>
      <c r="AJ266" s="287"/>
      <c r="AK266" s="287"/>
      <c r="AL266" s="287"/>
      <c r="AM266" s="287"/>
      <c r="AN266" s="287"/>
      <c r="AO266" s="287"/>
      <c r="AP266" s="287"/>
      <c r="AQ266" s="287"/>
      <c r="AR266" s="287"/>
      <c r="AS266" s="287"/>
      <c r="AT266" s="287"/>
      <c r="AU266" s="287"/>
      <c r="AV266" s="287"/>
      <c r="AW266" s="287"/>
      <c r="AX266" s="287"/>
      <c r="AY266" s="287"/>
      <c r="AZ266" s="287"/>
      <c r="BA266" s="287"/>
      <c r="BB266" s="287"/>
      <c r="BC266" s="287"/>
    </row>
    <row r="267" ht="15.75" customHeight="1">
      <c r="A267" s="287"/>
      <c r="B267" s="287"/>
      <c r="C267" s="287"/>
      <c r="D267" s="287"/>
      <c r="E267" s="287"/>
      <c r="F267" s="287"/>
      <c r="G267" s="287"/>
      <c r="H267" s="287"/>
      <c r="I267" s="287"/>
      <c r="J267" s="287"/>
      <c r="K267" s="287"/>
      <c r="L267" s="287"/>
      <c r="M267" s="287"/>
      <c r="N267" s="287"/>
      <c r="O267" s="287"/>
      <c r="P267" s="287"/>
      <c r="Q267" s="287"/>
      <c r="R267" s="287"/>
      <c r="S267" s="287"/>
      <c r="T267" s="287"/>
      <c r="U267" s="287"/>
      <c r="V267" s="287"/>
      <c r="W267" s="287"/>
      <c r="X267" s="287"/>
      <c r="Y267" s="287"/>
      <c r="Z267" s="287"/>
      <c r="AA267" s="287"/>
      <c r="AB267" s="287"/>
      <c r="AC267" s="287"/>
      <c r="AD267" s="287"/>
      <c r="AE267" s="287"/>
      <c r="AF267" s="287"/>
      <c r="AG267" s="287"/>
      <c r="AH267" s="287"/>
      <c r="AI267" s="287"/>
      <c r="AJ267" s="287"/>
      <c r="AK267" s="287"/>
      <c r="AL267" s="287"/>
      <c r="AM267" s="287"/>
      <c r="AN267" s="287"/>
      <c r="AO267" s="287"/>
      <c r="AP267" s="287"/>
      <c r="AQ267" s="287"/>
      <c r="AR267" s="287"/>
      <c r="AS267" s="287"/>
      <c r="AT267" s="287"/>
      <c r="AU267" s="287"/>
      <c r="AV267" s="287"/>
      <c r="AW267" s="287"/>
      <c r="AX267" s="287"/>
      <c r="AY267" s="287"/>
      <c r="AZ267" s="287"/>
      <c r="BA267" s="287"/>
      <c r="BB267" s="287"/>
      <c r="BC267" s="287"/>
    </row>
    <row r="268" ht="15.75" customHeight="1">
      <c r="A268" s="287"/>
      <c r="B268" s="287"/>
      <c r="C268" s="287"/>
      <c r="D268" s="287"/>
      <c r="E268" s="287"/>
      <c r="F268" s="287"/>
      <c r="G268" s="287"/>
      <c r="H268" s="287"/>
      <c r="I268" s="287"/>
      <c r="J268" s="287"/>
      <c r="K268" s="287"/>
      <c r="L268" s="287"/>
      <c r="M268" s="287"/>
      <c r="N268" s="287"/>
      <c r="O268" s="287"/>
      <c r="P268" s="287"/>
      <c r="Q268" s="287"/>
      <c r="R268" s="287"/>
      <c r="S268" s="287"/>
      <c r="T268" s="287"/>
      <c r="U268" s="287"/>
      <c r="V268" s="287"/>
      <c r="W268" s="287"/>
      <c r="X268" s="287"/>
      <c r="Y268" s="287"/>
      <c r="Z268" s="287"/>
      <c r="AA268" s="287"/>
      <c r="AB268" s="287"/>
      <c r="AC268" s="287"/>
      <c r="AD268" s="287"/>
      <c r="AE268" s="287"/>
      <c r="AF268" s="287"/>
      <c r="AG268" s="287"/>
      <c r="AH268" s="287"/>
      <c r="AI268" s="287"/>
      <c r="AJ268" s="287"/>
      <c r="AK268" s="287"/>
      <c r="AL268" s="287"/>
      <c r="AM268" s="287"/>
      <c r="AN268" s="287"/>
      <c r="AO268" s="287"/>
      <c r="AP268" s="287"/>
      <c r="AQ268" s="287"/>
      <c r="AR268" s="287"/>
      <c r="AS268" s="287"/>
      <c r="AT268" s="287"/>
      <c r="AU268" s="287"/>
      <c r="AV268" s="287"/>
      <c r="AW268" s="287"/>
      <c r="AX268" s="287"/>
      <c r="AY268" s="287"/>
      <c r="AZ268" s="287"/>
      <c r="BA268" s="287"/>
      <c r="BB268" s="287"/>
      <c r="BC268" s="287"/>
    </row>
    <row r="269" ht="15.75" customHeight="1">
      <c r="A269" s="287"/>
      <c r="B269" s="287"/>
      <c r="C269" s="287"/>
      <c r="D269" s="287"/>
      <c r="E269" s="287"/>
      <c r="F269" s="287"/>
      <c r="G269" s="287"/>
      <c r="H269" s="287"/>
      <c r="I269" s="287"/>
      <c r="J269" s="287"/>
      <c r="K269" s="287"/>
      <c r="L269" s="287"/>
      <c r="M269" s="287"/>
      <c r="N269" s="287"/>
      <c r="O269" s="287"/>
      <c r="P269" s="287"/>
      <c r="Q269" s="287"/>
      <c r="R269" s="287"/>
      <c r="S269" s="287"/>
      <c r="T269" s="287"/>
      <c r="U269" s="287"/>
      <c r="V269" s="287"/>
      <c r="W269" s="287"/>
      <c r="X269" s="287"/>
      <c r="Y269" s="287"/>
      <c r="Z269" s="287"/>
      <c r="AA269" s="287"/>
      <c r="AB269" s="287"/>
      <c r="AC269" s="287"/>
      <c r="AD269" s="287"/>
      <c r="AE269" s="287"/>
      <c r="AF269" s="287"/>
      <c r="AG269" s="287"/>
      <c r="AH269" s="287"/>
      <c r="AI269" s="287"/>
      <c r="AJ269" s="287"/>
      <c r="AK269" s="287"/>
      <c r="AL269" s="287"/>
      <c r="AM269" s="287"/>
      <c r="AN269" s="287"/>
      <c r="AO269" s="287"/>
      <c r="AP269" s="287"/>
      <c r="AQ269" s="287"/>
      <c r="AR269" s="287"/>
      <c r="AS269" s="287"/>
      <c r="AT269" s="287"/>
      <c r="AU269" s="287"/>
      <c r="AV269" s="287"/>
      <c r="AW269" s="287"/>
      <c r="AX269" s="287"/>
      <c r="AY269" s="287"/>
      <c r="AZ269" s="287"/>
      <c r="BA269" s="287"/>
      <c r="BB269" s="287"/>
      <c r="BC269" s="287"/>
    </row>
    <row r="270" ht="15.75" customHeight="1">
      <c r="A270" s="287"/>
      <c r="B270" s="287"/>
      <c r="C270" s="287"/>
      <c r="D270" s="287"/>
      <c r="E270" s="287"/>
      <c r="F270" s="287"/>
      <c r="G270" s="287"/>
      <c r="H270" s="287"/>
      <c r="I270" s="287"/>
      <c r="J270" s="287"/>
      <c r="K270" s="287"/>
      <c r="L270" s="287"/>
      <c r="M270" s="287"/>
      <c r="N270" s="287"/>
      <c r="O270" s="287"/>
      <c r="P270" s="287"/>
      <c r="Q270" s="287"/>
      <c r="R270" s="287"/>
      <c r="S270" s="287"/>
      <c r="T270" s="287"/>
      <c r="U270" s="287"/>
      <c r="V270" s="287"/>
      <c r="W270" s="287"/>
      <c r="X270" s="287"/>
      <c r="Y270" s="287"/>
      <c r="Z270" s="287"/>
      <c r="AA270" s="287"/>
      <c r="AB270" s="287"/>
      <c r="AC270" s="287"/>
      <c r="AD270" s="287"/>
      <c r="AE270" s="287"/>
      <c r="AF270" s="287"/>
      <c r="AG270" s="287"/>
      <c r="AH270" s="287"/>
      <c r="AI270" s="287"/>
      <c r="AJ270" s="287"/>
      <c r="AK270" s="287"/>
      <c r="AL270" s="287"/>
      <c r="AM270" s="287"/>
      <c r="AN270" s="287"/>
      <c r="AO270" s="287"/>
      <c r="AP270" s="287"/>
      <c r="AQ270" s="287"/>
      <c r="AR270" s="287"/>
      <c r="AS270" s="287"/>
      <c r="AT270" s="287"/>
      <c r="AU270" s="287"/>
      <c r="AV270" s="287"/>
      <c r="AW270" s="287"/>
      <c r="AX270" s="287"/>
      <c r="AY270" s="287"/>
      <c r="AZ270" s="287"/>
      <c r="BA270" s="287"/>
      <c r="BB270" s="287"/>
      <c r="BC270" s="287"/>
    </row>
    <row r="271" ht="15.75" customHeight="1">
      <c r="A271" s="287"/>
      <c r="B271" s="287"/>
      <c r="C271" s="287"/>
      <c r="D271" s="287"/>
      <c r="E271" s="287"/>
      <c r="F271" s="287"/>
      <c r="G271" s="287"/>
      <c r="H271" s="287"/>
      <c r="I271" s="287"/>
      <c r="J271" s="287"/>
      <c r="K271" s="287"/>
      <c r="L271" s="287"/>
      <c r="M271" s="287"/>
      <c r="N271" s="287"/>
      <c r="O271" s="287"/>
      <c r="P271" s="287"/>
      <c r="Q271" s="287"/>
      <c r="R271" s="287"/>
      <c r="S271" s="287"/>
      <c r="T271" s="287"/>
      <c r="U271" s="287"/>
      <c r="V271" s="287"/>
      <c r="W271" s="287"/>
      <c r="X271" s="287"/>
      <c r="Y271" s="287"/>
      <c r="Z271" s="287"/>
      <c r="AA271" s="287"/>
      <c r="AB271" s="287"/>
      <c r="AC271" s="287"/>
      <c r="AD271" s="287"/>
      <c r="AE271" s="287"/>
      <c r="AF271" s="287"/>
      <c r="AG271" s="287"/>
      <c r="AH271" s="287"/>
      <c r="AI271" s="287"/>
      <c r="AJ271" s="287"/>
      <c r="AK271" s="287"/>
      <c r="AL271" s="287"/>
      <c r="AM271" s="287"/>
      <c r="AN271" s="287"/>
      <c r="AO271" s="287"/>
      <c r="AP271" s="287"/>
      <c r="AQ271" s="287"/>
      <c r="AR271" s="287"/>
      <c r="AS271" s="287"/>
      <c r="AT271" s="287"/>
      <c r="AU271" s="287"/>
      <c r="AV271" s="287"/>
      <c r="AW271" s="287"/>
      <c r="AX271" s="287"/>
      <c r="AY271" s="287"/>
      <c r="AZ271" s="287"/>
      <c r="BA271" s="287"/>
      <c r="BB271" s="287"/>
      <c r="BC271" s="287"/>
    </row>
    <row r="272" ht="15.75" customHeight="1">
      <c r="A272" s="287"/>
      <c r="B272" s="287"/>
      <c r="C272" s="287"/>
      <c r="D272" s="287"/>
      <c r="E272" s="287"/>
      <c r="F272" s="287"/>
      <c r="G272" s="287"/>
      <c r="H272" s="287"/>
      <c r="I272" s="287"/>
      <c r="J272" s="287"/>
      <c r="K272" s="287"/>
      <c r="L272" s="287"/>
      <c r="M272" s="287"/>
      <c r="N272" s="287"/>
      <c r="O272" s="287"/>
      <c r="P272" s="287"/>
      <c r="Q272" s="287"/>
      <c r="R272" s="287"/>
      <c r="S272" s="287"/>
      <c r="T272" s="287"/>
      <c r="U272" s="287"/>
      <c r="V272" s="287"/>
      <c r="W272" s="287"/>
      <c r="X272" s="287"/>
      <c r="Y272" s="287"/>
      <c r="Z272" s="287"/>
      <c r="AA272" s="287"/>
      <c r="AB272" s="287"/>
      <c r="AC272" s="287"/>
      <c r="AD272" s="287"/>
      <c r="AE272" s="287"/>
      <c r="AF272" s="287"/>
      <c r="AG272" s="287"/>
      <c r="AH272" s="287"/>
      <c r="AI272" s="287"/>
      <c r="AJ272" s="287"/>
      <c r="AK272" s="287"/>
      <c r="AL272" s="287"/>
      <c r="AM272" s="287"/>
      <c r="AN272" s="287"/>
      <c r="AO272" s="287"/>
      <c r="AP272" s="287"/>
      <c r="AQ272" s="287"/>
      <c r="AR272" s="287"/>
      <c r="AS272" s="287"/>
      <c r="AT272" s="287"/>
      <c r="AU272" s="287"/>
      <c r="AV272" s="287"/>
      <c r="AW272" s="287"/>
      <c r="AX272" s="287"/>
      <c r="AY272" s="287"/>
      <c r="AZ272" s="287"/>
      <c r="BA272" s="287"/>
      <c r="BB272" s="287"/>
      <c r="BC272" s="287"/>
    </row>
    <row r="273" ht="15.75" customHeight="1">
      <c r="A273" s="287"/>
      <c r="B273" s="287"/>
      <c r="C273" s="287"/>
      <c r="D273" s="287"/>
      <c r="E273" s="287"/>
      <c r="F273" s="287"/>
      <c r="G273" s="287"/>
      <c r="H273" s="287"/>
      <c r="I273" s="287"/>
      <c r="J273" s="287"/>
      <c r="K273" s="287"/>
      <c r="L273" s="287"/>
      <c r="M273" s="287"/>
      <c r="N273" s="287"/>
      <c r="O273" s="287"/>
      <c r="P273" s="287"/>
      <c r="Q273" s="287"/>
      <c r="R273" s="287"/>
      <c r="S273" s="287"/>
      <c r="T273" s="287"/>
      <c r="U273" s="287"/>
      <c r="V273" s="287"/>
      <c r="W273" s="287"/>
      <c r="X273" s="287"/>
      <c r="Y273" s="287"/>
      <c r="Z273" s="287"/>
      <c r="AA273" s="287"/>
      <c r="AB273" s="287"/>
      <c r="AC273" s="287"/>
      <c r="AD273" s="287"/>
      <c r="AE273" s="287"/>
      <c r="AF273" s="287"/>
      <c r="AG273" s="287"/>
      <c r="AH273" s="287"/>
      <c r="AI273" s="287"/>
      <c r="AJ273" s="287"/>
      <c r="AK273" s="287"/>
      <c r="AL273" s="287"/>
      <c r="AM273" s="287"/>
      <c r="AN273" s="287"/>
      <c r="AO273" s="287"/>
      <c r="AP273" s="287"/>
      <c r="AQ273" s="287"/>
      <c r="AR273" s="287"/>
      <c r="AS273" s="287"/>
      <c r="AT273" s="287"/>
      <c r="AU273" s="287"/>
      <c r="AV273" s="287"/>
      <c r="AW273" s="287"/>
      <c r="AX273" s="287"/>
      <c r="AY273" s="287"/>
      <c r="AZ273" s="287"/>
      <c r="BA273" s="287"/>
      <c r="BB273" s="287"/>
      <c r="BC273" s="287"/>
    </row>
    <row r="274" ht="15.75" customHeight="1">
      <c r="A274" s="287"/>
      <c r="B274" s="287"/>
      <c r="C274" s="287"/>
      <c r="D274" s="287"/>
      <c r="E274" s="287"/>
      <c r="F274" s="287"/>
      <c r="G274" s="287"/>
      <c r="H274" s="287"/>
      <c r="I274" s="287"/>
      <c r="J274" s="287"/>
      <c r="K274" s="287"/>
      <c r="L274" s="287"/>
      <c r="M274" s="287"/>
      <c r="N274" s="287"/>
      <c r="O274" s="287"/>
      <c r="P274" s="287"/>
      <c r="Q274" s="287"/>
      <c r="R274" s="287"/>
      <c r="S274" s="287"/>
      <c r="T274" s="287"/>
      <c r="U274" s="287"/>
      <c r="V274" s="287"/>
      <c r="W274" s="287"/>
      <c r="X274" s="287"/>
      <c r="Y274" s="287"/>
      <c r="Z274" s="287"/>
      <c r="AA274" s="287"/>
      <c r="AB274" s="287"/>
      <c r="AC274" s="287"/>
      <c r="AD274" s="287"/>
      <c r="AE274" s="287"/>
      <c r="AF274" s="287"/>
      <c r="AG274" s="287"/>
      <c r="AH274" s="287"/>
      <c r="AI274" s="287"/>
      <c r="AJ274" s="287"/>
      <c r="AK274" s="287"/>
      <c r="AL274" s="287"/>
      <c r="AM274" s="287"/>
      <c r="AN274" s="287"/>
      <c r="AO274" s="287"/>
      <c r="AP274" s="287"/>
      <c r="AQ274" s="287"/>
      <c r="AR274" s="287"/>
      <c r="AS274" s="287"/>
      <c r="AT274" s="287"/>
      <c r="AU274" s="287"/>
      <c r="AV274" s="287"/>
      <c r="AW274" s="287"/>
      <c r="AX274" s="287"/>
      <c r="AY274" s="287"/>
      <c r="AZ274" s="287"/>
      <c r="BA274" s="287"/>
      <c r="BB274" s="287"/>
      <c r="BC274" s="287"/>
    </row>
    <row r="275" ht="15.75" customHeight="1">
      <c r="A275" s="287"/>
      <c r="B275" s="287"/>
      <c r="C275" s="287"/>
      <c r="D275" s="287"/>
      <c r="E275" s="287"/>
      <c r="F275" s="287"/>
      <c r="G275" s="287"/>
      <c r="H275" s="287"/>
      <c r="I275" s="287"/>
      <c r="J275" s="287"/>
      <c r="K275" s="287"/>
      <c r="L275" s="287"/>
      <c r="M275" s="287"/>
      <c r="N275" s="287"/>
      <c r="O275" s="287"/>
      <c r="P275" s="287"/>
      <c r="Q275" s="287"/>
      <c r="R275" s="287"/>
      <c r="S275" s="287"/>
      <c r="T275" s="287"/>
      <c r="U275" s="287"/>
      <c r="V275" s="287"/>
      <c r="W275" s="287"/>
      <c r="X275" s="287"/>
      <c r="Y275" s="287"/>
      <c r="Z275" s="287"/>
      <c r="AA275" s="287"/>
      <c r="AB275" s="287"/>
      <c r="AC275" s="287"/>
      <c r="AD275" s="287"/>
      <c r="AE275" s="287"/>
      <c r="AF275" s="287"/>
      <c r="AG275" s="287"/>
      <c r="AH275" s="287"/>
      <c r="AI275" s="287"/>
      <c r="AJ275" s="287"/>
      <c r="AK275" s="287"/>
      <c r="AL275" s="287"/>
      <c r="AM275" s="287"/>
      <c r="AN275" s="287"/>
      <c r="AO275" s="287"/>
      <c r="AP275" s="287"/>
      <c r="AQ275" s="287"/>
      <c r="AR275" s="287"/>
      <c r="AS275" s="287"/>
      <c r="AT275" s="287"/>
      <c r="AU275" s="287"/>
      <c r="AV275" s="287"/>
      <c r="AW275" s="287"/>
      <c r="AX275" s="287"/>
      <c r="AY275" s="287"/>
      <c r="AZ275" s="287"/>
      <c r="BA275" s="287"/>
      <c r="BB275" s="287"/>
      <c r="BC275" s="287"/>
    </row>
    <row r="276" ht="15.75" customHeight="1">
      <c r="A276" s="287"/>
      <c r="B276" s="287"/>
      <c r="C276" s="287"/>
      <c r="D276" s="287"/>
      <c r="E276" s="287"/>
      <c r="F276" s="287"/>
      <c r="G276" s="287"/>
      <c r="H276" s="287"/>
      <c r="I276" s="287"/>
      <c r="J276" s="287"/>
      <c r="K276" s="287"/>
      <c r="L276" s="287"/>
      <c r="M276" s="287"/>
      <c r="N276" s="287"/>
      <c r="O276" s="287"/>
      <c r="P276" s="287"/>
      <c r="Q276" s="287"/>
      <c r="R276" s="287"/>
      <c r="S276" s="287"/>
      <c r="T276" s="287"/>
      <c r="U276" s="287"/>
      <c r="V276" s="287"/>
      <c r="W276" s="287"/>
      <c r="X276" s="287"/>
      <c r="Y276" s="287"/>
      <c r="Z276" s="287"/>
      <c r="AA276" s="287"/>
      <c r="AB276" s="287"/>
      <c r="AC276" s="287"/>
      <c r="AD276" s="287"/>
      <c r="AE276" s="287"/>
      <c r="AF276" s="287"/>
      <c r="AG276" s="287"/>
      <c r="AH276" s="287"/>
      <c r="AI276" s="287"/>
      <c r="AJ276" s="287"/>
      <c r="AK276" s="287"/>
      <c r="AL276" s="287"/>
      <c r="AM276" s="287"/>
      <c r="AN276" s="287"/>
      <c r="AO276" s="287"/>
      <c r="AP276" s="287"/>
      <c r="AQ276" s="287"/>
      <c r="AR276" s="287"/>
      <c r="AS276" s="287"/>
      <c r="AT276" s="287"/>
      <c r="AU276" s="287"/>
      <c r="AV276" s="287"/>
      <c r="AW276" s="287"/>
      <c r="AX276" s="287"/>
      <c r="AY276" s="287"/>
      <c r="AZ276" s="287"/>
      <c r="BA276" s="287"/>
      <c r="BB276" s="287"/>
      <c r="BC276" s="287"/>
    </row>
    <row r="277" ht="15.75" customHeight="1">
      <c r="A277" s="287"/>
      <c r="B277" s="287"/>
      <c r="C277" s="287"/>
      <c r="D277" s="287"/>
      <c r="E277" s="287"/>
      <c r="F277" s="287"/>
      <c r="G277" s="287"/>
      <c r="H277" s="287"/>
      <c r="I277" s="287"/>
      <c r="J277" s="287"/>
      <c r="K277" s="287"/>
      <c r="L277" s="287"/>
      <c r="M277" s="287"/>
      <c r="N277" s="287"/>
      <c r="O277" s="287"/>
      <c r="P277" s="287"/>
      <c r="Q277" s="287"/>
      <c r="R277" s="287"/>
      <c r="S277" s="287"/>
      <c r="T277" s="287"/>
      <c r="U277" s="287"/>
      <c r="V277" s="287"/>
      <c r="W277" s="287"/>
      <c r="X277" s="287"/>
      <c r="Y277" s="287"/>
      <c r="Z277" s="287"/>
      <c r="AA277" s="287"/>
      <c r="AB277" s="287"/>
      <c r="AC277" s="287"/>
      <c r="AD277" s="287"/>
      <c r="AE277" s="287"/>
      <c r="AF277" s="287"/>
      <c r="AG277" s="287"/>
      <c r="AH277" s="287"/>
      <c r="AI277" s="287"/>
      <c r="AJ277" s="287"/>
      <c r="AK277" s="287"/>
      <c r="AL277" s="287"/>
      <c r="AM277" s="287"/>
      <c r="AN277" s="287"/>
      <c r="AO277" s="287"/>
      <c r="AP277" s="287"/>
      <c r="AQ277" s="287"/>
      <c r="AR277" s="287"/>
      <c r="AS277" s="287"/>
      <c r="AT277" s="287"/>
      <c r="AU277" s="287"/>
      <c r="AV277" s="287"/>
      <c r="AW277" s="287"/>
      <c r="AX277" s="287"/>
      <c r="AY277" s="287"/>
      <c r="AZ277" s="287"/>
      <c r="BA277" s="287"/>
      <c r="BB277" s="287"/>
      <c r="BC277" s="287"/>
    </row>
    <row r="278" ht="15.75" customHeight="1">
      <c r="A278" s="287"/>
      <c r="B278" s="287"/>
      <c r="C278" s="287"/>
      <c r="D278" s="287"/>
      <c r="E278" s="287"/>
      <c r="F278" s="287"/>
      <c r="G278" s="287"/>
      <c r="H278" s="287"/>
      <c r="I278" s="287"/>
      <c r="J278" s="287"/>
      <c r="K278" s="287"/>
      <c r="L278" s="287"/>
      <c r="M278" s="287"/>
      <c r="N278" s="287"/>
      <c r="O278" s="287"/>
      <c r="P278" s="287"/>
      <c r="Q278" s="287"/>
      <c r="R278" s="287"/>
      <c r="S278" s="287"/>
      <c r="T278" s="287"/>
      <c r="U278" s="287"/>
      <c r="V278" s="287"/>
      <c r="W278" s="287"/>
      <c r="X278" s="287"/>
      <c r="Y278" s="287"/>
      <c r="Z278" s="287"/>
      <c r="AA278" s="287"/>
      <c r="AB278" s="287"/>
      <c r="AC278" s="287"/>
      <c r="AD278" s="287"/>
      <c r="AE278" s="287"/>
      <c r="AF278" s="287"/>
      <c r="AG278" s="287"/>
      <c r="AH278" s="287"/>
      <c r="AI278" s="287"/>
      <c r="AJ278" s="287"/>
      <c r="AK278" s="287"/>
      <c r="AL278" s="287"/>
      <c r="AM278" s="287"/>
      <c r="AN278" s="287"/>
      <c r="AO278" s="287"/>
      <c r="AP278" s="287"/>
      <c r="AQ278" s="287"/>
      <c r="AR278" s="287"/>
      <c r="AS278" s="287"/>
      <c r="AT278" s="287"/>
      <c r="AU278" s="287"/>
      <c r="AV278" s="287"/>
      <c r="AW278" s="287"/>
      <c r="AX278" s="287"/>
      <c r="AY278" s="287"/>
      <c r="AZ278" s="287"/>
      <c r="BA278" s="287"/>
      <c r="BB278" s="287"/>
      <c r="BC278" s="287"/>
    </row>
    <row r="279" ht="15.75" customHeight="1">
      <c r="A279" s="287"/>
      <c r="B279" s="287"/>
      <c r="C279" s="287"/>
      <c r="D279" s="287"/>
      <c r="E279" s="287"/>
      <c r="F279" s="287"/>
      <c r="G279" s="287"/>
      <c r="H279" s="287"/>
      <c r="I279" s="287"/>
      <c r="J279" s="287"/>
      <c r="K279" s="287"/>
      <c r="L279" s="287"/>
      <c r="M279" s="287"/>
      <c r="N279" s="287"/>
      <c r="O279" s="287"/>
      <c r="P279" s="287"/>
      <c r="Q279" s="287"/>
      <c r="R279" s="287"/>
      <c r="S279" s="287"/>
      <c r="T279" s="287"/>
      <c r="U279" s="287"/>
      <c r="V279" s="287"/>
      <c r="W279" s="287"/>
      <c r="X279" s="287"/>
      <c r="Y279" s="287"/>
      <c r="Z279" s="287"/>
      <c r="AA279" s="287"/>
      <c r="AB279" s="287"/>
      <c r="AC279" s="287"/>
      <c r="AD279" s="287"/>
      <c r="AE279" s="287"/>
      <c r="AF279" s="287"/>
      <c r="AG279" s="287"/>
      <c r="AH279" s="287"/>
      <c r="AI279" s="287"/>
      <c r="AJ279" s="287"/>
      <c r="AK279" s="287"/>
      <c r="AL279" s="287"/>
      <c r="AM279" s="287"/>
      <c r="AN279" s="287"/>
      <c r="AO279" s="287"/>
      <c r="AP279" s="287"/>
      <c r="AQ279" s="287"/>
      <c r="AR279" s="287"/>
      <c r="AS279" s="287"/>
      <c r="AT279" s="287"/>
      <c r="AU279" s="287"/>
      <c r="AV279" s="287"/>
      <c r="AW279" s="287"/>
      <c r="AX279" s="287"/>
      <c r="AY279" s="287"/>
      <c r="AZ279" s="287"/>
      <c r="BA279" s="287"/>
      <c r="BB279" s="287"/>
      <c r="BC279" s="287"/>
    </row>
    <row r="280" ht="15.75" customHeight="1">
      <c r="A280" s="287"/>
      <c r="B280" s="287"/>
      <c r="C280" s="287"/>
      <c r="D280" s="287"/>
      <c r="E280" s="287"/>
      <c r="F280" s="287"/>
      <c r="G280" s="287"/>
      <c r="H280" s="287"/>
      <c r="I280" s="287"/>
      <c r="J280" s="287"/>
      <c r="K280" s="287"/>
      <c r="L280" s="287"/>
      <c r="M280" s="287"/>
      <c r="N280" s="287"/>
      <c r="O280" s="287"/>
      <c r="P280" s="287"/>
      <c r="Q280" s="287"/>
      <c r="R280" s="287"/>
      <c r="S280" s="287"/>
      <c r="T280" s="287"/>
      <c r="U280" s="287"/>
      <c r="V280" s="287"/>
      <c r="W280" s="287"/>
      <c r="X280" s="287"/>
      <c r="Y280" s="287"/>
      <c r="Z280" s="287"/>
      <c r="AA280" s="287"/>
      <c r="AB280" s="287"/>
      <c r="AC280" s="287"/>
      <c r="AD280" s="287"/>
      <c r="AE280" s="287"/>
      <c r="AF280" s="287"/>
      <c r="AG280" s="287"/>
      <c r="AH280" s="287"/>
      <c r="AI280" s="287"/>
      <c r="AJ280" s="287"/>
      <c r="AK280" s="287"/>
      <c r="AL280" s="287"/>
      <c r="AM280" s="287"/>
      <c r="AN280" s="287"/>
      <c r="AO280" s="287"/>
      <c r="AP280" s="287"/>
      <c r="AQ280" s="287"/>
      <c r="AR280" s="287"/>
      <c r="AS280" s="287"/>
      <c r="AT280" s="287"/>
      <c r="AU280" s="287"/>
      <c r="AV280" s="287"/>
      <c r="AW280" s="287"/>
      <c r="AX280" s="287"/>
      <c r="AY280" s="287"/>
      <c r="AZ280" s="287"/>
      <c r="BA280" s="287"/>
      <c r="BB280" s="287"/>
      <c r="BC280" s="287"/>
    </row>
    <row r="281" ht="15.75" customHeight="1">
      <c r="A281" s="287"/>
      <c r="B281" s="287"/>
      <c r="C281" s="287"/>
      <c r="D281" s="287"/>
      <c r="E281" s="287"/>
      <c r="F281" s="287"/>
      <c r="G281" s="287"/>
      <c r="H281" s="287"/>
      <c r="I281" s="287"/>
      <c r="J281" s="287"/>
      <c r="K281" s="287"/>
      <c r="L281" s="287"/>
      <c r="M281" s="287"/>
      <c r="N281" s="287"/>
      <c r="O281" s="287"/>
      <c r="P281" s="287"/>
      <c r="Q281" s="287"/>
      <c r="R281" s="287"/>
      <c r="S281" s="287"/>
      <c r="T281" s="287"/>
      <c r="U281" s="287"/>
      <c r="V281" s="287"/>
      <c r="W281" s="287"/>
      <c r="X281" s="287"/>
      <c r="Y281" s="287"/>
      <c r="Z281" s="287"/>
      <c r="AA281" s="287"/>
      <c r="AB281" s="287"/>
      <c r="AC281" s="287"/>
      <c r="AD281" s="287"/>
      <c r="AE281" s="287"/>
      <c r="AF281" s="287"/>
      <c r="AG281" s="287"/>
      <c r="AH281" s="287"/>
      <c r="AI281" s="287"/>
      <c r="AJ281" s="287"/>
      <c r="AK281" s="287"/>
      <c r="AL281" s="287"/>
      <c r="AM281" s="287"/>
      <c r="AN281" s="287"/>
      <c r="AO281" s="287"/>
      <c r="AP281" s="287"/>
      <c r="AQ281" s="287"/>
      <c r="AR281" s="287"/>
      <c r="AS281" s="287"/>
      <c r="AT281" s="287"/>
      <c r="AU281" s="287"/>
      <c r="AV281" s="287"/>
      <c r="AW281" s="287"/>
      <c r="AX281" s="287"/>
      <c r="AY281" s="287"/>
      <c r="AZ281" s="287"/>
      <c r="BA281" s="287"/>
      <c r="BB281" s="287"/>
      <c r="BC281" s="287"/>
    </row>
    <row r="282" ht="15.75" customHeight="1">
      <c r="A282" s="287"/>
      <c r="B282" s="287"/>
      <c r="C282" s="287"/>
      <c r="D282" s="287"/>
      <c r="E282" s="287"/>
      <c r="F282" s="287"/>
      <c r="G282" s="287"/>
      <c r="H282" s="287"/>
      <c r="I282" s="287"/>
      <c r="J282" s="287"/>
      <c r="K282" s="287"/>
      <c r="L282" s="287"/>
      <c r="M282" s="287"/>
      <c r="N282" s="287"/>
      <c r="O282" s="287"/>
      <c r="P282" s="287"/>
      <c r="Q282" s="287"/>
      <c r="R282" s="287"/>
      <c r="S282" s="287"/>
      <c r="T282" s="287"/>
      <c r="U282" s="287"/>
      <c r="V282" s="287"/>
      <c r="W282" s="287"/>
      <c r="X282" s="287"/>
      <c r="Y282" s="287"/>
      <c r="Z282" s="287"/>
      <c r="AA282" s="287"/>
      <c r="AB282" s="287"/>
      <c r="AC282" s="287"/>
      <c r="AD282" s="287"/>
      <c r="AE282" s="287"/>
      <c r="AF282" s="287"/>
      <c r="AG282" s="287"/>
      <c r="AH282" s="287"/>
      <c r="AI282" s="287"/>
      <c r="AJ282" s="287"/>
      <c r="AK282" s="287"/>
      <c r="AL282" s="287"/>
      <c r="AM282" s="287"/>
      <c r="AN282" s="287"/>
      <c r="AO282" s="287"/>
      <c r="AP282" s="287"/>
      <c r="AQ282" s="287"/>
      <c r="AR282" s="287"/>
      <c r="AS282" s="287"/>
      <c r="AT282" s="287"/>
      <c r="AU282" s="287"/>
      <c r="AV282" s="287"/>
      <c r="AW282" s="287"/>
      <c r="AX282" s="287"/>
      <c r="AY282" s="287"/>
      <c r="AZ282" s="287"/>
      <c r="BA282" s="287"/>
      <c r="BB282" s="287"/>
      <c r="BC282" s="287"/>
    </row>
    <row r="283" ht="15.75" customHeight="1">
      <c r="A283" s="287"/>
      <c r="B283" s="287"/>
      <c r="C283" s="287"/>
      <c r="D283" s="287"/>
      <c r="E283" s="287"/>
      <c r="F283" s="287"/>
      <c r="G283" s="287"/>
      <c r="H283" s="287"/>
      <c r="I283" s="287"/>
      <c r="J283" s="287"/>
      <c r="K283" s="287"/>
      <c r="L283" s="287"/>
      <c r="M283" s="287"/>
      <c r="N283" s="287"/>
      <c r="O283" s="287"/>
      <c r="P283" s="287"/>
      <c r="Q283" s="287"/>
      <c r="R283" s="287"/>
      <c r="S283" s="287"/>
      <c r="T283" s="287"/>
      <c r="U283" s="287"/>
      <c r="V283" s="287"/>
      <c r="W283" s="287"/>
      <c r="X283" s="287"/>
      <c r="Y283" s="287"/>
      <c r="Z283" s="287"/>
      <c r="AA283" s="287"/>
      <c r="AB283" s="287"/>
      <c r="AC283" s="287"/>
      <c r="AD283" s="287"/>
      <c r="AE283" s="287"/>
      <c r="AF283" s="287"/>
      <c r="AG283" s="287"/>
      <c r="AH283" s="287"/>
      <c r="AI283" s="287"/>
      <c r="AJ283" s="287"/>
      <c r="AK283" s="287"/>
      <c r="AL283" s="287"/>
      <c r="AM283" s="287"/>
      <c r="AN283" s="287"/>
      <c r="AO283" s="287"/>
      <c r="AP283" s="287"/>
      <c r="AQ283" s="287"/>
      <c r="AR283" s="287"/>
      <c r="AS283" s="287"/>
      <c r="AT283" s="287"/>
      <c r="AU283" s="287"/>
      <c r="AV283" s="287"/>
      <c r="AW283" s="287"/>
      <c r="AX283" s="287"/>
      <c r="AY283" s="287"/>
      <c r="AZ283" s="287"/>
      <c r="BA283" s="287"/>
      <c r="BB283" s="287"/>
      <c r="BC283" s="287"/>
    </row>
    <row r="284" ht="15.75" customHeight="1">
      <c r="A284" s="287"/>
      <c r="B284" s="287"/>
      <c r="C284" s="287"/>
      <c r="D284" s="287"/>
      <c r="E284" s="287"/>
      <c r="F284" s="287"/>
      <c r="G284" s="287"/>
      <c r="H284" s="287"/>
      <c r="I284" s="287"/>
      <c r="J284" s="287"/>
      <c r="K284" s="287"/>
      <c r="L284" s="287"/>
      <c r="M284" s="287"/>
      <c r="N284" s="287"/>
      <c r="O284" s="287"/>
      <c r="P284" s="287"/>
      <c r="Q284" s="287"/>
      <c r="R284" s="287"/>
      <c r="S284" s="287"/>
      <c r="T284" s="287"/>
      <c r="U284" s="287"/>
      <c r="V284" s="287"/>
      <c r="W284" s="287"/>
      <c r="X284" s="287"/>
      <c r="Y284" s="287"/>
      <c r="Z284" s="287"/>
      <c r="AA284" s="287"/>
      <c r="AB284" s="287"/>
      <c r="AC284" s="287"/>
      <c r="AD284" s="287"/>
      <c r="AE284" s="287"/>
      <c r="AF284" s="287"/>
      <c r="AG284" s="287"/>
      <c r="AH284" s="287"/>
      <c r="AI284" s="287"/>
      <c r="AJ284" s="287"/>
      <c r="AK284" s="287"/>
      <c r="AL284" s="287"/>
      <c r="AM284" s="287"/>
      <c r="AN284" s="287"/>
      <c r="AO284" s="287"/>
      <c r="AP284" s="287"/>
      <c r="AQ284" s="287"/>
      <c r="AR284" s="287"/>
      <c r="AS284" s="287"/>
      <c r="AT284" s="287"/>
      <c r="AU284" s="287"/>
      <c r="AV284" s="287"/>
      <c r="AW284" s="287"/>
      <c r="AX284" s="287"/>
      <c r="AY284" s="287"/>
      <c r="AZ284" s="287"/>
      <c r="BA284" s="287"/>
      <c r="BB284" s="287"/>
      <c r="BC284" s="287"/>
    </row>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sheetData>
  <mergeCells count="460">
    <mergeCell ref="M21:P21"/>
    <mergeCell ref="M22:P22"/>
    <mergeCell ref="M23:P23"/>
    <mergeCell ref="M24:P24"/>
    <mergeCell ref="M25:P25"/>
    <mergeCell ref="M26:P26"/>
    <mergeCell ref="M27:P27"/>
    <mergeCell ref="M35:P35"/>
    <mergeCell ref="M36:P36"/>
    <mergeCell ref="M28:P28"/>
    <mergeCell ref="M29:P29"/>
    <mergeCell ref="M30:P30"/>
    <mergeCell ref="M31:P31"/>
    <mergeCell ref="M32:P32"/>
    <mergeCell ref="M33:P33"/>
    <mergeCell ref="M34:P34"/>
    <mergeCell ref="B10:D10"/>
    <mergeCell ref="B11:D11"/>
    <mergeCell ref="E12:I12"/>
    <mergeCell ref="J12:K12"/>
    <mergeCell ref="L12:P12"/>
    <mergeCell ref="R12:U13"/>
    <mergeCell ref="V12:W13"/>
    <mergeCell ref="L13:P13"/>
    <mergeCell ref="J15:K15"/>
    <mergeCell ref="L15:P15"/>
    <mergeCell ref="E13:I13"/>
    <mergeCell ref="J13:K13"/>
    <mergeCell ref="E14:I14"/>
    <mergeCell ref="J14:K14"/>
    <mergeCell ref="L14:P14"/>
    <mergeCell ref="R14:U15"/>
    <mergeCell ref="V14:W15"/>
    <mergeCell ref="B15:D15"/>
    <mergeCell ref="E15:I15"/>
    <mergeCell ref="B17:N18"/>
    <mergeCell ref="O17:S18"/>
    <mergeCell ref="T17:W18"/>
    <mergeCell ref="X17:AB18"/>
    <mergeCell ref="AC17:AG18"/>
    <mergeCell ref="C19:F19"/>
    <mergeCell ref="M19:P19"/>
    <mergeCell ref="W19:Z19"/>
    <mergeCell ref="C20:F20"/>
    <mergeCell ref="M20:P20"/>
    <mergeCell ref="C21:F21"/>
    <mergeCell ref="W22:Z22"/>
    <mergeCell ref="W20:Z20"/>
    <mergeCell ref="W21:Z21"/>
    <mergeCell ref="W23:Z23"/>
    <mergeCell ref="W24:Z24"/>
    <mergeCell ref="W25:Z25"/>
    <mergeCell ref="W26:Z26"/>
    <mergeCell ref="W27:Z27"/>
    <mergeCell ref="W28:Z28"/>
    <mergeCell ref="W29:Z29"/>
    <mergeCell ref="W30:Z30"/>
    <mergeCell ref="W31:Z31"/>
    <mergeCell ref="W32:Z32"/>
    <mergeCell ref="W33:Z33"/>
    <mergeCell ref="W34:Z34"/>
    <mergeCell ref="B2:AS6"/>
    <mergeCell ref="AT2:AV3"/>
    <mergeCell ref="AW2:AY3"/>
    <mergeCell ref="AZ2:BB3"/>
    <mergeCell ref="AT4:AV6"/>
    <mergeCell ref="AW4:AY6"/>
    <mergeCell ref="AZ4:BB6"/>
    <mergeCell ref="X10:Y10"/>
    <mergeCell ref="Z10:AC11"/>
    <mergeCell ref="X11:Y11"/>
    <mergeCell ref="X12:Y12"/>
    <mergeCell ref="Z12:AC13"/>
    <mergeCell ref="X13:Y13"/>
    <mergeCell ref="AD10:AE11"/>
    <mergeCell ref="AF10:AG10"/>
    <mergeCell ref="AF11:AG11"/>
    <mergeCell ref="AD12:AE13"/>
    <mergeCell ref="AF12:AG12"/>
    <mergeCell ref="AF13:AG13"/>
    <mergeCell ref="B8:P9"/>
    <mergeCell ref="R8:AO9"/>
    <mergeCell ref="AQ8:BB9"/>
    <mergeCell ref="E10:P10"/>
    <mergeCell ref="R10:U11"/>
    <mergeCell ref="V10:W11"/>
    <mergeCell ref="AN10:AO10"/>
    <mergeCell ref="E11:P11"/>
    <mergeCell ref="B12:D12"/>
    <mergeCell ref="B13:D13"/>
    <mergeCell ref="B14:D14"/>
    <mergeCell ref="X14:Y14"/>
    <mergeCell ref="Z14:AC15"/>
    <mergeCell ref="AD14:AE15"/>
    <mergeCell ref="AF14:AG14"/>
    <mergeCell ref="X15:Y15"/>
    <mergeCell ref="AF15:AG15"/>
    <mergeCell ref="AN13:AO13"/>
    <mergeCell ref="AN14:AO14"/>
    <mergeCell ref="AY28:BB28"/>
    <mergeCell ref="AY29:BB29"/>
    <mergeCell ref="AQ26:AV26"/>
    <mergeCell ref="AW26:BB26"/>
    <mergeCell ref="AQ27:AT28"/>
    <mergeCell ref="AU27:AX28"/>
    <mergeCell ref="AY27:BB27"/>
    <mergeCell ref="AQ29:AT30"/>
    <mergeCell ref="AU29:AX30"/>
    <mergeCell ref="AY30:BB30"/>
    <mergeCell ref="C29:F29"/>
    <mergeCell ref="C30:F30"/>
    <mergeCell ref="C31:F31"/>
    <mergeCell ref="C32:F32"/>
    <mergeCell ref="C33:F33"/>
    <mergeCell ref="C34:F34"/>
    <mergeCell ref="C35:F35"/>
    <mergeCell ref="C36:F36"/>
    <mergeCell ref="C22:F22"/>
    <mergeCell ref="C23:F23"/>
    <mergeCell ref="C24:F24"/>
    <mergeCell ref="C25:F25"/>
    <mergeCell ref="C26:F26"/>
    <mergeCell ref="C27:F27"/>
    <mergeCell ref="C28:F28"/>
    <mergeCell ref="AG32:AJ32"/>
    <mergeCell ref="AG33:AJ33"/>
    <mergeCell ref="AG35:AJ35"/>
    <mergeCell ref="AG25:AJ25"/>
    <mergeCell ref="AG26:AJ26"/>
    <mergeCell ref="AG27:AJ27"/>
    <mergeCell ref="AG28:AJ28"/>
    <mergeCell ref="AG29:AJ29"/>
    <mergeCell ref="AG30:AJ30"/>
    <mergeCell ref="AG31:AJ31"/>
    <mergeCell ref="AU33:AV34"/>
    <mergeCell ref="AW33:AZ34"/>
    <mergeCell ref="AG34:AJ34"/>
    <mergeCell ref="AQ31:AT32"/>
    <mergeCell ref="AU31:AX32"/>
    <mergeCell ref="AY31:AZ31"/>
    <mergeCell ref="BA31:BB31"/>
    <mergeCell ref="AY32:AZ32"/>
    <mergeCell ref="BA32:BB32"/>
    <mergeCell ref="BA33:BB34"/>
    <mergeCell ref="AH12:AK13"/>
    <mergeCell ref="AH14:AK15"/>
    <mergeCell ref="AL14:AM15"/>
    <mergeCell ref="AH17:AK18"/>
    <mergeCell ref="AH10:AK11"/>
    <mergeCell ref="AL10:AM11"/>
    <mergeCell ref="AQ10:BB19"/>
    <mergeCell ref="AN11:AO11"/>
    <mergeCell ref="AL12:AM13"/>
    <mergeCell ref="AN12:AO12"/>
    <mergeCell ref="AN15:AO15"/>
    <mergeCell ref="AY25:AZ25"/>
    <mergeCell ref="BA25:BB25"/>
    <mergeCell ref="AL17:AO18"/>
    <mergeCell ref="AG19:AJ19"/>
    <mergeCell ref="AG20:AJ20"/>
    <mergeCell ref="AG21:AJ21"/>
    <mergeCell ref="AG22:AJ22"/>
    <mergeCell ref="AG23:AJ23"/>
    <mergeCell ref="AG24:AJ24"/>
    <mergeCell ref="AQ21:BB22"/>
    <mergeCell ref="AQ23:AV23"/>
    <mergeCell ref="AW23:BB23"/>
    <mergeCell ref="AQ24:AV24"/>
    <mergeCell ref="AW24:BB24"/>
    <mergeCell ref="AQ25:AV25"/>
    <mergeCell ref="AW25:AX25"/>
    <mergeCell ref="AQ40:BB40"/>
    <mergeCell ref="AQ41:BB41"/>
    <mergeCell ref="AQ42:BB42"/>
    <mergeCell ref="AQ43:BB43"/>
    <mergeCell ref="AQ33:AT34"/>
    <mergeCell ref="AQ35:AT36"/>
    <mergeCell ref="AU35:AV36"/>
    <mergeCell ref="AW35:AZ36"/>
    <mergeCell ref="BA35:BB36"/>
    <mergeCell ref="AG36:AJ36"/>
    <mergeCell ref="AQ38:BB39"/>
    <mergeCell ref="S40:X40"/>
    <mergeCell ref="Y40:AB40"/>
    <mergeCell ref="S41:X41"/>
    <mergeCell ref="Y41:AB41"/>
    <mergeCell ref="AC40:AG40"/>
    <mergeCell ref="AH40:AK40"/>
    <mergeCell ref="AC41:AG41"/>
    <mergeCell ref="AH41:AK41"/>
    <mergeCell ref="AL41:AO41"/>
    <mergeCell ref="W35:Z35"/>
    <mergeCell ref="W36:Z36"/>
    <mergeCell ref="B38:AO39"/>
    <mergeCell ref="J40:L40"/>
    <mergeCell ref="M40:O40"/>
    <mergeCell ref="P40:R40"/>
    <mergeCell ref="AL40:AO40"/>
    <mergeCell ref="M42:O42"/>
    <mergeCell ref="P42:R42"/>
    <mergeCell ref="S42:X42"/>
    <mergeCell ref="Y42:AB42"/>
    <mergeCell ref="AC42:AG42"/>
    <mergeCell ref="AH42:AK42"/>
    <mergeCell ref="AL42:AO42"/>
    <mergeCell ref="B40:I40"/>
    <mergeCell ref="B41:I41"/>
    <mergeCell ref="J41:L41"/>
    <mergeCell ref="M41:O41"/>
    <mergeCell ref="P41:R41"/>
    <mergeCell ref="B42:I42"/>
    <mergeCell ref="J42:L42"/>
    <mergeCell ref="AH43:AK43"/>
    <mergeCell ref="AL43:AO43"/>
    <mergeCell ref="B43:I43"/>
    <mergeCell ref="J43:L43"/>
    <mergeCell ref="M43:O43"/>
    <mergeCell ref="P43:R43"/>
    <mergeCell ref="S43:X43"/>
    <mergeCell ref="Y43:AB43"/>
    <mergeCell ref="AC43:AG43"/>
    <mergeCell ref="Q58:U59"/>
    <mergeCell ref="V58:Z59"/>
    <mergeCell ref="Q60:U61"/>
    <mergeCell ref="G58:K59"/>
    <mergeCell ref="L58:P59"/>
    <mergeCell ref="B60:F61"/>
    <mergeCell ref="G60:K61"/>
    <mergeCell ref="L60:P61"/>
    <mergeCell ref="B66:R70"/>
    <mergeCell ref="B71:Q72"/>
    <mergeCell ref="B56:F57"/>
    <mergeCell ref="G56:K57"/>
    <mergeCell ref="L56:P57"/>
    <mergeCell ref="Q56:U57"/>
    <mergeCell ref="V56:Z57"/>
    <mergeCell ref="AA56:AE57"/>
    <mergeCell ref="B58:F59"/>
    <mergeCell ref="AA58:AE59"/>
    <mergeCell ref="AF58:AJ59"/>
    <mergeCell ref="AK58:AO59"/>
    <mergeCell ref="V60:AN60"/>
    <mergeCell ref="V61:AO61"/>
    <mergeCell ref="B63:BB64"/>
    <mergeCell ref="B65:R65"/>
    <mergeCell ref="W73:Z73"/>
    <mergeCell ref="AA73:AD73"/>
    <mergeCell ref="Z77:AK80"/>
    <mergeCell ref="AL77:AW80"/>
    <mergeCell ref="AY77:BB80"/>
    <mergeCell ref="S65:AI65"/>
    <mergeCell ref="AJ65:BB65"/>
    <mergeCell ref="S66:AI70"/>
    <mergeCell ref="AJ66:BB73"/>
    <mergeCell ref="W71:Z72"/>
    <mergeCell ref="AA71:AD72"/>
    <mergeCell ref="AE71:AI72"/>
    <mergeCell ref="AE73:AI73"/>
    <mergeCell ref="B73:R73"/>
    <mergeCell ref="B75:M76"/>
    <mergeCell ref="N75:Y76"/>
    <mergeCell ref="Z75:AK76"/>
    <mergeCell ref="AL75:AW76"/>
    <mergeCell ref="AY75:BB76"/>
    <mergeCell ref="B84:E87"/>
    <mergeCell ref="F84:I87"/>
    <mergeCell ref="J84:M87"/>
    <mergeCell ref="N84:Q87"/>
    <mergeCell ref="R84:U87"/>
    <mergeCell ref="V84:Y87"/>
    <mergeCell ref="Z84:AC87"/>
    <mergeCell ref="A89:BC89"/>
    <mergeCell ref="A90:BC90"/>
    <mergeCell ref="A91:BC91"/>
    <mergeCell ref="A92:BC92"/>
    <mergeCell ref="A93:BC93"/>
    <mergeCell ref="A94:BC94"/>
    <mergeCell ref="A95:BC95"/>
    <mergeCell ref="AH47:AK47"/>
    <mergeCell ref="AL47:AO47"/>
    <mergeCell ref="AQ47:BB47"/>
    <mergeCell ref="B47:I47"/>
    <mergeCell ref="J47:L47"/>
    <mergeCell ref="M47:O47"/>
    <mergeCell ref="P47:R47"/>
    <mergeCell ref="S47:X47"/>
    <mergeCell ref="Y47:AB47"/>
    <mergeCell ref="AC47:AG47"/>
    <mergeCell ref="B48:T49"/>
    <mergeCell ref="V48:AN49"/>
    <mergeCell ref="AQ48:BB48"/>
    <mergeCell ref="B50:F51"/>
    <mergeCell ref="G50:K51"/>
    <mergeCell ref="L50:P51"/>
    <mergeCell ref="Q50:U51"/>
    <mergeCell ref="AF50:AJ51"/>
    <mergeCell ref="V50:Z51"/>
    <mergeCell ref="AA50:AE51"/>
    <mergeCell ref="G52:K53"/>
    <mergeCell ref="L52:P53"/>
    <mergeCell ref="Q52:U53"/>
    <mergeCell ref="V52:Z53"/>
    <mergeCell ref="AA52:AE53"/>
    <mergeCell ref="AQ49:BA54"/>
    <mergeCell ref="AQ55:BB58"/>
    <mergeCell ref="AQ59:BA59"/>
    <mergeCell ref="AQ60:BB60"/>
    <mergeCell ref="AQ61:AX61"/>
    <mergeCell ref="AY61:BB61"/>
    <mergeCell ref="AF56:AJ57"/>
    <mergeCell ref="AK56:AO57"/>
    <mergeCell ref="AH46:AK46"/>
    <mergeCell ref="AL46:AO46"/>
    <mergeCell ref="AQ46:BB46"/>
    <mergeCell ref="BB49:BB54"/>
    <mergeCell ref="AK50:AO51"/>
    <mergeCell ref="AF52:AJ53"/>
    <mergeCell ref="AK52:AO53"/>
    <mergeCell ref="AH44:AK44"/>
    <mergeCell ref="AL44:AO44"/>
    <mergeCell ref="AQ44:BB44"/>
    <mergeCell ref="B44:I44"/>
    <mergeCell ref="J44:L44"/>
    <mergeCell ref="M44:O44"/>
    <mergeCell ref="P44:R44"/>
    <mergeCell ref="S44:X44"/>
    <mergeCell ref="Y44:AB44"/>
    <mergeCell ref="AC44:AG44"/>
    <mergeCell ref="AH45:AK45"/>
    <mergeCell ref="AL45:AO45"/>
    <mergeCell ref="AQ45:BB45"/>
    <mergeCell ref="B45:I45"/>
    <mergeCell ref="J45:L45"/>
    <mergeCell ref="M45:O45"/>
    <mergeCell ref="P45:R45"/>
    <mergeCell ref="S45:X45"/>
    <mergeCell ref="Y45:AB45"/>
    <mergeCell ref="AC45:AG45"/>
    <mergeCell ref="B46:I46"/>
    <mergeCell ref="J46:L46"/>
    <mergeCell ref="M46:O46"/>
    <mergeCell ref="P46:R46"/>
    <mergeCell ref="S46:X46"/>
    <mergeCell ref="Y46:AB46"/>
    <mergeCell ref="AC46:AG46"/>
    <mergeCell ref="AF54:AJ55"/>
    <mergeCell ref="AK54:AO55"/>
    <mergeCell ref="B52:F53"/>
    <mergeCell ref="B54:F55"/>
    <mergeCell ref="G54:K55"/>
    <mergeCell ref="L54:P55"/>
    <mergeCell ref="Q54:U55"/>
    <mergeCell ref="V54:Z55"/>
    <mergeCell ref="AA54:AE55"/>
    <mergeCell ref="S71:V72"/>
    <mergeCell ref="S73:V73"/>
    <mergeCell ref="N77:Y80"/>
    <mergeCell ref="B77:M80"/>
    <mergeCell ref="B82:E83"/>
    <mergeCell ref="F82:I83"/>
    <mergeCell ref="J82:M83"/>
    <mergeCell ref="N82:Q83"/>
    <mergeCell ref="R82:U83"/>
    <mergeCell ref="V82:Y83"/>
    <mergeCell ref="Z82:AC83"/>
    <mergeCell ref="AD82:AG83"/>
    <mergeCell ref="AH82:AK83"/>
    <mergeCell ref="AL82:AO83"/>
    <mergeCell ref="AP82:AS83"/>
    <mergeCell ref="AT82:AW83"/>
    <mergeCell ref="AX82:BB83"/>
    <mergeCell ref="AD84:AG87"/>
    <mergeCell ref="AH84:AK87"/>
    <mergeCell ref="AL84:AO87"/>
    <mergeCell ref="AP84:AS87"/>
    <mergeCell ref="AT84:AW87"/>
    <mergeCell ref="AX84:BB87"/>
    <mergeCell ref="AX88:BB88"/>
    <mergeCell ref="A145:BC145"/>
    <mergeCell ref="A146:BC146"/>
    <mergeCell ref="A147:BC147"/>
    <mergeCell ref="A148:BC148"/>
    <mergeCell ref="A149:BC149"/>
    <mergeCell ref="A150:BC150"/>
    <mergeCell ref="A151:BC151"/>
    <mergeCell ref="A152:BC152"/>
    <mergeCell ref="A153:BC153"/>
    <mergeCell ref="A154:BC154"/>
    <mergeCell ref="A155:BC155"/>
    <mergeCell ref="A156:BC156"/>
    <mergeCell ref="A157:BC157"/>
    <mergeCell ref="A158:BC158"/>
    <mergeCell ref="A159:BC159"/>
    <mergeCell ref="A160:BC160"/>
    <mergeCell ref="A161:BC161"/>
    <mergeCell ref="A162:BC162"/>
    <mergeCell ref="A163:BC163"/>
    <mergeCell ref="A164:BC164"/>
    <mergeCell ref="A165:BC165"/>
    <mergeCell ref="A173:BC173"/>
    <mergeCell ref="A174:BC174"/>
    <mergeCell ref="A175:BC175"/>
    <mergeCell ref="A176:BC176"/>
    <mergeCell ref="A177:BC177"/>
    <mergeCell ref="A166:BC166"/>
    <mergeCell ref="A167:BC167"/>
    <mergeCell ref="A168:BC168"/>
    <mergeCell ref="A169:BC169"/>
    <mergeCell ref="A170:BC170"/>
    <mergeCell ref="A171:BC171"/>
    <mergeCell ref="A172:BC172"/>
    <mergeCell ref="A96:BC96"/>
    <mergeCell ref="A97:BC97"/>
    <mergeCell ref="A98:BC98"/>
    <mergeCell ref="A99:BC99"/>
    <mergeCell ref="A100:BC100"/>
    <mergeCell ref="A101:BC101"/>
    <mergeCell ref="A102:BC102"/>
    <mergeCell ref="A103:BC103"/>
    <mergeCell ref="A104:BC104"/>
    <mergeCell ref="A105:BC105"/>
    <mergeCell ref="A106:BC106"/>
    <mergeCell ref="A107:BC107"/>
    <mergeCell ref="A108:BC108"/>
    <mergeCell ref="A109:BC109"/>
    <mergeCell ref="A110:BC110"/>
    <mergeCell ref="A111:BC111"/>
    <mergeCell ref="A112:BC112"/>
    <mergeCell ref="A113:BC113"/>
    <mergeCell ref="A114:BC114"/>
    <mergeCell ref="A115:BC115"/>
    <mergeCell ref="A116:BC116"/>
    <mergeCell ref="A117:BC117"/>
    <mergeCell ref="A118:BC118"/>
    <mergeCell ref="A119:BC119"/>
    <mergeCell ref="A120:BC120"/>
    <mergeCell ref="A121:BC121"/>
    <mergeCell ref="A122:BC122"/>
    <mergeCell ref="A123:BC123"/>
    <mergeCell ref="A124:BC124"/>
    <mergeCell ref="A125:BC125"/>
    <mergeCell ref="A126:BC126"/>
    <mergeCell ref="A127:BC127"/>
    <mergeCell ref="A128:BC128"/>
    <mergeCell ref="A129:BC129"/>
    <mergeCell ref="A130:BC130"/>
    <mergeCell ref="A131:BC131"/>
    <mergeCell ref="A132:BC132"/>
    <mergeCell ref="A133:BC133"/>
    <mergeCell ref="A134:BC134"/>
    <mergeCell ref="A135:BC135"/>
    <mergeCell ref="A136:BC136"/>
    <mergeCell ref="A137:BC137"/>
    <mergeCell ref="A138:BC138"/>
    <mergeCell ref="A139:BC139"/>
    <mergeCell ref="A140:BC140"/>
    <mergeCell ref="A141:BC141"/>
    <mergeCell ref="A142:BC142"/>
    <mergeCell ref="A143:BC143"/>
    <mergeCell ref="A144:BC144"/>
  </mergeCells>
  <conditionalFormatting sqref="B19:B36 L19:L36 V19:V36 AF19:AF36">
    <cfRule type="containsText" dxfId="9" priority="1" operator="containsText" text="✖">
      <formula>NOT(ISERROR(SEARCH(("✖"),(B19))))</formula>
    </cfRule>
  </conditionalFormatting>
  <conditionalFormatting sqref="B19:B36 L19:L36 V19:V36 AF19:AF36">
    <cfRule type="containsText" dxfId="1" priority="2" operator="containsText" text="✔">
      <formula>NOT(ISERROR(SEARCH(("✔"),(B19))))</formula>
    </cfRule>
  </conditionalFormatting>
  <conditionalFormatting sqref="C19:F19 C19:F36 M19:P36 W19:Z36 AG19:AJ36">
    <cfRule type="expression" dxfId="10" priority="3">
      <formula>H19&gt;0</formula>
    </cfRule>
  </conditionalFormatting>
  <conditionalFormatting sqref="C20:F20">
    <cfRule type="expression" dxfId="2" priority="4">
      <formula>H20&gt;0</formula>
    </cfRule>
  </conditionalFormatting>
  <conditionalFormatting sqref="C21:F21">
    <cfRule type="expression" dxfId="2" priority="5">
      <formula>H21&gt;0</formula>
    </cfRule>
  </conditionalFormatting>
  <conditionalFormatting sqref="C22:F22">
    <cfRule type="expression" dxfId="2" priority="6">
      <formula>H22&gt;0</formula>
    </cfRule>
  </conditionalFormatting>
  <conditionalFormatting sqref="C23:F23">
    <cfRule type="expression" dxfId="2" priority="7">
      <formula>H23&gt;0</formula>
    </cfRule>
  </conditionalFormatting>
  <conditionalFormatting sqref="C24:F24">
    <cfRule type="expression" dxfId="2" priority="8">
      <formula>H24&gt;0</formula>
    </cfRule>
  </conditionalFormatting>
  <conditionalFormatting sqref="C25:F25">
    <cfRule type="expression" dxfId="2" priority="9">
      <formula>H25&gt;0</formula>
    </cfRule>
  </conditionalFormatting>
  <conditionalFormatting sqref="C26:F26">
    <cfRule type="expression" dxfId="2" priority="10">
      <formula>H26&gt;0</formula>
    </cfRule>
  </conditionalFormatting>
  <conditionalFormatting sqref="C27:F27">
    <cfRule type="expression" dxfId="2" priority="11">
      <formula>H27&gt;0</formula>
    </cfRule>
  </conditionalFormatting>
  <conditionalFormatting sqref="C28:F28">
    <cfRule type="expression" dxfId="2" priority="12">
      <formula>H28&gt;0</formula>
    </cfRule>
  </conditionalFormatting>
  <conditionalFormatting sqref="C29:F29">
    <cfRule type="expression" dxfId="2" priority="13">
      <formula>H29&gt;0</formula>
    </cfRule>
  </conditionalFormatting>
  <conditionalFormatting sqref="C30:F30">
    <cfRule type="expression" dxfId="2" priority="14">
      <formula>H30&gt;0</formula>
    </cfRule>
  </conditionalFormatting>
  <conditionalFormatting sqref="C31:F31">
    <cfRule type="expression" dxfId="2" priority="15">
      <formula>H31&gt;0</formula>
    </cfRule>
  </conditionalFormatting>
  <conditionalFormatting sqref="C32:F32">
    <cfRule type="expression" dxfId="2" priority="16">
      <formula>H32&gt;0</formula>
    </cfRule>
  </conditionalFormatting>
  <conditionalFormatting sqref="C33:F33">
    <cfRule type="expression" dxfId="2" priority="17">
      <formula>H33&gt;0</formula>
    </cfRule>
  </conditionalFormatting>
  <conditionalFormatting sqref="C34:F34">
    <cfRule type="expression" dxfId="2" priority="18">
      <formula>H34&gt;0</formula>
    </cfRule>
  </conditionalFormatting>
  <conditionalFormatting sqref="C35:F35">
    <cfRule type="expression" dxfId="2" priority="19">
      <formula>H35&gt;0</formula>
    </cfRule>
  </conditionalFormatting>
  <conditionalFormatting sqref="C36:F36">
    <cfRule type="expression" dxfId="2" priority="20">
      <formula>H36&gt;0</formula>
    </cfRule>
  </conditionalFormatting>
  <conditionalFormatting sqref="M19:P19">
    <cfRule type="expression" dxfId="2" priority="21">
      <formula>R19&gt;0</formula>
    </cfRule>
  </conditionalFormatting>
  <conditionalFormatting sqref="M20:P20">
    <cfRule type="expression" dxfId="2" priority="22">
      <formula>R20&gt;0</formula>
    </cfRule>
  </conditionalFormatting>
  <conditionalFormatting sqref="M21:P21">
    <cfRule type="expression" dxfId="2" priority="23">
      <formula>R21&gt;0</formula>
    </cfRule>
  </conditionalFormatting>
  <conditionalFormatting sqref="M22:P22">
    <cfRule type="expression" dxfId="2" priority="24">
      <formula>R22&gt;0</formula>
    </cfRule>
  </conditionalFormatting>
  <conditionalFormatting sqref="M23:P23">
    <cfRule type="expression" dxfId="2" priority="25">
      <formula>R23&gt;0</formula>
    </cfRule>
  </conditionalFormatting>
  <conditionalFormatting sqref="M24:P24">
    <cfRule type="expression" dxfId="2" priority="26">
      <formula>R24&gt;0</formula>
    </cfRule>
  </conditionalFormatting>
  <conditionalFormatting sqref="M25:P25">
    <cfRule type="expression" dxfId="2" priority="27">
      <formula>R25&gt;0</formula>
    </cfRule>
  </conditionalFormatting>
  <conditionalFormatting sqref="M26:P26">
    <cfRule type="expression" dxfId="2" priority="28">
      <formula>R26&gt;0</formula>
    </cfRule>
  </conditionalFormatting>
  <conditionalFormatting sqref="M27:P27">
    <cfRule type="expression" dxfId="2" priority="29">
      <formula>R27&gt;0</formula>
    </cfRule>
  </conditionalFormatting>
  <conditionalFormatting sqref="M28:P28">
    <cfRule type="expression" dxfId="2" priority="30">
      <formula>R28&gt;0</formula>
    </cfRule>
  </conditionalFormatting>
  <conditionalFormatting sqref="M29:P29">
    <cfRule type="expression" dxfId="2" priority="31">
      <formula>R29&gt;0</formula>
    </cfRule>
  </conditionalFormatting>
  <conditionalFormatting sqref="M30:P30">
    <cfRule type="expression" dxfId="2" priority="32">
      <formula>R30&gt;0</formula>
    </cfRule>
  </conditionalFormatting>
  <conditionalFormatting sqref="M31:P31">
    <cfRule type="expression" dxfId="2" priority="33">
      <formula>R31&gt;0</formula>
    </cfRule>
  </conditionalFormatting>
  <conditionalFormatting sqref="M32:P32">
    <cfRule type="expression" dxfId="2" priority="34">
      <formula>R32&gt;0</formula>
    </cfRule>
  </conditionalFormatting>
  <conditionalFormatting sqref="M33:P33">
    <cfRule type="expression" dxfId="2" priority="35">
      <formula>R33&gt;0</formula>
    </cfRule>
  </conditionalFormatting>
  <conditionalFormatting sqref="M34:P34">
    <cfRule type="expression" dxfId="2" priority="36">
      <formula>R34&gt;0</formula>
    </cfRule>
  </conditionalFormatting>
  <conditionalFormatting sqref="M35:P35">
    <cfRule type="expression" dxfId="2" priority="37">
      <formula>R35&gt;0</formula>
    </cfRule>
  </conditionalFormatting>
  <conditionalFormatting sqref="M36:P36">
    <cfRule type="expression" dxfId="2" priority="38">
      <formula>R36&gt;0</formula>
    </cfRule>
  </conditionalFormatting>
  <conditionalFormatting sqref="W19:Z19">
    <cfRule type="expression" dxfId="2" priority="39">
      <formula>AB19&gt;0</formula>
    </cfRule>
  </conditionalFormatting>
  <conditionalFormatting sqref="W20:Z20">
    <cfRule type="expression" dxfId="2" priority="40">
      <formula>AB20&gt;0</formula>
    </cfRule>
  </conditionalFormatting>
  <conditionalFormatting sqref="W21:Z21">
    <cfRule type="expression" dxfId="2" priority="41">
      <formula>AB21&gt;0</formula>
    </cfRule>
  </conditionalFormatting>
  <conditionalFormatting sqref="W22:Z22">
    <cfRule type="expression" dxfId="2" priority="42">
      <formula>AB22&gt;0</formula>
    </cfRule>
  </conditionalFormatting>
  <conditionalFormatting sqref="W23:Z23">
    <cfRule type="expression" dxfId="2" priority="43">
      <formula>AB23&gt;0</formula>
    </cfRule>
  </conditionalFormatting>
  <conditionalFormatting sqref="W24:Z24">
    <cfRule type="expression" dxfId="2" priority="44">
      <formula>AB24&gt;0</formula>
    </cfRule>
  </conditionalFormatting>
  <conditionalFormatting sqref="W25:Z25">
    <cfRule type="expression" dxfId="2" priority="45">
      <formula>AB25&gt;0</formula>
    </cfRule>
  </conditionalFormatting>
  <conditionalFormatting sqref="W26:Z26">
    <cfRule type="expression" dxfId="2" priority="46">
      <formula>AB26&gt;0</formula>
    </cfRule>
  </conditionalFormatting>
  <conditionalFormatting sqref="W27:Z27">
    <cfRule type="expression" dxfId="2" priority="47">
      <formula>AB27&gt;0</formula>
    </cfRule>
  </conditionalFormatting>
  <conditionalFormatting sqref="W28:Z28">
    <cfRule type="expression" dxfId="2" priority="48">
      <formula>AB28&gt;0</formula>
    </cfRule>
  </conditionalFormatting>
  <conditionalFormatting sqref="W29:Z29">
    <cfRule type="expression" dxfId="2" priority="49">
      <formula>AB29&gt;0</formula>
    </cfRule>
  </conditionalFormatting>
  <conditionalFormatting sqref="W30:Z30">
    <cfRule type="expression" dxfId="2" priority="50">
      <formula>AB30&gt;0</formula>
    </cfRule>
  </conditionalFormatting>
  <conditionalFormatting sqref="W31:Z31">
    <cfRule type="expression" dxfId="2" priority="51">
      <formula>AB31&gt;0</formula>
    </cfRule>
  </conditionalFormatting>
  <conditionalFormatting sqref="W32:Z32">
    <cfRule type="expression" dxfId="2" priority="52">
      <formula>AB32&gt;0</formula>
    </cfRule>
  </conditionalFormatting>
  <conditionalFormatting sqref="W33:Z33">
    <cfRule type="expression" dxfId="2" priority="53">
      <formula>AB33&gt;0</formula>
    </cfRule>
  </conditionalFormatting>
  <conditionalFormatting sqref="W34:Z34">
    <cfRule type="expression" dxfId="2" priority="54">
      <formula>AB34&gt;0</formula>
    </cfRule>
  </conditionalFormatting>
  <conditionalFormatting sqref="W35:Z35">
    <cfRule type="expression" dxfId="2" priority="55">
      <formula>AB35&gt;0</formula>
    </cfRule>
  </conditionalFormatting>
  <conditionalFormatting sqref="W36:Z36">
    <cfRule type="expression" dxfId="2" priority="56">
      <formula>AB36&gt;0</formula>
    </cfRule>
  </conditionalFormatting>
  <conditionalFormatting sqref="AG19:AJ19">
    <cfRule type="expression" dxfId="2" priority="57">
      <formula>AL19&gt;0</formula>
    </cfRule>
  </conditionalFormatting>
  <conditionalFormatting sqref="AG20:AJ20">
    <cfRule type="expression" dxfId="2" priority="58">
      <formula>AL20&gt;0</formula>
    </cfRule>
  </conditionalFormatting>
  <conditionalFormatting sqref="AG21:AJ21">
    <cfRule type="expression" dxfId="2" priority="59">
      <formula>AL21&gt;0</formula>
    </cfRule>
  </conditionalFormatting>
  <conditionalFormatting sqref="AG22:AJ22">
    <cfRule type="expression" dxfId="2" priority="60">
      <formula>AL22&gt;0</formula>
    </cfRule>
  </conditionalFormatting>
  <conditionalFormatting sqref="AG23:AJ23">
    <cfRule type="expression" dxfId="2" priority="61">
      <formula>AL23&gt;0</formula>
    </cfRule>
  </conditionalFormatting>
  <conditionalFormatting sqref="AG24:AJ24">
    <cfRule type="expression" dxfId="2" priority="62">
      <formula>AL24&gt;0</formula>
    </cfRule>
  </conditionalFormatting>
  <conditionalFormatting sqref="AG25:AJ25">
    <cfRule type="expression" dxfId="2" priority="63">
      <formula>AL25&gt;0</formula>
    </cfRule>
  </conditionalFormatting>
  <conditionalFormatting sqref="AG26:AJ26">
    <cfRule type="expression" dxfId="2" priority="64">
      <formula>AL26&gt;0</formula>
    </cfRule>
  </conditionalFormatting>
  <conditionalFormatting sqref="AG27:AJ27">
    <cfRule type="expression" dxfId="2" priority="65">
      <formula>AL27&gt;0</formula>
    </cfRule>
  </conditionalFormatting>
  <conditionalFormatting sqref="AG28:AJ28">
    <cfRule type="expression" dxfId="2" priority="66">
      <formula>AL28&gt;0</formula>
    </cfRule>
  </conditionalFormatting>
  <conditionalFormatting sqref="AG29:AJ29">
    <cfRule type="expression" dxfId="2" priority="67">
      <formula>AL29&gt;0</formula>
    </cfRule>
  </conditionalFormatting>
  <conditionalFormatting sqref="AG30:AJ30">
    <cfRule type="expression" dxfId="2" priority="68">
      <formula>AL30&gt;0</formula>
    </cfRule>
  </conditionalFormatting>
  <conditionalFormatting sqref="AG31:AJ31">
    <cfRule type="expression" dxfId="2" priority="69">
      <formula>AL31&gt;0</formula>
    </cfRule>
  </conditionalFormatting>
  <conditionalFormatting sqref="AG32:AJ32">
    <cfRule type="expression" dxfId="2" priority="70">
      <formula>AL32&gt;0</formula>
    </cfRule>
  </conditionalFormatting>
  <conditionalFormatting sqref="AG33:AJ33">
    <cfRule type="expression" dxfId="2" priority="71">
      <formula>AL33&gt;0</formula>
    </cfRule>
  </conditionalFormatting>
  <conditionalFormatting sqref="AG34:AJ34">
    <cfRule type="expression" dxfId="2" priority="72">
      <formula>AL34&gt;0</formula>
    </cfRule>
  </conditionalFormatting>
  <conditionalFormatting sqref="AG35:AJ35">
    <cfRule type="expression" dxfId="2" priority="73">
      <formula>AL35&gt;0</formula>
    </cfRule>
  </conditionalFormatting>
  <conditionalFormatting sqref="AG36:AJ36">
    <cfRule type="expression" dxfId="2" priority="74">
      <formula>AL36&gt;0</formula>
    </cfRule>
  </conditionalFormatting>
  <dataValidations>
    <dataValidation type="list" allowBlank="1" sqref="U49 AO49 BB49 BB59 AO60 R72">
      <formula1>"1,2,3,4,5,6,7,8,9,10"</formula1>
    </dataValidation>
    <dataValidation type="list" allowBlank="1" sqref="AU33 BA33 AU35 BA35 B19:B36 L19:L36 V19:V36 AF19:AF36">
      <formula1>"✖,✔"</formula1>
    </dataValidation>
    <dataValidation type="list" allowBlank="1" sqref="E12">
      <formula1>"간호사,갱 보스,건달,건 몰,건축가,경관,고고학자,곡예사,골동품상,골동품 연구가,과학자,광부,광신자,교수,교주,기술자,기자,깡패,노조 활동가,농부,단독 범죄자,대학생,도둑,도박사,등반가,디자이너,디프로그래머,딜레탕트,떠돌이,리포터,매춘부,맹수사냥꾼,미술가,밀수꾼,밀주업자,바텐더,박물관 큐레이터,배우,벌목꾼,법의학자,변호사,병사,병원 보조원,복서/레슬러,부랑자,부족민,부하 조직원,비서,비행사,사기꾼,사립탐정,사무원,사서,사육사,사진가,사진기자,서적상,선교"&amp;"사,선원,선출직 공무원,성직자,소방관,수병,스턴트맨,스턴트우먼,스파이,신비학자,신사/숙녀,심령학자,심리학자,약사,엔지니어,연구실 조수,연구자,연방 요원,연예인,연주자,외신 기자,운동선수,운전사,웨이터,웨이트리스,위조업자,은행강도,의사,인턴,자객,자연 애호가,작가,잠수부,장교,장물아비,장의사,장인,전속 기사,점장,정신감정사,정신과 의사,정신병원 직원,정신분석가,조련사,조종사,중상급 관리자,집사,카우걸/카우보이,컴퓨터 테크니션,탐광인,탐험가,택시 운전사,판"&amp;"매원,판사,편집자,폭력배,프로그래머,하녀,하인,해커,현상금 사냥꾼,형사,회계사,회사 탐정,ETC"</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55" width="2.5"/>
  </cols>
  <sheetData>
    <row r="1" ht="11.25" customHeight="1">
      <c r="A1" s="539">
        <v>35.0</v>
      </c>
      <c r="B1" s="2"/>
      <c r="C1" s="2"/>
      <c r="D1" s="2"/>
      <c r="E1" s="2"/>
      <c r="F1" s="2"/>
      <c r="G1" s="2"/>
      <c r="H1" s="2"/>
      <c r="I1" s="2"/>
      <c r="J1" s="2"/>
      <c r="K1" s="2"/>
      <c r="L1" s="2"/>
      <c r="M1" s="2"/>
      <c r="N1" s="2"/>
      <c r="O1" s="2"/>
      <c r="P1" s="2"/>
      <c r="Q1" s="2"/>
      <c r="R1" s="2"/>
      <c r="S1" s="2"/>
      <c r="T1" s="2"/>
      <c r="U1" s="2"/>
      <c r="V1" s="2"/>
      <c r="W1" s="2"/>
      <c r="X1" s="2"/>
      <c r="Y1" s="2"/>
      <c r="Z1" s="2"/>
      <c r="AA1" s="2"/>
      <c r="AB1" s="2"/>
      <c r="AC1" s="3"/>
      <c r="AD1" s="3"/>
      <c r="AE1" s="3"/>
      <c r="AF1" s="3"/>
      <c r="AG1" s="3"/>
      <c r="AH1" s="3"/>
      <c r="AI1" s="3"/>
      <c r="AJ1" s="3"/>
      <c r="AK1" s="3"/>
      <c r="AL1" s="3"/>
      <c r="AM1" s="3"/>
      <c r="AN1" s="3"/>
      <c r="AO1" s="3"/>
      <c r="AP1" s="3"/>
      <c r="AQ1" s="3"/>
      <c r="AR1" s="3"/>
      <c r="AS1" s="3"/>
      <c r="AT1" s="3"/>
      <c r="AU1" s="3"/>
      <c r="AV1" s="3"/>
      <c r="AW1" s="3"/>
      <c r="AX1" s="3"/>
      <c r="AY1" s="3"/>
      <c r="AZ1" s="3"/>
      <c r="BA1" s="3"/>
      <c r="BB1" s="3"/>
      <c r="BC1" s="3"/>
    </row>
    <row r="2" ht="9.0" customHeight="1">
      <c r="A2" s="2"/>
      <c r="B2" s="4" t="s">
        <v>0</v>
      </c>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6" t="s">
        <v>1</v>
      </c>
      <c r="AU2" s="5"/>
      <c r="AV2" s="7"/>
      <c r="AW2" s="6" t="s">
        <v>2</v>
      </c>
      <c r="AX2" s="5"/>
      <c r="AY2" s="7"/>
      <c r="AZ2" s="6" t="s">
        <v>3</v>
      </c>
      <c r="BA2" s="5"/>
      <c r="BB2" s="7"/>
      <c r="BC2" s="3"/>
    </row>
    <row r="3" ht="9.0" customHeight="1">
      <c r="A3" s="8"/>
      <c r="B3" s="9"/>
      <c r="AT3" s="10"/>
      <c r="AU3" s="11"/>
      <c r="AV3" s="12"/>
      <c r="AW3" s="10"/>
      <c r="AX3" s="11"/>
      <c r="AY3" s="12"/>
      <c r="AZ3" s="10"/>
      <c r="BA3" s="11"/>
      <c r="BB3" s="12"/>
      <c r="BC3" s="3"/>
    </row>
    <row r="4" ht="9.0" customHeight="1">
      <c r="A4" s="8"/>
      <c r="B4" s="9"/>
      <c r="AT4" s="13"/>
      <c r="AU4" s="5"/>
      <c r="AV4" s="7"/>
      <c r="AW4" s="6" t="s">
        <v>4</v>
      </c>
      <c r="AX4" s="5"/>
      <c r="AY4" s="7"/>
      <c r="AZ4" s="14" t="s">
        <v>5</v>
      </c>
      <c r="BA4" s="5"/>
      <c r="BB4" s="7"/>
      <c r="BC4" s="3"/>
    </row>
    <row r="5" ht="9.0" customHeight="1">
      <c r="A5" s="8"/>
      <c r="B5" s="9"/>
      <c r="AT5" s="9"/>
      <c r="AV5" s="15"/>
      <c r="AW5" s="9"/>
      <c r="AY5" s="15"/>
      <c r="AZ5" s="9"/>
      <c r="BB5" s="15"/>
      <c r="BC5" s="3"/>
    </row>
    <row r="6" ht="9.0" customHeight="1">
      <c r="A6" s="2"/>
      <c r="B6" s="9"/>
      <c r="AT6" s="10"/>
      <c r="AU6" s="11"/>
      <c r="AV6" s="12"/>
      <c r="AW6" s="10"/>
      <c r="AX6" s="11"/>
      <c r="AY6" s="12"/>
      <c r="AZ6" s="10"/>
      <c r="BA6" s="11"/>
      <c r="BB6" s="12"/>
      <c r="BC6" s="2"/>
    </row>
    <row r="7" ht="13.5" customHeight="1">
      <c r="A7" s="16"/>
      <c r="B7" s="17"/>
      <c r="C7" s="17"/>
      <c r="D7" s="17"/>
      <c r="E7" s="17"/>
      <c r="F7" s="17"/>
      <c r="G7" s="17"/>
      <c r="H7" s="17"/>
      <c r="I7" s="17"/>
      <c r="J7" s="17"/>
      <c r="K7" s="17"/>
      <c r="L7" s="17"/>
      <c r="M7" s="17"/>
      <c r="N7" s="17"/>
      <c r="O7" s="18"/>
      <c r="P7" s="18"/>
      <c r="Q7" s="19"/>
      <c r="R7" s="18"/>
      <c r="S7" s="18"/>
      <c r="T7" s="18"/>
      <c r="U7" s="18"/>
      <c r="V7" s="18"/>
      <c r="W7" s="18"/>
      <c r="X7" s="18"/>
      <c r="Y7" s="18"/>
      <c r="Z7" s="18"/>
      <c r="AA7" s="18"/>
      <c r="AB7" s="18"/>
      <c r="AC7" s="18"/>
      <c r="AD7" s="18"/>
      <c r="AE7" s="18"/>
      <c r="AF7" s="18"/>
      <c r="AG7" s="18"/>
      <c r="AH7" s="18"/>
      <c r="AI7" s="18"/>
      <c r="AJ7" s="18"/>
      <c r="AK7" s="18"/>
      <c r="AL7" s="18"/>
      <c r="AM7" s="18"/>
      <c r="AN7" s="18"/>
      <c r="AO7" s="18"/>
      <c r="AP7" s="20"/>
      <c r="AQ7" s="17"/>
      <c r="AR7" s="17"/>
      <c r="AS7" s="17"/>
      <c r="AT7" s="17"/>
      <c r="AU7" s="17"/>
      <c r="AV7" s="17"/>
      <c r="AW7" s="17"/>
      <c r="AX7" s="17"/>
      <c r="AY7" s="17"/>
      <c r="AZ7" s="17"/>
      <c r="BA7" s="17"/>
      <c r="BB7" s="17"/>
      <c r="BC7" s="21"/>
    </row>
    <row r="8" ht="13.5" customHeight="1">
      <c r="A8" s="22"/>
      <c r="B8" s="181" t="s">
        <v>6</v>
      </c>
      <c r="C8" s="24"/>
      <c r="D8" s="24"/>
      <c r="E8" s="24"/>
      <c r="F8" s="24"/>
      <c r="G8" s="24"/>
      <c r="H8" s="24"/>
      <c r="I8" s="24"/>
      <c r="J8" s="24"/>
      <c r="K8" s="24"/>
      <c r="L8" s="24"/>
      <c r="M8" s="24"/>
      <c r="N8" s="24"/>
      <c r="O8" s="24"/>
      <c r="P8" s="25"/>
      <c r="Q8" s="26"/>
      <c r="R8" s="181" t="s">
        <v>7</v>
      </c>
      <c r="S8" s="24"/>
      <c r="T8" s="24"/>
      <c r="U8" s="24"/>
      <c r="V8" s="24"/>
      <c r="W8" s="24"/>
      <c r="X8" s="24"/>
      <c r="Y8" s="24"/>
      <c r="Z8" s="24"/>
      <c r="AA8" s="24"/>
      <c r="AB8" s="24"/>
      <c r="AC8" s="24"/>
      <c r="AD8" s="24"/>
      <c r="AE8" s="24"/>
      <c r="AF8" s="24"/>
      <c r="AG8" s="24"/>
      <c r="AH8" s="24"/>
      <c r="AI8" s="24"/>
      <c r="AJ8" s="24"/>
      <c r="AK8" s="24"/>
      <c r="AL8" s="24"/>
      <c r="AM8" s="24"/>
      <c r="AN8" s="24"/>
      <c r="AO8" s="25"/>
      <c r="AP8" s="27"/>
      <c r="AQ8" s="181" t="s">
        <v>8</v>
      </c>
      <c r="AR8" s="24"/>
      <c r="AS8" s="24"/>
      <c r="AT8" s="24"/>
      <c r="AU8" s="24"/>
      <c r="AV8" s="24"/>
      <c r="AW8" s="24"/>
      <c r="AX8" s="24"/>
      <c r="AY8" s="24"/>
      <c r="AZ8" s="24"/>
      <c r="BA8" s="24"/>
      <c r="BB8" s="25"/>
      <c r="BC8" s="28"/>
    </row>
    <row r="9" ht="13.5" customHeight="1">
      <c r="A9" s="29"/>
      <c r="B9" s="30"/>
      <c r="C9" s="31"/>
      <c r="D9" s="31"/>
      <c r="E9" s="31"/>
      <c r="F9" s="31"/>
      <c r="G9" s="31"/>
      <c r="H9" s="31"/>
      <c r="I9" s="31"/>
      <c r="J9" s="31"/>
      <c r="K9" s="31"/>
      <c r="L9" s="31"/>
      <c r="M9" s="31"/>
      <c r="N9" s="31"/>
      <c r="O9" s="31"/>
      <c r="P9" s="32"/>
      <c r="Q9" s="26"/>
      <c r="R9" s="30"/>
      <c r="S9" s="31"/>
      <c r="T9" s="31"/>
      <c r="U9" s="31"/>
      <c r="V9" s="31"/>
      <c r="W9" s="31"/>
      <c r="X9" s="31"/>
      <c r="Y9" s="31"/>
      <c r="Z9" s="31"/>
      <c r="AA9" s="31"/>
      <c r="AB9" s="31"/>
      <c r="AC9" s="31"/>
      <c r="AD9" s="31"/>
      <c r="AE9" s="31"/>
      <c r="AF9" s="31"/>
      <c r="AG9" s="31"/>
      <c r="AH9" s="31"/>
      <c r="AI9" s="31"/>
      <c r="AJ9" s="31"/>
      <c r="AK9" s="31"/>
      <c r="AL9" s="31"/>
      <c r="AM9" s="31"/>
      <c r="AN9" s="31"/>
      <c r="AO9" s="32"/>
      <c r="AP9" s="27"/>
      <c r="AQ9" s="30"/>
      <c r="AR9" s="31"/>
      <c r="AS9" s="31"/>
      <c r="AT9" s="31"/>
      <c r="AU9" s="31"/>
      <c r="AV9" s="31"/>
      <c r="AW9" s="31"/>
      <c r="AX9" s="31"/>
      <c r="AY9" s="31"/>
      <c r="AZ9" s="31"/>
      <c r="BA9" s="31"/>
      <c r="BB9" s="32"/>
      <c r="BC9" s="28"/>
    </row>
    <row r="10" ht="13.5" customHeight="1">
      <c r="A10" s="22"/>
      <c r="B10" s="540" t="s">
        <v>9</v>
      </c>
      <c r="C10" s="34"/>
      <c r="D10" s="35"/>
      <c r="E10" s="36"/>
      <c r="F10" s="34"/>
      <c r="G10" s="34"/>
      <c r="H10" s="34"/>
      <c r="I10" s="34"/>
      <c r="J10" s="34"/>
      <c r="K10" s="34"/>
      <c r="L10" s="34"/>
      <c r="M10" s="34"/>
      <c r="N10" s="34"/>
      <c r="O10" s="34"/>
      <c r="P10" s="35"/>
      <c r="Q10" s="26"/>
      <c r="R10" s="541" t="s">
        <v>10</v>
      </c>
      <c r="S10" s="24"/>
      <c r="T10" s="24"/>
      <c r="U10" s="25"/>
      <c r="V10" s="38"/>
      <c r="W10" s="25"/>
      <c r="X10" s="540">
        <f>Int(DIVIDE(V10,2))</f>
        <v>0</v>
      </c>
      <c r="Y10" s="35"/>
      <c r="Z10" s="542" t="s">
        <v>11</v>
      </c>
      <c r="AA10" s="24"/>
      <c r="AB10" s="24"/>
      <c r="AC10" s="25"/>
      <c r="AD10" s="38"/>
      <c r="AE10" s="25"/>
      <c r="AF10" s="540">
        <f>Int(DIVIDE(AD10,2))</f>
        <v>0</v>
      </c>
      <c r="AG10" s="35"/>
      <c r="AH10" s="542" t="s">
        <v>12</v>
      </c>
      <c r="AI10" s="24"/>
      <c r="AJ10" s="24"/>
      <c r="AK10" s="25"/>
      <c r="AL10" s="38"/>
      <c r="AM10" s="25"/>
      <c r="AN10" s="540">
        <f>Int(DIVIDE(AL10,2))</f>
        <v>0</v>
      </c>
      <c r="AO10" s="35"/>
      <c r="AP10" s="28"/>
      <c r="AQ10" s="41"/>
      <c r="BB10" s="15"/>
      <c r="BC10" s="3"/>
    </row>
    <row r="11" ht="13.5" customHeight="1">
      <c r="A11" s="22"/>
      <c r="B11" s="540" t="s">
        <v>13</v>
      </c>
      <c r="C11" s="34"/>
      <c r="D11" s="35"/>
      <c r="E11" s="42"/>
      <c r="F11" s="34"/>
      <c r="G11" s="34"/>
      <c r="H11" s="34"/>
      <c r="I11" s="34"/>
      <c r="J11" s="34"/>
      <c r="K11" s="34"/>
      <c r="L11" s="34"/>
      <c r="M11" s="34"/>
      <c r="N11" s="34"/>
      <c r="O11" s="34"/>
      <c r="P11" s="35"/>
      <c r="Q11" s="26"/>
      <c r="R11" s="30"/>
      <c r="S11" s="31"/>
      <c r="T11" s="31"/>
      <c r="U11" s="32"/>
      <c r="V11" s="30"/>
      <c r="W11" s="32"/>
      <c r="X11" s="543">
        <f>int(DIVIDE(V10,5))</f>
        <v>0</v>
      </c>
      <c r="Y11" s="35"/>
      <c r="Z11" s="30"/>
      <c r="AA11" s="31"/>
      <c r="AB11" s="31"/>
      <c r="AC11" s="32"/>
      <c r="AD11" s="30"/>
      <c r="AE11" s="32"/>
      <c r="AF11" s="543">
        <f>int(DIVIDE(AD10,5))</f>
        <v>0</v>
      </c>
      <c r="AG11" s="35"/>
      <c r="AH11" s="30"/>
      <c r="AI11" s="31"/>
      <c r="AJ11" s="31"/>
      <c r="AK11" s="32"/>
      <c r="AL11" s="30"/>
      <c r="AM11" s="32"/>
      <c r="AN11" s="543">
        <f>int(DIVIDE(AL10,5))</f>
        <v>0</v>
      </c>
      <c r="AO11" s="35"/>
      <c r="AP11" s="28"/>
      <c r="AQ11" s="9"/>
      <c r="BB11" s="15"/>
      <c r="BC11" s="2"/>
    </row>
    <row r="12" ht="13.5" customHeight="1">
      <c r="A12" s="22"/>
      <c r="B12" s="544" t="s">
        <v>14</v>
      </c>
      <c r="C12" s="34"/>
      <c r="D12" s="35"/>
      <c r="E12" s="45" t="s">
        <v>166</v>
      </c>
      <c r="J12" s="545" t="s">
        <v>16</v>
      </c>
      <c r="K12" s="35"/>
      <c r="L12" s="36"/>
      <c r="M12" s="34"/>
      <c r="N12" s="34"/>
      <c r="O12" s="34"/>
      <c r="P12" s="35"/>
      <c r="Q12" s="26"/>
      <c r="R12" s="541" t="s">
        <v>17</v>
      </c>
      <c r="S12" s="24"/>
      <c r="T12" s="24"/>
      <c r="U12" s="25"/>
      <c r="V12" s="38"/>
      <c r="W12" s="25"/>
      <c r="X12" s="540">
        <f>Int(DIVIDE(V12,2))</f>
        <v>0</v>
      </c>
      <c r="Y12" s="35"/>
      <c r="Z12" s="541" t="s">
        <v>18</v>
      </c>
      <c r="AA12" s="24"/>
      <c r="AB12" s="24"/>
      <c r="AC12" s="25"/>
      <c r="AD12" s="38"/>
      <c r="AE12" s="25"/>
      <c r="AF12" s="540">
        <f>Int(DIVIDE(AD12,2))</f>
        <v>0</v>
      </c>
      <c r="AG12" s="35"/>
      <c r="AH12" s="542" t="s">
        <v>19</v>
      </c>
      <c r="AI12" s="24"/>
      <c r="AJ12" s="24"/>
      <c r="AK12" s="25"/>
      <c r="AL12" s="38"/>
      <c r="AM12" s="25"/>
      <c r="AN12" s="540">
        <f>Int(DIVIDE(AL12,2))</f>
        <v>0</v>
      </c>
      <c r="AO12" s="35"/>
      <c r="AP12" s="28"/>
      <c r="AQ12" s="9"/>
      <c r="BB12" s="15"/>
      <c r="BC12" s="3"/>
    </row>
    <row r="13" ht="13.5" customHeight="1">
      <c r="A13" s="22"/>
      <c r="B13" s="540" t="s">
        <v>20</v>
      </c>
      <c r="C13" s="34"/>
      <c r="D13" s="35"/>
      <c r="E13" s="47"/>
      <c r="F13" s="34"/>
      <c r="G13" s="34"/>
      <c r="H13" s="34"/>
      <c r="I13" s="35"/>
      <c r="J13" s="546" t="s">
        <v>21</v>
      </c>
      <c r="K13" s="35"/>
      <c r="L13" s="36"/>
      <c r="M13" s="34"/>
      <c r="N13" s="34"/>
      <c r="O13" s="34"/>
      <c r="P13" s="35"/>
      <c r="Q13" s="26"/>
      <c r="R13" s="30"/>
      <c r="S13" s="31"/>
      <c r="T13" s="31"/>
      <c r="U13" s="32"/>
      <c r="V13" s="30"/>
      <c r="W13" s="32"/>
      <c r="X13" s="543">
        <f>int(DIVIDE(V12,5))</f>
        <v>0</v>
      </c>
      <c r="Y13" s="35"/>
      <c r="Z13" s="30"/>
      <c r="AA13" s="31"/>
      <c r="AB13" s="31"/>
      <c r="AC13" s="32"/>
      <c r="AD13" s="30"/>
      <c r="AE13" s="32"/>
      <c r="AF13" s="543">
        <f>int(DIVIDE(AD12,5))</f>
        <v>0</v>
      </c>
      <c r="AG13" s="35"/>
      <c r="AH13" s="30"/>
      <c r="AI13" s="31"/>
      <c r="AJ13" s="31"/>
      <c r="AK13" s="32"/>
      <c r="AL13" s="30"/>
      <c r="AM13" s="32"/>
      <c r="AN13" s="543">
        <f>int(DIVIDE(AL12,5))</f>
        <v>0</v>
      </c>
      <c r="AO13" s="35"/>
      <c r="AP13" s="28"/>
      <c r="AQ13" s="9"/>
      <c r="BB13" s="15"/>
      <c r="BC13" s="3"/>
    </row>
    <row r="14" ht="13.5" customHeight="1">
      <c r="A14" s="22"/>
      <c r="B14" s="540" t="s">
        <v>22</v>
      </c>
      <c r="C14" s="34"/>
      <c r="D14" s="35"/>
      <c r="E14" s="47"/>
      <c r="F14" s="34"/>
      <c r="G14" s="34"/>
      <c r="H14" s="34"/>
      <c r="I14" s="35"/>
      <c r="J14" s="546" t="s">
        <v>23</v>
      </c>
      <c r="K14" s="35"/>
      <c r="L14" s="36"/>
      <c r="M14" s="34"/>
      <c r="N14" s="34"/>
      <c r="O14" s="34"/>
      <c r="P14" s="35"/>
      <c r="Q14" s="26"/>
      <c r="R14" s="541" t="s">
        <v>24</v>
      </c>
      <c r="S14" s="24"/>
      <c r="T14" s="24"/>
      <c r="U14" s="25"/>
      <c r="V14" s="38"/>
      <c r="W14" s="25"/>
      <c r="X14" s="547">
        <f>Int(DIVIDE(V14,2))</f>
        <v>0</v>
      </c>
      <c r="Y14" s="35"/>
      <c r="Z14" s="542" t="s">
        <v>25</v>
      </c>
      <c r="AA14" s="24"/>
      <c r="AB14" s="24"/>
      <c r="AC14" s="25"/>
      <c r="AD14" s="38"/>
      <c r="AE14" s="25"/>
      <c r="AF14" s="547">
        <f>Int(DIVIDE(AD14,2))</f>
        <v>0</v>
      </c>
      <c r="AG14" s="35"/>
      <c r="AH14" s="541" t="s">
        <v>26</v>
      </c>
      <c r="AI14" s="24"/>
      <c r="AJ14" s="24"/>
      <c r="AK14" s="25"/>
      <c r="AL14" s="38"/>
      <c r="AM14" s="25"/>
      <c r="AN14" s="547">
        <f>Int(DIVIDE(AL14,2))</f>
        <v>0</v>
      </c>
      <c r="AO14" s="35"/>
      <c r="AP14" s="28"/>
      <c r="AQ14" s="9"/>
      <c r="BB14" s="15"/>
      <c r="BC14" s="3"/>
    </row>
    <row r="15" ht="13.5" customHeight="1">
      <c r="A15" s="22"/>
      <c r="B15" s="540" t="s">
        <v>27</v>
      </c>
      <c r="C15" s="34"/>
      <c r="D15" s="35"/>
      <c r="E15" s="47"/>
      <c r="F15" s="34"/>
      <c r="G15" s="34"/>
      <c r="H15" s="34"/>
      <c r="I15" s="35"/>
      <c r="J15" s="546" t="s">
        <v>28</v>
      </c>
      <c r="K15" s="35"/>
      <c r="L15" s="36"/>
      <c r="M15" s="34"/>
      <c r="N15" s="34"/>
      <c r="O15" s="34"/>
      <c r="P15" s="35"/>
      <c r="Q15" s="26"/>
      <c r="R15" s="30"/>
      <c r="S15" s="31"/>
      <c r="T15" s="31"/>
      <c r="U15" s="32"/>
      <c r="V15" s="30"/>
      <c r="W15" s="32"/>
      <c r="X15" s="548">
        <f>int(DIVIDE(V14,5))</f>
        <v>0</v>
      </c>
      <c r="Y15" s="35"/>
      <c r="Z15" s="30"/>
      <c r="AA15" s="31"/>
      <c r="AB15" s="31"/>
      <c r="AC15" s="32"/>
      <c r="AD15" s="30"/>
      <c r="AE15" s="32"/>
      <c r="AF15" s="548">
        <f>int(DIVIDE(AD14,5))</f>
        <v>0</v>
      </c>
      <c r="AG15" s="35"/>
      <c r="AH15" s="30"/>
      <c r="AI15" s="31"/>
      <c r="AJ15" s="31"/>
      <c r="AK15" s="32"/>
      <c r="AL15" s="30"/>
      <c r="AM15" s="32"/>
      <c r="AN15" s="548">
        <f>int(DIVIDE(AL14,5))</f>
        <v>0</v>
      </c>
      <c r="AO15" s="35"/>
      <c r="AP15" s="28"/>
      <c r="AQ15" s="9"/>
      <c r="BB15" s="15"/>
      <c r="BC15" s="3"/>
    </row>
    <row r="16" ht="13.5" customHeight="1">
      <c r="A16" s="2"/>
      <c r="B16" s="51"/>
      <c r="C16" s="51"/>
      <c r="D16" s="51"/>
      <c r="E16" s="51"/>
      <c r="F16" s="51"/>
      <c r="G16" s="51"/>
      <c r="H16" s="51"/>
      <c r="I16" s="51"/>
      <c r="J16" s="51"/>
      <c r="K16" s="51"/>
      <c r="L16" s="51"/>
      <c r="M16" s="51"/>
      <c r="N16" s="51"/>
      <c r="O16" s="51"/>
      <c r="P16" s="51"/>
      <c r="Q16" s="52"/>
      <c r="R16" s="51"/>
      <c r="S16" s="51"/>
      <c r="T16" s="51"/>
      <c r="U16" s="51"/>
      <c r="V16" s="51"/>
      <c r="W16" s="51"/>
      <c r="X16" s="51"/>
      <c r="Y16" s="51"/>
      <c r="Z16" s="51"/>
      <c r="AA16" s="51"/>
      <c r="AB16" s="51"/>
      <c r="AC16" s="53"/>
      <c r="AD16" s="53"/>
      <c r="AE16" s="53"/>
      <c r="AF16" s="53"/>
      <c r="AG16" s="53"/>
      <c r="AH16" s="53"/>
      <c r="AI16" s="53"/>
      <c r="AJ16" s="53"/>
      <c r="AK16" s="53"/>
      <c r="AL16" s="53"/>
      <c r="AM16" s="53"/>
      <c r="AN16" s="53"/>
      <c r="AO16" s="53"/>
      <c r="AP16" s="3"/>
      <c r="AQ16" s="9"/>
      <c r="BB16" s="15"/>
      <c r="BC16" s="3"/>
    </row>
    <row r="17" ht="13.5" customHeight="1">
      <c r="A17" s="22"/>
      <c r="B17" s="54" t="s">
        <v>29</v>
      </c>
      <c r="C17" s="5"/>
      <c r="D17" s="5"/>
      <c r="E17" s="5"/>
      <c r="F17" s="5"/>
      <c r="G17" s="5"/>
      <c r="H17" s="5"/>
      <c r="I17" s="5"/>
      <c r="J17" s="5"/>
      <c r="K17" s="5"/>
      <c r="L17" s="5"/>
      <c r="M17" s="5"/>
      <c r="N17" s="55"/>
      <c r="O17" s="56" t="s">
        <v>30</v>
      </c>
      <c r="P17" s="5"/>
      <c r="Q17" s="5"/>
      <c r="R17" s="5"/>
      <c r="S17" s="5"/>
      <c r="T17" s="57">
        <f>IF(E12="간호사", AL12*4,
IF(E12="갱 보스", AL12*2+AD12*2,
IF(E12="건달", AL12*2+MAX(V10*2,AD10*2),
IF(E12="건 몰", AL12*2+AD12*2,
IF(E12="건축가", AL12*4,
IF(E12="경관", AL12*2+MAX(V10*2,AD10*2),
IF(E12="고고학자", AL12*4,
IF(E12="곡예사", AL12*2+AD10*2,
IF(E12="골동품상", AL12*4,
IF(E12="골동품 연구가", AL12*4,
IF(E12="과학자", AL12*4,
IF(E12="광부", AL12*2+MAX(V10*2,AD10*2),
IF(E12="광신자", AL12*2+MAX(AD12*2,AL10*2),
IF(E12="교수", AL12*4,
IF(E12="교주", AL12*2+AD12*2,
IF(E12="기술자", AL12*4,
IF(E12="기자", AL12*4,
IF(E12="깡패", AL12*2+V10*2,
IF(E12="노조 활동가", AL12*4,
IF(E12="농부", AL12*2+MAX(V10*2,AD10*2),
IF(E12="단독 범죄자", AL12*2+MAX(AD10*2,AD12*2),
IF(E12="대학생", AL12*4,
IF(E12="도둑", AL12*2+AD10*2,
IF(E12="도박사", AL12*2+MAX(AD10*2,AD12*2),
IF(E12="등반가", AL12*2+MAX(V10*2,AD10*2),
IF(E12="디자이너", AL12*4,
IF(E12="디프로그래머", AL12*4,
IF(E12="딜레탕트", AL12*2+AD12*2,
IF(E12="떠돌이", AL12*2+MAX(AD10*2,AD12*2),
IF(E12="리포터", AL12*4,
IF(E12="매춘부", AL12*2+AD12*2,
IF(E12="맹수사냥꾼", AL12*2+MAX(V10*2,AD10*2),
IF(E12="미술가", AL12*2+MAX(AD10*2,AL10*2),
IF(E12="밀수꾼", AL12*2+MAX(AD10*2,AD12*2),
IF(E12="밀주업자", AL12*2+V10*2,
IF(E12="바텐더", AL12*2+AD12*2,
IF(E12="박물관 큐레이터", AL12*4,
IF(E12="배우", AL12*2+AD12*2,
IF(E12="벌목꾼", AL12*2+MAX(V10*2,AD10*2),
IF(E12="법의학자", AL12*4,
IF(E12="변호사", AL12*4,
IF(E12="병사", AL12*2+MAX(V10*2,AD10*2),
IF(E12="병원 보조원", AL12*2+V10*2,
IF(E12="복서/레슬러", AL12*2+V10*2,
IF(E12="부랑자", AL12*2+MAX(AD12*2,V10*2,AD10*2),
IF(E12="부족민", AL12*2+MAX(V10*2,AD10*2),
IF(E12="부하 조직원", AL12*2+MAX(V10*2,AD10*2),
IF(E12="비서", AL12*2+MAX(AD10*2,AD12*2),
IF(E12="비숙련공", AL12*2+MAX(V10*2,AD10*2),
IF(E12="비행사", AL12*4,
IF(E12="사립탐정", AL12*2+MAX(V10*2,AD10*2),
IF(E12="사무원", AL12*4,
IF(E12="사서", AL12*4,
IF(E12="사육사", AL12*4,
IF(E12="사진가", AL12*4,
IF(E12="사진기자", AL12*4,
IF(E12="서적상", AL12*4,
IF(E12="선교사", AL12*2+AD12*2,
IF(E12="선원", AL12*2+MAX(V10*2,AD10*2),
IF(E12="선출직 공무원", AL12*2+AD12*2,
IF(E12="성직자", AL12*4,
IF(E12="소방관", AL12*2+MAX(V10*2,AD10*2),
IF(E12="수병", AL12*2+MAX(V10*2,AD10*2),
IF(E12="스턴트맨", AL12*2+MAX(V10*2,AD10*2),
IF(E12="스턴트우먼", AL12*2+MAX(V10*2,AD10*2),
IF(E12="스파이", AL12*2+MAX(AD10*2,AD12*2),
IF(E12="신비학자", AL12*4,
IF(E12="신사/숙녀", AL12*2+AD12*2,
IF(E12="심령학자", AL12*4,
IF(E12="심리학자", AL12*4,
IF(E12="약사", AL12*4,
IF(E12="엔지니어", AL12*4,
IF(E12="연구실 조수", AL12*4,
IF(E12="연구자", AL12*4,
IF(E12="연방 요원", AL12*4,
IF(E12="연예인", AL12*2+AD12*2,
IF(E12="연주자", AL12*2+MAX(AD10*2,AD12*2),
IF(E12="외신 기자", AL12*4,
IF(E12="운동선수", AL12*2+MAX(V10*2,AD10*2),
IF(E12="운전사", AL12*2+MAX(V10*2,AD10*2),
IF(E12="웨이터", AL12*2+MAX(AD10*2,AD12*2),
IF(E12="웨이트리스", AL12*2+MAX(AD10*2,AD12*2),
IF(E12="위조업자", AL12*4,
IF(E12="은행강도", AL12*2+MAX(V10*2,AD10*2),
IF(E12="의사", AL12*4,
IF(E12="인턴", AL12*4,
IF(E12="자객", AL12*2+MAX(V10*2,AD10*2),
IF(E12="자연 애호가", ,
IF(E12="작가", AL12*4,
IF(E12="잠수부", AL12*2+AD10*2,
IF(E12="장교", AL12*2+MAX(V10*2,AD10*2),
IF(E12="장물아비", AL12*2+AD12*2,
IF(E12="장의사", AL12*4,
IF(E12="장인", AL12*2+AD10*2,
IF(E12="전속 기사", AL12*2+AD10*2,
IF(E12="점장", AL12*2+MAX(AD10*2,AD12*2),
IF(E12="정신감정사", AL12*4,
IF(E12="정신과 의사", AL12*4,
IF(E12="정신병원 직원", AL12*2+MAX(V10*2,AD10*2),
IF(E12="정신분석가", AL12*4,
IF(E12="조련사", AL12*2+MAX(AD12*2,AL10*2),
IF(E12="조종사", AL12*2+AD10*2,
IF(E12="중상급 관리자", AL12*4,
IF(E12="집사", AL12*4,
IF(E12="카우걸/카우보이", AL12*2+MAX(V10*2,AD10*2),
IF(E12="컴퓨터 테크니션", AL12*4,
IF(E12="탐광인", AL12*2+MAX(V10*2,AD10*2),
IF(E12="탐험가", AL12*2+MAX(AD12*2,V10*2,AD10*2),
IF(E12="택시 운전사", AL12*2+AD10*2,
IF(E12="판매원", AL12*2+AD12*2,
IF(E12="판사", AL12*4,
IF(E12="편집자", AL12*4,
IF(E12="폭력배", AL12*2+V10*2,
IF(E12="프로그래머", AL12*4,
IF(E12="하녀", AL12*4,
IF(E12="하인", AL12*4,
IF(E12="해커", AL12*4,
IF(E12="현상금 사냥꾼", AL12*2+MAX(V10*2,AD10*2),
IF(E12="형사", AL12*2+MAX(V10*2,AD10*2),
IF(E12="회계사", AL12*4,
IF(E12="기타", AL12*4,
IF(E12="회사 탐정", AL12*2+MAX(V10*2,AD10*2),"0"))))))))))))))))))))))))))))))))))))))))))))))))))))))))))))))))))))))))))))))))))))))))))))))))))))))))))))))))))))))))))</f>
        <v>0</v>
      </c>
      <c r="U17" s="5"/>
      <c r="V17" s="5"/>
      <c r="W17" s="7"/>
      <c r="X17" s="56" t="s">
        <v>31</v>
      </c>
      <c r="Y17" s="5"/>
      <c r="Z17" s="5"/>
      <c r="AA17" s="5"/>
      <c r="AB17" s="5"/>
      <c r="AC17" s="57">
        <f>(AD14*2)</f>
        <v>0</v>
      </c>
      <c r="AD17" s="5"/>
      <c r="AE17" s="5"/>
      <c r="AF17" s="5"/>
      <c r="AG17" s="7"/>
      <c r="AH17" s="56" t="s">
        <v>32</v>
      </c>
      <c r="AI17" s="5"/>
      <c r="AJ17" s="5"/>
      <c r="AK17" s="5"/>
      <c r="AL17" s="57">
        <f>(SUM(T17,AC17))-(SUM(H19:H36,R19:R36,AB19:AB36,AL19:AL36))+AY53+AB19</f>
        <v>0</v>
      </c>
      <c r="AM17" s="5"/>
      <c r="AN17" s="5"/>
      <c r="AO17" s="7"/>
      <c r="AP17" s="28"/>
      <c r="AQ17" s="9"/>
      <c r="BB17" s="15"/>
      <c r="BC17" s="3"/>
    </row>
    <row r="18" ht="13.5" customHeight="1">
      <c r="A18" s="22"/>
      <c r="B18" s="10"/>
      <c r="C18" s="11"/>
      <c r="D18" s="11"/>
      <c r="E18" s="11"/>
      <c r="F18" s="11"/>
      <c r="G18" s="11"/>
      <c r="H18" s="11"/>
      <c r="I18" s="11"/>
      <c r="J18" s="11"/>
      <c r="K18" s="11"/>
      <c r="L18" s="11"/>
      <c r="M18" s="11"/>
      <c r="N18" s="58"/>
      <c r="O18" s="10"/>
      <c r="P18" s="11"/>
      <c r="Q18" s="11"/>
      <c r="R18" s="11"/>
      <c r="S18" s="11"/>
      <c r="T18" s="59"/>
      <c r="U18" s="11"/>
      <c r="V18" s="11"/>
      <c r="W18" s="12"/>
      <c r="X18" s="10"/>
      <c r="Y18" s="11"/>
      <c r="Z18" s="11"/>
      <c r="AA18" s="11"/>
      <c r="AB18" s="11"/>
      <c r="AC18" s="59"/>
      <c r="AD18" s="11"/>
      <c r="AE18" s="11"/>
      <c r="AF18" s="11"/>
      <c r="AG18" s="12"/>
      <c r="AH18" s="10"/>
      <c r="AI18" s="11"/>
      <c r="AJ18" s="11"/>
      <c r="AK18" s="11"/>
      <c r="AL18" s="59"/>
      <c r="AM18" s="11"/>
      <c r="AN18" s="11"/>
      <c r="AO18" s="12"/>
      <c r="AP18" s="60"/>
      <c r="AQ18" s="9"/>
      <c r="BB18" s="15"/>
      <c r="BC18" s="3"/>
    </row>
    <row r="19" ht="16.5" customHeight="1">
      <c r="A19" s="22"/>
      <c r="B19" s="61" t="s">
        <v>33</v>
      </c>
      <c r="C19" s="62" t="s">
        <v>34</v>
      </c>
      <c r="D19" s="63"/>
      <c r="E19" s="63"/>
      <c r="F19" s="64"/>
      <c r="G19" s="65">
        <v>25.0</v>
      </c>
      <c r="H19" s="66"/>
      <c r="I19" s="67">
        <f t="shared" ref="I19:I36" si="1">SUM(G19,H19)</f>
        <v>25</v>
      </c>
      <c r="J19" s="68">
        <f>int(DIVIDE(I19,2))</f>
        <v>12</v>
      </c>
      <c r="K19" s="69">
        <f t="shared" ref="K19:K36" si="2">int(DIVIDE(I19,5))</f>
        <v>5</v>
      </c>
      <c r="L19" s="70" t="s">
        <v>33</v>
      </c>
      <c r="M19" s="71" t="s">
        <v>35</v>
      </c>
      <c r="N19" s="63"/>
      <c r="O19" s="63"/>
      <c r="P19" s="64"/>
      <c r="Q19" s="65">
        <v>0.0</v>
      </c>
      <c r="R19" s="72"/>
      <c r="S19" s="67">
        <f t="shared" ref="S19:S36" si="3">SUM(Q19,R19)</f>
        <v>0</v>
      </c>
      <c r="T19" s="73">
        <f t="shared" ref="T19:T36" si="4">Int(DIVIDE(S19,2))</f>
        <v>0</v>
      </c>
      <c r="U19" s="74">
        <f t="shared" ref="U19:U36" si="5">int(DIVIDE(S19,5))</f>
        <v>0</v>
      </c>
      <c r="V19" s="70" t="s">
        <v>33</v>
      </c>
      <c r="W19" s="71" t="s">
        <v>36</v>
      </c>
      <c r="X19" s="63"/>
      <c r="Y19" s="63"/>
      <c r="Z19" s="64"/>
      <c r="AA19" s="65">
        <v>0.0</v>
      </c>
      <c r="AB19" s="75"/>
      <c r="AC19" s="67">
        <f t="shared" ref="AC19:AC36" si="6">SUM(AA19,AB19)</f>
        <v>0</v>
      </c>
      <c r="AD19" s="73">
        <f t="shared" ref="AD19:AD36" si="7">Int(DIVIDE(AC19,2))</f>
        <v>0</v>
      </c>
      <c r="AE19" s="74">
        <f t="shared" ref="AE19:AE36" si="8">int(DIVIDE(AC19,5))</f>
        <v>0</v>
      </c>
      <c r="AF19" s="70" t="s">
        <v>33</v>
      </c>
      <c r="AG19" s="71" t="s">
        <v>37</v>
      </c>
      <c r="AH19" s="63"/>
      <c r="AI19" s="63"/>
      <c r="AJ19" s="64"/>
      <c r="AK19" s="76">
        <v>1.0</v>
      </c>
      <c r="AL19" s="77"/>
      <c r="AM19" s="78">
        <f t="shared" ref="AM19:AM36" si="9">SUM(AK19,AL19)</f>
        <v>1</v>
      </c>
      <c r="AN19" s="68">
        <f t="shared" ref="AN19:AN36" si="10">Int(DIVIDE(AM19,2))</f>
        <v>0</v>
      </c>
      <c r="AO19" s="79">
        <f t="shared" ref="AO19:AO36" si="11">int(DIVIDE(AM19,5))</f>
        <v>0</v>
      </c>
      <c r="AP19" s="60"/>
      <c r="AQ19" s="10"/>
      <c r="AR19" s="11"/>
      <c r="AS19" s="11"/>
      <c r="AT19" s="11"/>
      <c r="AU19" s="11"/>
      <c r="AV19" s="11"/>
      <c r="AW19" s="11"/>
      <c r="AX19" s="11"/>
      <c r="AY19" s="11"/>
      <c r="AZ19" s="11"/>
      <c r="BA19" s="11"/>
      <c r="BB19" s="12"/>
      <c r="BC19" s="3"/>
    </row>
    <row r="20" ht="16.5" customHeight="1">
      <c r="A20" s="22"/>
      <c r="B20" s="80" t="s">
        <v>33</v>
      </c>
      <c r="C20" s="81" t="s">
        <v>38</v>
      </c>
      <c r="D20" s="82"/>
      <c r="E20" s="82"/>
      <c r="F20" s="83"/>
      <c r="G20" s="84">
        <v>20.0</v>
      </c>
      <c r="H20" s="85"/>
      <c r="I20" s="86">
        <f t="shared" si="1"/>
        <v>20</v>
      </c>
      <c r="J20" s="87">
        <f t="shared" ref="J20:J22" si="12">Int(DIVIDE(I20,2))</f>
        <v>10</v>
      </c>
      <c r="K20" s="88">
        <f t="shared" si="2"/>
        <v>4</v>
      </c>
      <c r="L20" s="89" t="s">
        <v>33</v>
      </c>
      <c r="M20" s="90" t="s">
        <v>39</v>
      </c>
      <c r="N20" s="82"/>
      <c r="O20" s="82"/>
      <c r="P20" s="83"/>
      <c r="Q20" s="84">
        <v>5.0</v>
      </c>
      <c r="R20" s="91"/>
      <c r="S20" s="86">
        <f t="shared" si="3"/>
        <v>5</v>
      </c>
      <c r="T20" s="92">
        <f t="shared" si="4"/>
        <v>2</v>
      </c>
      <c r="U20" s="93">
        <f t="shared" si="5"/>
        <v>1</v>
      </c>
      <c r="V20" s="94" t="s">
        <v>33</v>
      </c>
      <c r="W20" s="90" t="s">
        <v>40</v>
      </c>
      <c r="X20" s="82"/>
      <c r="Y20" s="82"/>
      <c r="Z20" s="83"/>
      <c r="AA20" s="84">
        <v>5.0</v>
      </c>
      <c r="AB20" s="85"/>
      <c r="AC20" s="86">
        <f t="shared" si="6"/>
        <v>5</v>
      </c>
      <c r="AD20" s="92">
        <f t="shared" si="7"/>
        <v>2</v>
      </c>
      <c r="AE20" s="93">
        <f t="shared" si="8"/>
        <v>1</v>
      </c>
      <c r="AF20" s="89" t="s">
        <v>33</v>
      </c>
      <c r="AG20" s="90" t="s">
        <v>41</v>
      </c>
      <c r="AH20" s="82"/>
      <c r="AI20" s="82"/>
      <c r="AJ20" s="83"/>
      <c r="AK20" s="95">
        <v>30.0</v>
      </c>
      <c r="AL20" s="85"/>
      <c r="AM20" s="96">
        <f t="shared" si="9"/>
        <v>30</v>
      </c>
      <c r="AN20" s="87">
        <f t="shared" si="10"/>
        <v>15</v>
      </c>
      <c r="AO20" s="97">
        <f t="shared" si="11"/>
        <v>6</v>
      </c>
      <c r="AP20" s="28"/>
      <c r="AQ20" s="98"/>
      <c r="AR20" s="98"/>
      <c r="AS20" s="98"/>
      <c r="AT20" s="98"/>
      <c r="AU20" s="98"/>
      <c r="AV20" s="98"/>
      <c r="AW20" s="98"/>
      <c r="AX20" s="98"/>
      <c r="AY20" s="98"/>
      <c r="AZ20" s="98"/>
      <c r="BA20" s="98"/>
      <c r="BB20" s="98"/>
      <c r="BC20" s="3"/>
    </row>
    <row r="21" ht="16.5" customHeight="1">
      <c r="A21" s="22"/>
      <c r="B21" s="80" t="s">
        <v>33</v>
      </c>
      <c r="C21" s="81" t="s">
        <v>42</v>
      </c>
      <c r="D21" s="82"/>
      <c r="E21" s="82"/>
      <c r="F21" s="83"/>
      <c r="G21" s="84">
        <v>20.0</v>
      </c>
      <c r="H21" s="85"/>
      <c r="I21" s="86">
        <f t="shared" si="1"/>
        <v>20</v>
      </c>
      <c r="J21" s="87">
        <f t="shared" si="12"/>
        <v>10</v>
      </c>
      <c r="K21" s="88">
        <f t="shared" si="2"/>
        <v>4</v>
      </c>
      <c r="L21" s="89" t="s">
        <v>33</v>
      </c>
      <c r="M21" s="90" t="s">
        <v>43</v>
      </c>
      <c r="N21" s="82"/>
      <c r="O21" s="82"/>
      <c r="P21" s="83"/>
      <c r="Q21" s="84">
        <v>10.0</v>
      </c>
      <c r="R21" s="85"/>
      <c r="S21" s="86">
        <f t="shared" si="3"/>
        <v>10</v>
      </c>
      <c r="T21" s="92">
        <f t="shared" si="4"/>
        <v>5</v>
      </c>
      <c r="U21" s="93">
        <f t="shared" si="5"/>
        <v>2</v>
      </c>
      <c r="V21" s="89" t="s">
        <v>33</v>
      </c>
      <c r="W21" s="90" t="s">
        <v>44</v>
      </c>
      <c r="X21" s="82"/>
      <c r="Y21" s="82"/>
      <c r="Z21" s="83"/>
      <c r="AA21" s="84">
        <v>1.0</v>
      </c>
      <c r="AB21" s="85"/>
      <c r="AC21" s="86">
        <f t="shared" si="6"/>
        <v>1</v>
      </c>
      <c r="AD21" s="92">
        <f t="shared" si="7"/>
        <v>0</v>
      </c>
      <c r="AE21" s="93">
        <f t="shared" si="8"/>
        <v>0</v>
      </c>
      <c r="AF21" s="89" t="s">
        <v>33</v>
      </c>
      <c r="AG21" s="90" t="s">
        <v>45</v>
      </c>
      <c r="AH21" s="82"/>
      <c r="AI21" s="82"/>
      <c r="AJ21" s="83"/>
      <c r="AK21" s="95">
        <v>10.0</v>
      </c>
      <c r="AL21" s="91"/>
      <c r="AM21" s="96">
        <f t="shared" si="9"/>
        <v>10</v>
      </c>
      <c r="AN21" s="87">
        <f t="shared" si="10"/>
        <v>5</v>
      </c>
      <c r="AO21" s="97">
        <f t="shared" si="11"/>
        <v>2</v>
      </c>
      <c r="AP21" s="99"/>
      <c r="AQ21" s="54" t="s">
        <v>46</v>
      </c>
      <c r="AR21" s="5"/>
      <c r="AS21" s="5"/>
      <c r="AT21" s="5"/>
      <c r="AU21" s="5"/>
      <c r="AV21" s="5"/>
      <c r="AW21" s="5"/>
      <c r="AX21" s="5"/>
      <c r="AY21" s="5"/>
      <c r="AZ21" s="5"/>
      <c r="BA21" s="5"/>
      <c r="BB21" s="7"/>
      <c r="BC21" s="3"/>
    </row>
    <row r="22" ht="16.5" customHeight="1">
      <c r="A22" s="22"/>
      <c r="B22" s="100" t="s">
        <v>33</v>
      </c>
      <c r="C22" s="81" t="s">
        <v>47</v>
      </c>
      <c r="D22" s="82"/>
      <c r="E22" s="82"/>
      <c r="F22" s="83"/>
      <c r="G22" s="84">
        <v>5.0</v>
      </c>
      <c r="H22" s="85"/>
      <c r="I22" s="86">
        <f t="shared" si="1"/>
        <v>5</v>
      </c>
      <c r="J22" s="87">
        <f t="shared" si="12"/>
        <v>2</v>
      </c>
      <c r="K22" s="88">
        <f t="shared" si="2"/>
        <v>1</v>
      </c>
      <c r="L22" s="101" t="s">
        <v>33</v>
      </c>
      <c r="M22" s="102" t="s">
        <v>167</v>
      </c>
      <c r="N22" s="82"/>
      <c r="O22" s="82"/>
      <c r="P22" s="83"/>
      <c r="Q22" s="84">
        <v>1.0</v>
      </c>
      <c r="R22" s="85"/>
      <c r="S22" s="86">
        <f t="shared" si="3"/>
        <v>1</v>
      </c>
      <c r="T22" s="92">
        <f t="shared" si="4"/>
        <v>0</v>
      </c>
      <c r="U22" s="93">
        <f t="shared" si="5"/>
        <v>0</v>
      </c>
      <c r="V22" s="101" t="s">
        <v>33</v>
      </c>
      <c r="W22" s="90" t="s">
        <v>49</v>
      </c>
      <c r="X22" s="82"/>
      <c r="Y22" s="82"/>
      <c r="Z22" s="83"/>
      <c r="AA22" s="84">
        <v>10.0</v>
      </c>
      <c r="AB22" s="85"/>
      <c r="AC22" s="86">
        <f t="shared" si="6"/>
        <v>10</v>
      </c>
      <c r="AD22" s="92">
        <f t="shared" si="7"/>
        <v>5</v>
      </c>
      <c r="AE22" s="93">
        <f t="shared" si="8"/>
        <v>2</v>
      </c>
      <c r="AF22" s="89" t="s">
        <v>33</v>
      </c>
      <c r="AG22" s="90" t="s">
        <v>50</v>
      </c>
      <c r="AH22" s="82"/>
      <c r="AI22" s="82"/>
      <c r="AJ22" s="83"/>
      <c r="AK22" s="95">
        <v>20.0</v>
      </c>
      <c r="AL22" s="85"/>
      <c r="AM22" s="96">
        <f t="shared" si="9"/>
        <v>20</v>
      </c>
      <c r="AN22" s="87">
        <f t="shared" si="10"/>
        <v>10</v>
      </c>
      <c r="AO22" s="97">
        <f t="shared" si="11"/>
        <v>4</v>
      </c>
      <c r="AP22" s="28"/>
      <c r="AQ22" s="10"/>
      <c r="AR22" s="11"/>
      <c r="AS22" s="11"/>
      <c r="AT22" s="11"/>
      <c r="AU22" s="11"/>
      <c r="AV22" s="11"/>
      <c r="AW22" s="11"/>
      <c r="AX22" s="11"/>
      <c r="AY22" s="11"/>
      <c r="AZ22" s="11"/>
      <c r="BA22" s="11"/>
      <c r="BB22" s="12"/>
      <c r="BC22" s="3"/>
    </row>
    <row r="23" ht="16.5" customHeight="1">
      <c r="A23" s="22"/>
      <c r="B23" s="100" t="s">
        <v>33</v>
      </c>
      <c r="C23" s="81" t="s">
        <v>51</v>
      </c>
      <c r="D23" s="82"/>
      <c r="E23" s="82"/>
      <c r="F23" s="83"/>
      <c r="G23" s="84">
        <v>1.0</v>
      </c>
      <c r="H23" s="85"/>
      <c r="I23" s="86">
        <f t="shared" si="1"/>
        <v>1</v>
      </c>
      <c r="J23" s="87">
        <f>int(DIVIDE(I23,2))</f>
        <v>0</v>
      </c>
      <c r="K23" s="88">
        <f t="shared" si="2"/>
        <v>0</v>
      </c>
      <c r="L23" s="89" t="s">
        <v>33</v>
      </c>
      <c r="M23" s="103"/>
      <c r="N23" s="82"/>
      <c r="O23" s="82"/>
      <c r="P23" s="83"/>
      <c r="Q23" s="84"/>
      <c r="R23" s="91"/>
      <c r="S23" s="86">
        <f t="shared" si="3"/>
        <v>0</v>
      </c>
      <c r="T23" s="92">
        <f t="shared" si="4"/>
        <v>0</v>
      </c>
      <c r="U23" s="93">
        <f t="shared" si="5"/>
        <v>0</v>
      </c>
      <c r="V23" s="101" t="s">
        <v>33</v>
      </c>
      <c r="W23" s="90" t="s">
        <v>52</v>
      </c>
      <c r="X23" s="82"/>
      <c r="Y23" s="82"/>
      <c r="Z23" s="83"/>
      <c r="AA23" s="84">
        <v>15.0</v>
      </c>
      <c r="AB23" s="85"/>
      <c r="AC23" s="86">
        <f t="shared" si="6"/>
        <v>15</v>
      </c>
      <c r="AD23" s="92">
        <f t="shared" si="7"/>
        <v>7</v>
      </c>
      <c r="AE23" s="93">
        <f t="shared" si="8"/>
        <v>3</v>
      </c>
      <c r="AF23" s="89" t="s">
        <v>33</v>
      </c>
      <c r="AG23" s="90" t="s">
        <v>53</v>
      </c>
      <c r="AH23" s="82"/>
      <c r="AI23" s="82"/>
      <c r="AJ23" s="83"/>
      <c r="AK23" s="95">
        <v>20.0</v>
      </c>
      <c r="AL23" s="85"/>
      <c r="AM23" s="96">
        <f t="shared" si="9"/>
        <v>20</v>
      </c>
      <c r="AN23" s="87">
        <f t="shared" si="10"/>
        <v>10</v>
      </c>
      <c r="AO23" s="97">
        <f t="shared" si="11"/>
        <v>4</v>
      </c>
      <c r="AP23" s="28"/>
      <c r="AQ23" s="104" t="s">
        <v>54</v>
      </c>
      <c r="AR23" s="105"/>
      <c r="AS23" s="105"/>
      <c r="AT23" s="105"/>
      <c r="AU23" s="105"/>
      <c r="AV23" s="105"/>
      <c r="AW23" s="106">
        <f>if((V10+V14)&lt;=64,-2,if((V10+V14)&lt;=84,-1,if((V10+V14)&lt;=124,0,if((V10+V14)&lt;=164,"+1D4",if((V10+V14)&lt;=204,"+1D6",if((V10+V14)&lt;=284,"+2D6",if((V10+V14)&lt;=20364,"+3D6",if((V10+V14)&lt;=444,"+4D6",if((V10+V14)&lt;=524,"+5D6")))))))))
</f>
        <v>-2</v>
      </c>
      <c r="AX23" s="105"/>
      <c r="AY23" s="105"/>
      <c r="AZ23" s="105"/>
      <c r="BA23" s="105"/>
      <c r="BB23" s="107"/>
      <c r="BC23" s="3"/>
    </row>
    <row r="24" ht="16.5" customHeight="1">
      <c r="A24" s="22"/>
      <c r="B24" s="100" t="s">
        <v>33</v>
      </c>
      <c r="C24" s="81" t="s">
        <v>55</v>
      </c>
      <c r="D24" s="82"/>
      <c r="E24" s="82"/>
      <c r="F24" s="83"/>
      <c r="G24" s="84">
        <v>10.0</v>
      </c>
      <c r="H24" s="85"/>
      <c r="I24" s="86">
        <f t="shared" si="1"/>
        <v>10</v>
      </c>
      <c r="J24" s="87">
        <f t="shared" ref="J24:J26" si="13">Int(DIVIDE(I24,2))</f>
        <v>5</v>
      </c>
      <c r="K24" s="88">
        <f t="shared" si="2"/>
        <v>2</v>
      </c>
      <c r="L24" s="89" t="s">
        <v>33</v>
      </c>
      <c r="M24" s="103"/>
      <c r="N24" s="82"/>
      <c r="O24" s="82"/>
      <c r="P24" s="83"/>
      <c r="Q24" s="84"/>
      <c r="R24" s="91"/>
      <c r="S24" s="86">
        <f t="shared" si="3"/>
        <v>0</v>
      </c>
      <c r="T24" s="92">
        <f t="shared" si="4"/>
        <v>0</v>
      </c>
      <c r="U24" s="93">
        <f t="shared" si="5"/>
        <v>0</v>
      </c>
      <c r="V24" s="89" t="s">
        <v>33</v>
      </c>
      <c r="W24" s="90" t="s">
        <v>56</v>
      </c>
      <c r="X24" s="82"/>
      <c r="Y24" s="82"/>
      <c r="Z24" s="83"/>
      <c r="AA24" s="84">
        <v>15.0</v>
      </c>
      <c r="AB24" s="85"/>
      <c r="AC24" s="86">
        <f t="shared" si="6"/>
        <v>15</v>
      </c>
      <c r="AD24" s="92">
        <f t="shared" si="7"/>
        <v>7</v>
      </c>
      <c r="AE24" s="93">
        <f t="shared" si="8"/>
        <v>3</v>
      </c>
      <c r="AF24" s="101" t="s">
        <v>33</v>
      </c>
      <c r="AG24" s="90" t="s">
        <v>57</v>
      </c>
      <c r="AH24" s="82"/>
      <c r="AI24" s="82"/>
      <c r="AJ24" s="83"/>
      <c r="AK24" s="95">
        <v>20.0</v>
      </c>
      <c r="AL24" s="85"/>
      <c r="AM24" s="96">
        <f t="shared" si="9"/>
        <v>20</v>
      </c>
      <c r="AN24" s="87">
        <f t="shared" si="10"/>
        <v>10</v>
      </c>
      <c r="AO24" s="97">
        <f t="shared" si="11"/>
        <v>4</v>
      </c>
      <c r="AP24" s="28"/>
      <c r="AQ24" s="104" t="s">
        <v>58</v>
      </c>
      <c r="AR24" s="105"/>
      <c r="AS24" s="105"/>
      <c r="AT24" s="105"/>
      <c r="AU24" s="105"/>
      <c r="AV24" s="105"/>
      <c r="AW24" s="106">
        <f>if((V10+V14)&lt;=64,-2,if((V10+V14)&lt;=84,-1,if((V10+V14)&lt;=124,0,if((V10+V14)&lt;=164,"+1",if((V10+V14)&lt;=204,"+2",if((V10+V14)&lt;=284,"+3",if((V10+V14)&lt;=20364,"+4",if((V10+V14)&lt;=444,"+5",if((V10+V14)&lt;=524,"+6")))))))))</f>
        <v>-2</v>
      </c>
      <c r="AX24" s="105"/>
      <c r="AY24" s="105"/>
      <c r="AZ24" s="105"/>
      <c r="BA24" s="105"/>
      <c r="BB24" s="107"/>
      <c r="BC24" s="3"/>
    </row>
    <row r="25" ht="16.5" customHeight="1">
      <c r="A25" s="22"/>
      <c r="B25" s="100" t="s">
        <v>33</v>
      </c>
      <c r="C25" s="81" t="s">
        <v>59</v>
      </c>
      <c r="D25" s="82"/>
      <c r="E25" s="82"/>
      <c r="F25" s="83"/>
      <c r="G25" s="84">
        <v>10.0</v>
      </c>
      <c r="H25" s="91"/>
      <c r="I25" s="86">
        <f t="shared" si="1"/>
        <v>10</v>
      </c>
      <c r="J25" s="87">
        <f t="shared" si="13"/>
        <v>5</v>
      </c>
      <c r="K25" s="88">
        <f t="shared" si="2"/>
        <v>2</v>
      </c>
      <c r="L25" s="89" t="s">
        <v>33</v>
      </c>
      <c r="M25" s="90" t="s">
        <v>60</v>
      </c>
      <c r="N25" s="82"/>
      <c r="O25" s="82"/>
      <c r="P25" s="83"/>
      <c r="Q25" s="84">
        <v>5.0</v>
      </c>
      <c r="R25" s="85"/>
      <c r="S25" s="86">
        <f t="shared" si="3"/>
        <v>5</v>
      </c>
      <c r="T25" s="92">
        <f t="shared" si="4"/>
        <v>2</v>
      </c>
      <c r="U25" s="93">
        <f t="shared" si="5"/>
        <v>1</v>
      </c>
      <c r="V25" s="89" t="s">
        <v>33</v>
      </c>
      <c r="W25" s="90" t="s">
        <v>61</v>
      </c>
      <c r="X25" s="82"/>
      <c r="Y25" s="82"/>
      <c r="Z25" s="83"/>
      <c r="AA25" s="84">
        <v>5.0</v>
      </c>
      <c r="AB25" s="85"/>
      <c r="AC25" s="86">
        <f t="shared" si="6"/>
        <v>5</v>
      </c>
      <c r="AD25" s="92">
        <f t="shared" si="7"/>
        <v>2</v>
      </c>
      <c r="AE25" s="93">
        <f t="shared" si="8"/>
        <v>1</v>
      </c>
      <c r="AF25" s="101" t="s">
        <v>33</v>
      </c>
      <c r="AG25" s="90" t="s">
        <v>62</v>
      </c>
      <c r="AH25" s="82"/>
      <c r="AI25" s="82"/>
      <c r="AJ25" s="83"/>
      <c r="AK25" s="95">
        <f>Int(DIVIDE(AD10,2))</f>
        <v>0</v>
      </c>
      <c r="AL25" s="85"/>
      <c r="AM25" s="96">
        <f t="shared" si="9"/>
        <v>0</v>
      </c>
      <c r="AN25" s="87">
        <f t="shared" si="10"/>
        <v>0</v>
      </c>
      <c r="AO25" s="97">
        <f t="shared" si="11"/>
        <v>0</v>
      </c>
      <c r="AP25" s="60"/>
      <c r="AQ25" s="104" t="s">
        <v>62</v>
      </c>
      <c r="AR25" s="105"/>
      <c r="AS25" s="105"/>
      <c r="AT25" s="105"/>
      <c r="AU25" s="105"/>
      <c r="AV25" s="105"/>
      <c r="AW25" s="106">
        <f>Int(DIVIDE(AD10,2))</f>
        <v>0</v>
      </c>
      <c r="AX25" s="105"/>
      <c r="AY25" s="108">
        <f>int(AW25/2)</f>
        <v>0</v>
      </c>
      <c r="AZ25" s="105"/>
      <c r="BA25" s="109">
        <f>int(AW25/5)</f>
        <v>0</v>
      </c>
      <c r="BB25" s="107"/>
      <c r="BC25" s="3"/>
    </row>
    <row r="26" ht="16.5" customHeight="1">
      <c r="A26" s="22"/>
      <c r="B26" s="100" t="s">
        <v>33</v>
      </c>
      <c r="C26" s="81" t="s">
        <v>63</v>
      </c>
      <c r="D26" s="82"/>
      <c r="E26" s="82"/>
      <c r="F26" s="83"/>
      <c r="G26" s="84">
        <v>20.0</v>
      </c>
      <c r="H26" s="85"/>
      <c r="I26" s="86">
        <f t="shared" si="1"/>
        <v>20</v>
      </c>
      <c r="J26" s="87">
        <f t="shared" si="13"/>
        <v>10</v>
      </c>
      <c r="K26" s="88">
        <f t="shared" si="2"/>
        <v>4</v>
      </c>
      <c r="L26" s="89" t="s">
        <v>33</v>
      </c>
      <c r="M26" s="90" t="s">
        <v>64</v>
      </c>
      <c r="N26" s="82"/>
      <c r="O26" s="82"/>
      <c r="P26" s="83"/>
      <c r="Q26" s="84">
        <v>1.0</v>
      </c>
      <c r="R26" s="91"/>
      <c r="S26" s="86">
        <f t="shared" si="3"/>
        <v>1</v>
      </c>
      <c r="T26" s="92">
        <f t="shared" si="4"/>
        <v>0</v>
      </c>
      <c r="U26" s="93">
        <f t="shared" si="5"/>
        <v>0</v>
      </c>
      <c r="V26" s="89" t="s">
        <v>33</v>
      </c>
      <c r="W26" s="90" t="s">
        <v>65</v>
      </c>
      <c r="X26" s="82"/>
      <c r="Y26" s="82"/>
      <c r="Z26" s="83"/>
      <c r="AA26" s="84">
        <v>10.0</v>
      </c>
      <c r="AB26" s="91"/>
      <c r="AC26" s="86">
        <f t="shared" si="6"/>
        <v>10</v>
      </c>
      <c r="AD26" s="92">
        <f t="shared" si="7"/>
        <v>5</v>
      </c>
      <c r="AE26" s="93">
        <f t="shared" si="8"/>
        <v>2</v>
      </c>
      <c r="AF26" s="89" t="s">
        <v>33</v>
      </c>
      <c r="AG26" s="90" t="s">
        <v>66</v>
      </c>
      <c r="AH26" s="82"/>
      <c r="AI26" s="82"/>
      <c r="AJ26" s="83"/>
      <c r="AK26" s="95">
        <v>5.0</v>
      </c>
      <c r="AL26" s="85"/>
      <c r="AM26" s="96">
        <f t="shared" si="9"/>
        <v>5</v>
      </c>
      <c r="AN26" s="87">
        <f t="shared" si="10"/>
        <v>2</v>
      </c>
      <c r="AO26" s="97">
        <f t="shared" si="11"/>
        <v>1</v>
      </c>
      <c r="AP26" s="60"/>
      <c r="AQ26" s="110" t="s">
        <v>67</v>
      </c>
      <c r="AR26" s="105"/>
      <c r="AS26" s="105"/>
      <c r="AT26" s="105"/>
      <c r="AU26" s="105"/>
      <c r="AV26" s="107"/>
      <c r="AW26" s="111">
        <f>IF(AND(V10&gt;V14,AD10&gt;V14),if(int(divide(L13,10))&gt;=4,12-int(divide(L13,10)),9),if(and(V10&lt;V14,AD10&lt;V14),if(int(divide(L13,10))&gt;=4,10-int(divide(L13,10)),7),if(int(divide(L13,10))&gt;=4,11-int(divide(L13,10)),8)))</f>
        <v>8</v>
      </c>
      <c r="AX26" s="105"/>
      <c r="AY26" s="105"/>
      <c r="AZ26" s="105"/>
      <c r="BA26" s="105"/>
      <c r="BB26" s="107"/>
      <c r="BC26" s="3"/>
    </row>
    <row r="27" ht="16.5" customHeight="1">
      <c r="A27" s="22"/>
      <c r="B27" s="100" t="s">
        <v>33</v>
      </c>
      <c r="C27" s="81" t="s">
        <v>68</v>
      </c>
      <c r="D27" s="82"/>
      <c r="E27" s="82"/>
      <c r="F27" s="83"/>
      <c r="G27" s="84">
        <v>1.0</v>
      </c>
      <c r="H27" s="91"/>
      <c r="I27" s="86">
        <f t="shared" si="1"/>
        <v>1</v>
      </c>
      <c r="J27" s="87">
        <f>int(DIVIDE(I27,2))</f>
        <v>0</v>
      </c>
      <c r="K27" s="88">
        <f t="shared" si="2"/>
        <v>0</v>
      </c>
      <c r="L27" s="89" t="s">
        <v>33</v>
      </c>
      <c r="M27" s="90" t="s">
        <v>69</v>
      </c>
      <c r="N27" s="82"/>
      <c r="O27" s="82"/>
      <c r="P27" s="83"/>
      <c r="Q27" s="84">
        <v>5.0</v>
      </c>
      <c r="R27" s="91"/>
      <c r="S27" s="86">
        <f t="shared" si="3"/>
        <v>5</v>
      </c>
      <c r="T27" s="92">
        <f t="shared" si="4"/>
        <v>2</v>
      </c>
      <c r="U27" s="93">
        <f t="shared" si="5"/>
        <v>1</v>
      </c>
      <c r="V27" s="89" t="s">
        <v>33</v>
      </c>
      <c r="W27" s="103" t="str">
        <f>"모국어"&amp;IF(ISBLANK(L14),"",":"&amp;L14)</f>
        <v>모국어</v>
      </c>
      <c r="X27" s="82"/>
      <c r="Y27" s="82"/>
      <c r="Z27" s="83"/>
      <c r="AA27" s="84">
        <f>(AL12*1)</f>
        <v>0</v>
      </c>
      <c r="AB27" s="91"/>
      <c r="AC27" s="86">
        <f t="shared" si="6"/>
        <v>0</v>
      </c>
      <c r="AD27" s="92">
        <f t="shared" si="7"/>
        <v>0</v>
      </c>
      <c r="AE27" s="93">
        <f t="shared" si="8"/>
        <v>0</v>
      </c>
      <c r="AF27" s="101" t="s">
        <v>33</v>
      </c>
      <c r="AG27" s="90" t="s">
        <v>70</v>
      </c>
      <c r="AH27" s="82"/>
      <c r="AI27" s="82"/>
      <c r="AJ27" s="83"/>
      <c r="AK27" s="95">
        <v>20.0</v>
      </c>
      <c r="AL27" s="85"/>
      <c r="AM27" s="96">
        <f t="shared" si="9"/>
        <v>20</v>
      </c>
      <c r="AN27" s="87">
        <f t="shared" si="10"/>
        <v>10</v>
      </c>
      <c r="AO27" s="97">
        <f t="shared" si="11"/>
        <v>4</v>
      </c>
      <c r="AP27" s="60"/>
      <c r="AQ27" s="549" t="s">
        <v>71</v>
      </c>
      <c r="AR27" s="5"/>
      <c r="AS27" s="5"/>
      <c r="AT27" s="7"/>
      <c r="AU27" s="113">
        <v>11.0</v>
      </c>
      <c r="AV27" s="5"/>
      <c r="AW27" s="5"/>
      <c r="AX27" s="7"/>
      <c r="AY27" s="550" t="s">
        <v>72</v>
      </c>
      <c r="AZ27" s="105"/>
      <c r="BA27" s="105"/>
      <c r="BB27" s="107"/>
      <c r="BC27" s="3"/>
    </row>
    <row r="28" ht="16.5" customHeight="1">
      <c r="A28" s="22"/>
      <c r="B28" s="100" t="s">
        <v>33</v>
      </c>
      <c r="C28" s="115" t="s">
        <v>73</v>
      </c>
      <c r="D28" s="82"/>
      <c r="E28" s="82"/>
      <c r="F28" s="83"/>
      <c r="G28" s="84">
        <v>1.0</v>
      </c>
      <c r="H28" s="91"/>
      <c r="I28" s="86">
        <f t="shared" si="1"/>
        <v>1</v>
      </c>
      <c r="J28" s="87">
        <f t="shared" ref="J28:J29" si="14">Int(DIVIDE(I28,2))</f>
        <v>0</v>
      </c>
      <c r="K28" s="88">
        <f t="shared" si="2"/>
        <v>0</v>
      </c>
      <c r="L28" s="89" t="s">
        <v>33</v>
      </c>
      <c r="M28" s="90" t="s">
        <v>74</v>
      </c>
      <c r="N28" s="82"/>
      <c r="O28" s="82"/>
      <c r="P28" s="83"/>
      <c r="Q28" s="84">
        <v>1.0</v>
      </c>
      <c r="R28" s="91"/>
      <c r="S28" s="86">
        <f t="shared" si="3"/>
        <v>1</v>
      </c>
      <c r="T28" s="92">
        <f t="shared" si="4"/>
        <v>0</v>
      </c>
      <c r="U28" s="93">
        <f t="shared" si="5"/>
        <v>0</v>
      </c>
      <c r="V28" s="89" t="s">
        <v>33</v>
      </c>
      <c r="W28" s="102" t="s">
        <v>168</v>
      </c>
      <c r="X28" s="82"/>
      <c r="Y28" s="82"/>
      <c r="Z28" s="83"/>
      <c r="AA28" s="84">
        <v>1.0</v>
      </c>
      <c r="AB28" s="85"/>
      <c r="AC28" s="86">
        <f t="shared" si="6"/>
        <v>1</v>
      </c>
      <c r="AD28" s="92">
        <f t="shared" si="7"/>
        <v>0</v>
      </c>
      <c r="AE28" s="93">
        <f t="shared" si="8"/>
        <v>0</v>
      </c>
      <c r="AF28" s="89" t="s">
        <v>33</v>
      </c>
      <c r="AG28" s="90" t="s">
        <v>76</v>
      </c>
      <c r="AH28" s="82"/>
      <c r="AI28" s="82"/>
      <c r="AJ28" s="83"/>
      <c r="AK28" s="95">
        <v>10.0</v>
      </c>
      <c r="AL28" s="85"/>
      <c r="AM28" s="96">
        <f t="shared" si="9"/>
        <v>10</v>
      </c>
      <c r="AN28" s="87">
        <f t="shared" si="10"/>
        <v>5</v>
      </c>
      <c r="AO28" s="97">
        <f t="shared" si="11"/>
        <v>2</v>
      </c>
      <c r="AP28" s="60"/>
      <c r="AQ28" s="10"/>
      <c r="AR28" s="11"/>
      <c r="AS28" s="11"/>
      <c r="AT28" s="12"/>
      <c r="AU28" s="10"/>
      <c r="AV28" s="11"/>
      <c r="AW28" s="11"/>
      <c r="AX28" s="12"/>
      <c r="AY28" s="551">
        <f>Int((V14+V12)/10)</f>
        <v>0</v>
      </c>
      <c r="AZ28" s="105"/>
      <c r="BA28" s="105"/>
      <c r="BB28" s="107"/>
      <c r="BC28" s="3"/>
    </row>
    <row r="29" ht="16.5" customHeight="1">
      <c r="A29" s="22"/>
      <c r="B29" s="100" t="s">
        <v>33</v>
      </c>
      <c r="C29" s="117"/>
      <c r="D29" s="82"/>
      <c r="E29" s="82"/>
      <c r="F29" s="83"/>
      <c r="G29" s="118"/>
      <c r="H29" s="85"/>
      <c r="I29" s="86">
        <f t="shared" si="1"/>
        <v>0</v>
      </c>
      <c r="J29" s="87">
        <f t="shared" si="14"/>
        <v>0</v>
      </c>
      <c r="K29" s="88">
        <f t="shared" si="2"/>
        <v>0</v>
      </c>
      <c r="L29" s="89" t="s">
        <v>33</v>
      </c>
      <c r="M29" s="90" t="s">
        <v>77</v>
      </c>
      <c r="N29" s="82"/>
      <c r="O29" s="82"/>
      <c r="P29" s="83"/>
      <c r="Q29" s="84">
        <v>5.0</v>
      </c>
      <c r="R29" s="91"/>
      <c r="S29" s="86">
        <f t="shared" si="3"/>
        <v>5</v>
      </c>
      <c r="T29" s="92">
        <f t="shared" si="4"/>
        <v>2</v>
      </c>
      <c r="U29" s="93">
        <f t="shared" si="5"/>
        <v>1</v>
      </c>
      <c r="V29" s="89" t="s">
        <v>33</v>
      </c>
      <c r="W29" s="103"/>
      <c r="X29" s="82"/>
      <c r="Y29" s="82"/>
      <c r="Z29" s="83"/>
      <c r="AA29" s="84"/>
      <c r="AB29" s="91"/>
      <c r="AC29" s="86">
        <f t="shared" si="6"/>
        <v>0</v>
      </c>
      <c r="AD29" s="92">
        <f t="shared" si="7"/>
        <v>0</v>
      </c>
      <c r="AE29" s="93">
        <f t="shared" si="8"/>
        <v>0</v>
      </c>
      <c r="AF29" s="89" t="s">
        <v>33</v>
      </c>
      <c r="AG29" s="90" t="s">
        <v>78</v>
      </c>
      <c r="AH29" s="82"/>
      <c r="AI29" s="82"/>
      <c r="AJ29" s="83"/>
      <c r="AK29" s="95">
        <v>1.0</v>
      </c>
      <c r="AL29" s="91"/>
      <c r="AM29" s="96">
        <f t="shared" si="9"/>
        <v>1</v>
      </c>
      <c r="AN29" s="87">
        <f t="shared" si="10"/>
        <v>0</v>
      </c>
      <c r="AO29" s="97">
        <f t="shared" si="11"/>
        <v>0</v>
      </c>
      <c r="AP29" s="28"/>
      <c r="AQ29" s="549" t="s">
        <v>79</v>
      </c>
      <c r="AR29" s="5"/>
      <c r="AS29" s="5"/>
      <c r="AT29" s="7"/>
      <c r="AU29" s="113">
        <v>12.0</v>
      </c>
      <c r="AV29" s="5"/>
      <c r="AW29" s="5"/>
      <c r="AX29" s="7"/>
      <c r="AY29" s="550" t="s">
        <v>80</v>
      </c>
      <c r="AZ29" s="105"/>
      <c r="BA29" s="105"/>
      <c r="BB29" s="107"/>
      <c r="BC29" s="3"/>
    </row>
    <row r="30" ht="16.5" customHeight="1">
      <c r="A30" s="22"/>
      <c r="B30" s="100" t="s">
        <v>33</v>
      </c>
      <c r="C30" s="81" t="s">
        <v>81</v>
      </c>
      <c r="D30" s="82"/>
      <c r="E30" s="82"/>
      <c r="F30" s="83"/>
      <c r="G30" s="95">
        <v>10.0</v>
      </c>
      <c r="H30" s="85"/>
      <c r="I30" s="86">
        <f t="shared" si="1"/>
        <v>10</v>
      </c>
      <c r="J30" s="87">
        <f>int(DIVIDE(I30,2))</f>
        <v>5</v>
      </c>
      <c r="K30" s="88">
        <f t="shared" si="2"/>
        <v>2</v>
      </c>
      <c r="L30" s="89" t="s">
        <v>33</v>
      </c>
      <c r="M30" s="121" t="s">
        <v>169</v>
      </c>
      <c r="N30" s="82"/>
      <c r="O30" s="82"/>
      <c r="P30" s="83"/>
      <c r="Q30" s="84">
        <v>5.0</v>
      </c>
      <c r="R30" s="85"/>
      <c r="S30" s="86">
        <f t="shared" si="3"/>
        <v>5</v>
      </c>
      <c r="T30" s="92">
        <f t="shared" si="4"/>
        <v>2</v>
      </c>
      <c r="U30" s="93">
        <f t="shared" si="5"/>
        <v>1</v>
      </c>
      <c r="V30" s="89" t="s">
        <v>33</v>
      </c>
      <c r="W30" s="90" t="s">
        <v>83</v>
      </c>
      <c r="X30" s="82"/>
      <c r="Y30" s="82"/>
      <c r="Z30" s="83"/>
      <c r="AA30" s="95">
        <v>20.0</v>
      </c>
      <c r="AB30" s="85"/>
      <c r="AC30" s="96">
        <f t="shared" si="6"/>
        <v>20</v>
      </c>
      <c r="AD30" s="87">
        <f t="shared" si="7"/>
        <v>10</v>
      </c>
      <c r="AE30" s="88">
        <f t="shared" si="8"/>
        <v>4</v>
      </c>
      <c r="AF30" s="89" t="s">
        <v>33</v>
      </c>
      <c r="AG30" s="103" t="s">
        <v>84</v>
      </c>
      <c r="AH30" s="82"/>
      <c r="AI30" s="82"/>
      <c r="AJ30" s="83"/>
      <c r="AK30" s="95">
        <v>20.0</v>
      </c>
      <c r="AL30" s="91"/>
      <c r="AM30" s="86">
        <f t="shared" si="9"/>
        <v>20</v>
      </c>
      <c r="AN30" s="92">
        <f t="shared" si="10"/>
        <v>10</v>
      </c>
      <c r="AO30" s="122">
        <f t="shared" si="11"/>
        <v>4</v>
      </c>
      <c r="AP30" s="28"/>
      <c r="AQ30" s="10"/>
      <c r="AR30" s="11"/>
      <c r="AS30" s="11"/>
      <c r="AT30" s="12"/>
      <c r="AU30" s="10"/>
      <c r="AV30" s="11"/>
      <c r="AW30" s="11"/>
      <c r="AX30" s="12"/>
      <c r="AY30" s="551">
        <f>int(AL10/5)</f>
        <v>0</v>
      </c>
      <c r="AZ30" s="105"/>
      <c r="BA30" s="105"/>
      <c r="BB30" s="107"/>
      <c r="BC30" s="3"/>
    </row>
    <row r="31" ht="16.5" customHeight="1">
      <c r="A31" s="22"/>
      <c r="B31" s="100" t="s">
        <v>33</v>
      </c>
      <c r="C31" s="81" t="s">
        <v>85</v>
      </c>
      <c r="D31" s="82"/>
      <c r="E31" s="82"/>
      <c r="F31" s="83"/>
      <c r="G31" s="95">
        <v>10.0</v>
      </c>
      <c r="H31" s="85"/>
      <c r="I31" s="86">
        <f t="shared" si="1"/>
        <v>10</v>
      </c>
      <c r="J31" s="87">
        <f t="shared" ref="J31:J36" si="15">Int(DIVIDE(I31,2))</f>
        <v>5</v>
      </c>
      <c r="K31" s="88">
        <f t="shared" si="2"/>
        <v>2</v>
      </c>
      <c r="L31" s="89" t="s">
        <v>33</v>
      </c>
      <c r="M31" s="121" t="s">
        <v>170</v>
      </c>
      <c r="N31" s="82"/>
      <c r="O31" s="82"/>
      <c r="P31" s="83"/>
      <c r="Q31" s="118">
        <v>0.0</v>
      </c>
      <c r="R31" s="85"/>
      <c r="S31" s="86">
        <f t="shared" si="3"/>
        <v>0</v>
      </c>
      <c r="T31" s="92">
        <f t="shared" si="4"/>
        <v>0</v>
      </c>
      <c r="U31" s="93">
        <f t="shared" si="5"/>
        <v>0</v>
      </c>
      <c r="V31" s="89" t="s">
        <v>33</v>
      </c>
      <c r="W31" s="103" t="s">
        <v>86</v>
      </c>
      <c r="X31" s="82"/>
      <c r="Y31" s="82"/>
      <c r="Z31" s="83"/>
      <c r="AA31" s="95">
        <v>25.0</v>
      </c>
      <c r="AB31" s="85"/>
      <c r="AC31" s="96">
        <f t="shared" si="6"/>
        <v>25</v>
      </c>
      <c r="AD31" s="87">
        <f t="shared" si="7"/>
        <v>12</v>
      </c>
      <c r="AE31" s="88">
        <f t="shared" si="8"/>
        <v>5</v>
      </c>
      <c r="AF31" s="89" t="s">
        <v>33</v>
      </c>
      <c r="AG31" s="103" t="s">
        <v>87</v>
      </c>
      <c r="AH31" s="82"/>
      <c r="AI31" s="82"/>
      <c r="AJ31" s="83"/>
      <c r="AK31" s="95">
        <v>25.0</v>
      </c>
      <c r="AL31" s="85"/>
      <c r="AM31" s="86">
        <f t="shared" si="9"/>
        <v>25</v>
      </c>
      <c r="AN31" s="92">
        <f t="shared" si="10"/>
        <v>12</v>
      </c>
      <c r="AO31" s="122">
        <f t="shared" si="11"/>
        <v>5</v>
      </c>
      <c r="AP31" s="28"/>
      <c r="AQ31" s="549" t="s">
        <v>88</v>
      </c>
      <c r="AR31" s="5"/>
      <c r="AS31" s="5"/>
      <c r="AT31" s="7"/>
      <c r="AU31" s="113">
        <v>60.0</v>
      </c>
      <c r="AV31" s="5"/>
      <c r="AW31" s="5"/>
      <c r="AX31" s="7"/>
      <c r="AY31" s="550" t="s">
        <v>89</v>
      </c>
      <c r="AZ31" s="107"/>
      <c r="BA31" s="550" t="s">
        <v>90</v>
      </c>
      <c r="BB31" s="107"/>
      <c r="BC31" s="3"/>
    </row>
    <row r="32" ht="16.5" customHeight="1">
      <c r="A32" s="22"/>
      <c r="B32" s="100" t="s">
        <v>33</v>
      </c>
      <c r="C32" s="81" t="s">
        <v>91</v>
      </c>
      <c r="D32" s="82"/>
      <c r="E32" s="82"/>
      <c r="F32" s="83"/>
      <c r="G32" s="95">
        <v>5.0</v>
      </c>
      <c r="H32" s="85"/>
      <c r="I32" s="86">
        <f t="shared" si="1"/>
        <v>5</v>
      </c>
      <c r="J32" s="87">
        <f t="shared" si="15"/>
        <v>2</v>
      </c>
      <c r="K32" s="88">
        <f t="shared" si="2"/>
        <v>1</v>
      </c>
      <c r="L32" s="89" t="s">
        <v>33</v>
      </c>
      <c r="M32" s="126" t="s">
        <v>92</v>
      </c>
      <c r="N32" s="82"/>
      <c r="O32" s="82"/>
      <c r="P32" s="83"/>
      <c r="Q32" s="95">
        <v>1.0</v>
      </c>
      <c r="R32" s="91"/>
      <c r="S32" s="86">
        <f t="shared" si="3"/>
        <v>1</v>
      </c>
      <c r="T32" s="92">
        <f t="shared" si="4"/>
        <v>0</v>
      </c>
      <c r="U32" s="93">
        <f t="shared" si="5"/>
        <v>0</v>
      </c>
      <c r="V32" s="89" t="s">
        <v>33</v>
      </c>
      <c r="W32" s="103" t="s">
        <v>93</v>
      </c>
      <c r="X32" s="82"/>
      <c r="Y32" s="82"/>
      <c r="Z32" s="83"/>
      <c r="AA32" s="95">
        <v>20.0</v>
      </c>
      <c r="AB32" s="91"/>
      <c r="AC32" s="96">
        <f t="shared" si="6"/>
        <v>20</v>
      </c>
      <c r="AD32" s="87">
        <f t="shared" si="7"/>
        <v>10</v>
      </c>
      <c r="AE32" s="88">
        <f t="shared" si="8"/>
        <v>4</v>
      </c>
      <c r="AF32" s="89" t="s">
        <v>33</v>
      </c>
      <c r="AG32" s="103" t="s">
        <v>94</v>
      </c>
      <c r="AH32" s="82"/>
      <c r="AI32" s="82"/>
      <c r="AJ32" s="83"/>
      <c r="AK32" s="95">
        <v>15.0</v>
      </c>
      <c r="AL32" s="91"/>
      <c r="AM32" s="86">
        <f t="shared" si="9"/>
        <v>15</v>
      </c>
      <c r="AN32" s="92">
        <f t="shared" si="10"/>
        <v>7</v>
      </c>
      <c r="AO32" s="122">
        <f t="shared" si="11"/>
        <v>3</v>
      </c>
      <c r="AP32" s="28"/>
      <c r="AQ32" s="10"/>
      <c r="AR32" s="11"/>
      <c r="AS32" s="11"/>
      <c r="AT32" s="12"/>
      <c r="AU32" s="10"/>
      <c r="AV32" s="11"/>
      <c r="AW32" s="11"/>
      <c r="AX32" s="12"/>
      <c r="AY32" s="551" t="str">
        <f>IF(AL10=0,"자동",MIN(AL10,BA32))</f>
        <v>자동</v>
      </c>
      <c r="AZ32" s="107"/>
      <c r="BA32" s="551">
        <f>99-AB19</f>
        <v>99</v>
      </c>
      <c r="BB32" s="107"/>
      <c r="BC32" s="3"/>
    </row>
    <row r="33" ht="16.5" customHeight="1">
      <c r="A33" s="22"/>
      <c r="B33" s="100" t="s">
        <v>33</v>
      </c>
      <c r="C33" s="81"/>
      <c r="D33" s="82"/>
      <c r="E33" s="82"/>
      <c r="F33" s="83"/>
      <c r="G33" s="84"/>
      <c r="H33" s="85"/>
      <c r="I33" s="86">
        <f t="shared" si="1"/>
        <v>0</v>
      </c>
      <c r="J33" s="87">
        <f t="shared" si="15"/>
        <v>0</v>
      </c>
      <c r="K33" s="88">
        <f t="shared" si="2"/>
        <v>0</v>
      </c>
      <c r="L33" s="89" t="s">
        <v>33</v>
      </c>
      <c r="M33" s="126" t="s">
        <v>95</v>
      </c>
      <c r="N33" s="82"/>
      <c r="O33" s="82"/>
      <c r="P33" s="83"/>
      <c r="Q33" s="95">
        <v>5.0</v>
      </c>
      <c r="R33" s="85"/>
      <c r="S33" s="86">
        <f t="shared" si="3"/>
        <v>5</v>
      </c>
      <c r="T33" s="92">
        <f t="shared" si="4"/>
        <v>2</v>
      </c>
      <c r="U33" s="93">
        <f t="shared" si="5"/>
        <v>1</v>
      </c>
      <c r="V33" s="89" t="s">
        <v>33</v>
      </c>
      <c r="W33" s="103" t="s">
        <v>96</v>
      </c>
      <c r="X33" s="82"/>
      <c r="Y33" s="82"/>
      <c r="Z33" s="83"/>
      <c r="AA33" s="95">
        <v>15.0</v>
      </c>
      <c r="AB33" s="91"/>
      <c r="AC33" s="96">
        <f t="shared" si="6"/>
        <v>15</v>
      </c>
      <c r="AD33" s="87">
        <f t="shared" si="7"/>
        <v>7</v>
      </c>
      <c r="AE33" s="88">
        <f t="shared" si="8"/>
        <v>3</v>
      </c>
      <c r="AF33" s="89" t="s">
        <v>33</v>
      </c>
      <c r="AG33" s="103" t="s">
        <v>97</v>
      </c>
      <c r="AH33" s="82"/>
      <c r="AI33" s="82"/>
      <c r="AJ33" s="83"/>
      <c r="AK33" s="95">
        <v>10.0</v>
      </c>
      <c r="AL33" s="91"/>
      <c r="AM33" s="86">
        <f t="shared" si="9"/>
        <v>10</v>
      </c>
      <c r="AN33" s="92">
        <f t="shared" si="10"/>
        <v>5</v>
      </c>
      <c r="AO33" s="122">
        <f t="shared" si="11"/>
        <v>2</v>
      </c>
      <c r="AP33" s="28"/>
      <c r="AQ33" s="128" t="s">
        <v>98</v>
      </c>
      <c r="AR33" s="5"/>
      <c r="AS33" s="5"/>
      <c r="AT33" s="7"/>
      <c r="AU33" s="129" t="s">
        <v>33</v>
      </c>
      <c r="AV33" s="7"/>
      <c r="AW33" s="130" t="s">
        <v>99</v>
      </c>
      <c r="AX33" s="5"/>
      <c r="AY33" s="5"/>
      <c r="AZ33" s="7"/>
      <c r="BA33" s="131" t="s">
        <v>33</v>
      </c>
      <c r="BB33" s="7"/>
      <c r="BC33" s="3"/>
    </row>
    <row r="34" ht="16.5" customHeight="1">
      <c r="A34" s="22"/>
      <c r="B34" s="100" t="s">
        <v>33</v>
      </c>
      <c r="C34" s="81"/>
      <c r="D34" s="82"/>
      <c r="E34" s="82"/>
      <c r="F34" s="83"/>
      <c r="G34" s="84"/>
      <c r="H34" s="91"/>
      <c r="I34" s="86">
        <f t="shared" si="1"/>
        <v>0</v>
      </c>
      <c r="J34" s="87">
        <f t="shared" si="15"/>
        <v>0</v>
      </c>
      <c r="K34" s="88">
        <f t="shared" si="2"/>
        <v>0</v>
      </c>
      <c r="L34" s="89" t="s">
        <v>33</v>
      </c>
      <c r="M34" s="126" t="s">
        <v>100</v>
      </c>
      <c r="N34" s="82"/>
      <c r="O34" s="82"/>
      <c r="P34" s="83"/>
      <c r="Q34" s="95">
        <v>1.0</v>
      </c>
      <c r="R34" s="91"/>
      <c r="S34" s="86">
        <f t="shared" si="3"/>
        <v>1</v>
      </c>
      <c r="T34" s="92">
        <f t="shared" si="4"/>
        <v>0</v>
      </c>
      <c r="U34" s="93">
        <f t="shared" si="5"/>
        <v>0</v>
      </c>
      <c r="V34" s="89" t="s">
        <v>33</v>
      </c>
      <c r="W34" s="103" t="s">
        <v>101</v>
      </c>
      <c r="X34" s="82"/>
      <c r="Y34" s="82"/>
      <c r="Z34" s="83"/>
      <c r="AA34" s="95">
        <v>20.0</v>
      </c>
      <c r="AB34" s="91"/>
      <c r="AC34" s="96">
        <f t="shared" si="6"/>
        <v>20</v>
      </c>
      <c r="AD34" s="87">
        <f t="shared" si="7"/>
        <v>10</v>
      </c>
      <c r="AE34" s="88">
        <f t="shared" si="8"/>
        <v>4</v>
      </c>
      <c r="AF34" s="89" t="s">
        <v>33</v>
      </c>
      <c r="AG34" s="103" t="s">
        <v>102</v>
      </c>
      <c r="AH34" s="82"/>
      <c r="AI34" s="82"/>
      <c r="AJ34" s="83"/>
      <c r="AK34" s="95">
        <v>15.0</v>
      </c>
      <c r="AL34" s="91"/>
      <c r="AM34" s="86">
        <f t="shared" si="9"/>
        <v>15</v>
      </c>
      <c r="AN34" s="92">
        <f t="shared" si="10"/>
        <v>7</v>
      </c>
      <c r="AO34" s="122">
        <f t="shared" si="11"/>
        <v>3</v>
      </c>
      <c r="AP34" s="28"/>
      <c r="AQ34" s="10"/>
      <c r="AR34" s="11"/>
      <c r="AS34" s="11"/>
      <c r="AT34" s="12"/>
      <c r="AU34" s="10"/>
      <c r="AV34" s="12"/>
      <c r="AW34" s="10"/>
      <c r="AX34" s="11"/>
      <c r="AY34" s="11"/>
      <c r="AZ34" s="12"/>
      <c r="BA34" s="10"/>
      <c r="BB34" s="12"/>
      <c r="BC34" s="3"/>
    </row>
    <row r="35" ht="16.5" customHeight="1">
      <c r="A35" s="22"/>
      <c r="B35" s="100" t="s">
        <v>33</v>
      </c>
      <c r="C35" s="132" t="s">
        <v>103</v>
      </c>
      <c r="D35" s="82"/>
      <c r="E35" s="82"/>
      <c r="F35" s="83"/>
      <c r="G35" s="84">
        <v>1.0</v>
      </c>
      <c r="H35" s="91"/>
      <c r="I35" s="86">
        <f t="shared" si="1"/>
        <v>1</v>
      </c>
      <c r="J35" s="87">
        <f t="shared" si="15"/>
        <v>0</v>
      </c>
      <c r="K35" s="88">
        <f t="shared" si="2"/>
        <v>0</v>
      </c>
      <c r="L35" s="89" t="s">
        <v>33</v>
      </c>
      <c r="M35" s="126" t="s">
        <v>104</v>
      </c>
      <c r="N35" s="82"/>
      <c r="O35" s="82"/>
      <c r="P35" s="83"/>
      <c r="Q35" s="95">
        <v>1.0</v>
      </c>
      <c r="R35" s="91"/>
      <c r="S35" s="86">
        <f t="shared" si="3"/>
        <v>1</v>
      </c>
      <c r="T35" s="92">
        <f t="shared" si="4"/>
        <v>0</v>
      </c>
      <c r="U35" s="93">
        <f t="shared" si="5"/>
        <v>0</v>
      </c>
      <c r="V35" s="89" t="s">
        <v>33</v>
      </c>
      <c r="W35" s="103" t="s">
        <v>105</v>
      </c>
      <c r="X35" s="82"/>
      <c r="Y35" s="82"/>
      <c r="Z35" s="83"/>
      <c r="AA35" s="95">
        <v>5.0</v>
      </c>
      <c r="AB35" s="91"/>
      <c r="AC35" s="96">
        <f t="shared" si="6"/>
        <v>5</v>
      </c>
      <c r="AD35" s="87">
        <f t="shared" si="7"/>
        <v>2</v>
      </c>
      <c r="AE35" s="88">
        <f t="shared" si="8"/>
        <v>1</v>
      </c>
      <c r="AF35" s="89" t="s">
        <v>33</v>
      </c>
      <c r="AG35" s="103" t="s">
        <v>106</v>
      </c>
      <c r="AH35" s="82"/>
      <c r="AI35" s="82"/>
      <c r="AJ35" s="83"/>
      <c r="AK35" s="95">
        <v>10.0</v>
      </c>
      <c r="AL35" s="91"/>
      <c r="AM35" s="96">
        <f t="shared" si="9"/>
        <v>10</v>
      </c>
      <c r="AN35" s="87">
        <f t="shared" si="10"/>
        <v>5</v>
      </c>
      <c r="AO35" s="97">
        <f t="shared" si="11"/>
        <v>2</v>
      </c>
      <c r="AP35" s="28"/>
      <c r="AQ35" s="133" t="s">
        <v>107</v>
      </c>
      <c r="AR35" s="5"/>
      <c r="AS35" s="5"/>
      <c r="AT35" s="7"/>
      <c r="AU35" s="134" t="s">
        <v>33</v>
      </c>
      <c r="AV35" s="7"/>
      <c r="AW35" s="135" t="s">
        <v>108</v>
      </c>
      <c r="AX35" s="5"/>
      <c r="AY35" s="5"/>
      <c r="AZ35" s="7"/>
      <c r="BA35" s="136" t="s">
        <v>33</v>
      </c>
      <c r="BB35" s="7"/>
      <c r="BC35" s="3"/>
    </row>
    <row r="36" ht="16.5" customHeight="1">
      <c r="A36" s="22"/>
      <c r="B36" s="137" t="s">
        <v>33</v>
      </c>
      <c r="C36" s="138" t="s">
        <v>109</v>
      </c>
      <c r="D36" s="139"/>
      <c r="E36" s="139"/>
      <c r="F36" s="140"/>
      <c r="G36" s="141">
        <v>1.0</v>
      </c>
      <c r="H36" s="142"/>
      <c r="I36" s="143">
        <f t="shared" si="1"/>
        <v>1</v>
      </c>
      <c r="J36" s="144">
        <f t="shared" si="15"/>
        <v>0</v>
      </c>
      <c r="K36" s="145">
        <f t="shared" si="2"/>
        <v>0</v>
      </c>
      <c r="L36" s="146" t="s">
        <v>33</v>
      </c>
      <c r="M36" s="147" t="s">
        <v>110</v>
      </c>
      <c r="N36" s="139"/>
      <c r="O36" s="139"/>
      <c r="P36" s="140"/>
      <c r="Q36" s="148">
        <v>1.0</v>
      </c>
      <c r="R36" s="142"/>
      <c r="S36" s="143">
        <f t="shared" si="3"/>
        <v>1</v>
      </c>
      <c r="T36" s="149">
        <f t="shared" si="4"/>
        <v>0</v>
      </c>
      <c r="U36" s="150">
        <f t="shared" si="5"/>
        <v>0</v>
      </c>
      <c r="V36" s="146" t="s">
        <v>33</v>
      </c>
      <c r="W36" s="151" t="s">
        <v>111</v>
      </c>
      <c r="X36" s="139"/>
      <c r="Y36" s="139"/>
      <c r="Z36" s="140"/>
      <c r="AA36" s="141">
        <v>10.0</v>
      </c>
      <c r="AB36" s="142"/>
      <c r="AC36" s="143">
        <f t="shared" si="6"/>
        <v>10</v>
      </c>
      <c r="AD36" s="149">
        <f t="shared" si="7"/>
        <v>5</v>
      </c>
      <c r="AE36" s="150">
        <f t="shared" si="8"/>
        <v>2</v>
      </c>
      <c r="AF36" s="146" t="s">
        <v>33</v>
      </c>
      <c r="AG36" s="151" t="s">
        <v>112</v>
      </c>
      <c r="AH36" s="139"/>
      <c r="AI36" s="139"/>
      <c r="AJ36" s="140"/>
      <c r="AK36" s="148">
        <v>10.0</v>
      </c>
      <c r="AL36" s="142"/>
      <c r="AM36" s="152">
        <f t="shared" si="9"/>
        <v>10</v>
      </c>
      <c r="AN36" s="144">
        <f t="shared" si="10"/>
        <v>5</v>
      </c>
      <c r="AO36" s="153">
        <f t="shared" si="11"/>
        <v>2</v>
      </c>
      <c r="AP36" s="28"/>
      <c r="AQ36" s="10"/>
      <c r="AR36" s="11"/>
      <c r="AS36" s="11"/>
      <c r="AT36" s="12"/>
      <c r="AU36" s="10"/>
      <c r="AV36" s="12"/>
      <c r="AW36" s="10"/>
      <c r="AX36" s="11"/>
      <c r="AY36" s="11"/>
      <c r="AZ36" s="12"/>
      <c r="BA36" s="10"/>
      <c r="BB36" s="12"/>
      <c r="BC36" s="3"/>
    </row>
    <row r="37" ht="15.0" customHeight="1">
      <c r="A37" s="2"/>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3"/>
      <c r="AD37" s="53"/>
      <c r="AE37" s="53"/>
      <c r="AF37" s="53"/>
      <c r="AG37" s="53"/>
      <c r="AH37" s="53"/>
      <c r="AI37" s="53"/>
      <c r="AJ37" s="53"/>
      <c r="AK37" s="53"/>
      <c r="AL37" s="53"/>
      <c r="AM37" s="53"/>
      <c r="AN37" s="53"/>
      <c r="AO37" s="53"/>
      <c r="AP37" s="3"/>
      <c r="AQ37" s="8"/>
      <c r="AR37" s="8"/>
      <c r="AS37" s="8"/>
      <c r="AT37" s="8"/>
      <c r="AU37" s="8"/>
      <c r="AV37" s="8"/>
      <c r="AW37" s="8"/>
      <c r="AX37" s="8"/>
      <c r="AY37" s="8"/>
      <c r="AZ37" s="8"/>
      <c r="BA37" s="8"/>
      <c r="BB37" s="8"/>
      <c r="BC37" s="3"/>
    </row>
    <row r="38" ht="13.5" customHeight="1">
      <c r="A38" s="22"/>
      <c r="B38" s="552" t="s">
        <v>113</v>
      </c>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5"/>
      <c r="AP38" s="28"/>
      <c r="AQ38" s="154" t="s">
        <v>15</v>
      </c>
      <c r="AR38" s="5"/>
      <c r="AS38" s="5"/>
      <c r="AT38" s="5"/>
      <c r="AU38" s="5"/>
      <c r="AV38" s="5"/>
      <c r="AW38" s="5"/>
      <c r="AX38" s="5"/>
      <c r="AY38" s="5"/>
      <c r="AZ38" s="5"/>
      <c r="BA38" s="5"/>
      <c r="BB38" s="7"/>
      <c r="BC38" s="3"/>
    </row>
    <row r="39" ht="13.5" customHeight="1">
      <c r="A39" s="22"/>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2"/>
      <c r="AP39" s="28"/>
      <c r="AQ39" s="10"/>
      <c r="AR39" s="11"/>
      <c r="AS39" s="11"/>
      <c r="AT39" s="11"/>
      <c r="AU39" s="11"/>
      <c r="AV39" s="11"/>
      <c r="AW39" s="11"/>
      <c r="AX39" s="11"/>
      <c r="AY39" s="11"/>
      <c r="AZ39" s="11"/>
      <c r="BA39" s="11"/>
      <c r="BB39" s="12"/>
      <c r="BC39" s="3"/>
    </row>
    <row r="40" ht="13.5" customHeight="1">
      <c r="A40" s="22"/>
      <c r="B40" s="553" t="s">
        <v>113</v>
      </c>
      <c r="C40" s="34"/>
      <c r="D40" s="34"/>
      <c r="E40" s="34"/>
      <c r="F40" s="34"/>
      <c r="G40" s="34"/>
      <c r="H40" s="34"/>
      <c r="I40" s="35"/>
      <c r="J40" s="553" t="s">
        <v>114</v>
      </c>
      <c r="K40" s="34"/>
      <c r="L40" s="35"/>
      <c r="M40" s="553" t="s">
        <v>115</v>
      </c>
      <c r="N40" s="34"/>
      <c r="O40" s="35"/>
      <c r="P40" s="553" t="s">
        <v>116</v>
      </c>
      <c r="Q40" s="34"/>
      <c r="R40" s="35"/>
      <c r="S40" s="553" t="s">
        <v>117</v>
      </c>
      <c r="T40" s="34"/>
      <c r="U40" s="34"/>
      <c r="V40" s="34"/>
      <c r="W40" s="34"/>
      <c r="X40" s="35"/>
      <c r="Y40" s="553" t="s">
        <v>118</v>
      </c>
      <c r="Z40" s="34"/>
      <c r="AA40" s="34"/>
      <c r="AB40" s="35"/>
      <c r="AC40" s="553" t="s">
        <v>119</v>
      </c>
      <c r="AD40" s="34"/>
      <c r="AE40" s="34"/>
      <c r="AF40" s="34"/>
      <c r="AG40" s="35"/>
      <c r="AH40" s="553" t="s">
        <v>120</v>
      </c>
      <c r="AI40" s="34"/>
      <c r="AJ40" s="34"/>
      <c r="AK40" s="35"/>
      <c r="AL40" s="553" t="s">
        <v>121</v>
      </c>
      <c r="AM40" s="34"/>
      <c r="AN40" s="34"/>
      <c r="AO40" s="35"/>
      <c r="AP40" s="28"/>
      <c r="AQ40" s="156"/>
      <c r="AR40" s="157"/>
      <c r="AS40" s="157"/>
      <c r="AT40" s="157"/>
      <c r="AU40" s="157"/>
      <c r="AV40" s="157"/>
      <c r="AW40" s="157"/>
      <c r="AX40" s="157"/>
      <c r="AY40" s="157"/>
      <c r="AZ40" s="157"/>
      <c r="BA40" s="157"/>
      <c r="BB40" s="158"/>
      <c r="BC40" s="3"/>
    </row>
    <row r="41" ht="13.5" customHeight="1">
      <c r="A41" s="2"/>
      <c r="B41" s="159" t="s">
        <v>122</v>
      </c>
      <c r="I41" s="160"/>
      <c r="J41" s="161">
        <v>25.0</v>
      </c>
      <c r="M41" s="161">
        <f t="shared" ref="M41:M47" si="16">Int(DIVIDE(J41,2))</f>
        <v>12</v>
      </c>
      <c r="O41" s="160"/>
      <c r="P41" s="161">
        <f t="shared" ref="P41:P47" si="17">Int(DIVIDE(J41,5))</f>
        <v>5</v>
      </c>
      <c r="R41" s="160"/>
      <c r="S41" s="162" t="s">
        <v>123</v>
      </c>
      <c r="X41" s="160"/>
      <c r="Y41" s="161" t="s">
        <v>124</v>
      </c>
      <c r="AB41" s="160"/>
      <c r="AC41" s="161">
        <v>1.0</v>
      </c>
      <c r="AG41" s="160"/>
      <c r="AH41" s="161" t="s">
        <v>124</v>
      </c>
      <c r="AK41" s="160"/>
      <c r="AL41" s="161" t="s">
        <v>124</v>
      </c>
      <c r="AO41" s="15"/>
      <c r="AP41" s="3"/>
      <c r="AQ41" s="163" t="str">
        <f>IF(S19=0,"무일푼, 노숙.",(IF(AND(1&lt;=S19,10&gt;S19),"가난, 최소한의 재산만 소유.",IF(AND(10&lt;=S19,50&gt;S19),"보통, 적당히 안락한 생활.",(IF(AND(50&lt;=S19,90&gt;S19),"부유, 약간의 사치 가능.",(IF(AND(90&lt;=S19,99&gt;S19),"자산가, 막대한 부와 사치.",(IF(S19=99,"갑부, 돈은 문제가 되지 않는 수준."))))))))))</f>
        <v>무일푼, 노숙.</v>
      </c>
      <c r="AR41" s="164"/>
      <c r="AS41" s="164"/>
      <c r="AT41" s="164"/>
      <c r="AU41" s="164"/>
      <c r="AV41" s="164"/>
      <c r="AW41" s="164"/>
      <c r="AX41" s="164"/>
      <c r="AY41" s="164"/>
      <c r="AZ41" s="164"/>
      <c r="BA41" s="164"/>
      <c r="BB41" s="165"/>
      <c r="BC41" s="3"/>
    </row>
    <row r="42" ht="13.5" customHeight="1">
      <c r="A42" s="22"/>
      <c r="B42" s="166"/>
      <c r="C42" s="167"/>
      <c r="D42" s="167"/>
      <c r="E42" s="167"/>
      <c r="F42" s="167"/>
      <c r="G42" s="167"/>
      <c r="H42" s="167"/>
      <c r="I42" s="168"/>
      <c r="J42" s="169"/>
      <c r="K42" s="167"/>
      <c r="L42" s="168"/>
      <c r="M42" s="170">
        <f t="shared" si="16"/>
        <v>0</v>
      </c>
      <c r="N42" s="167"/>
      <c r="O42" s="168"/>
      <c r="P42" s="170">
        <f t="shared" si="17"/>
        <v>0</v>
      </c>
      <c r="Q42" s="167"/>
      <c r="R42" s="168"/>
      <c r="S42" s="171"/>
      <c r="T42" s="167"/>
      <c r="U42" s="167"/>
      <c r="V42" s="167"/>
      <c r="W42" s="167"/>
      <c r="X42" s="168"/>
      <c r="Y42" s="169"/>
      <c r="Z42" s="167"/>
      <c r="AA42" s="167"/>
      <c r="AB42" s="168"/>
      <c r="AC42" s="169"/>
      <c r="AD42" s="167"/>
      <c r="AE42" s="167"/>
      <c r="AF42" s="167"/>
      <c r="AG42" s="168"/>
      <c r="AH42" s="169"/>
      <c r="AI42" s="167"/>
      <c r="AJ42" s="167"/>
      <c r="AK42" s="168"/>
      <c r="AL42" s="169"/>
      <c r="AM42" s="167"/>
      <c r="AN42" s="167"/>
      <c r="AO42" s="172"/>
      <c r="AP42" s="28"/>
      <c r="AQ42" s="163" t="str">
        <f>IF(V10=0,"서있거나 컵을 들 힘조차 없음.",(IF(AND(1&lt;=V10,30&gt;V10),"힘없고 허약한 사람.",IF(AND(30&lt;=V10,70&gt;V10),"평균적 근력의 소유자.",(IF(AND(70&lt;=V10,85&gt;V10),"근력이 좋은 사람.",(IF(AND(85&lt;=V10,99&gt;V10),"보기 드물게 강한 사람.",(IF(V10=99,"인간의 한계에 다다른 강한 근력."))))))))))</f>
        <v>서있거나 컵을 들 힘조차 없음.</v>
      </c>
      <c r="AR42" s="164"/>
      <c r="AS42" s="164"/>
      <c r="AT42" s="164"/>
      <c r="AU42" s="164"/>
      <c r="AV42" s="164"/>
      <c r="AW42" s="164"/>
      <c r="AX42" s="164"/>
      <c r="AY42" s="164"/>
      <c r="AZ42" s="164"/>
      <c r="BA42" s="164"/>
      <c r="BB42" s="165"/>
      <c r="BC42" s="3"/>
    </row>
    <row r="43" ht="13.5" customHeight="1">
      <c r="A43" s="22"/>
      <c r="B43" s="173"/>
      <c r="C43" s="167"/>
      <c r="D43" s="167"/>
      <c r="E43" s="167"/>
      <c r="F43" s="167"/>
      <c r="G43" s="167"/>
      <c r="H43" s="167"/>
      <c r="I43" s="168"/>
      <c r="J43" s="169"/>
      <c r="K43" s="167"/>
      <c r="L43" s="168"/>
      <c r="M43" s="170">
        <f t="shared" si="16"/>
        <v>0</v>
      </c>
      <c r="N43" s="167"/>
      <c r="O43" s="168"/>
      <c r="P43" s="170">
        <f t="shared" si="17"/>
        <v>0</v>
      </c>
      <c r="Q43" s="167"/>
      <c r="R43" s="168"/>
      <c r="S43" s="169"/>
      <c r="T43" s="167"/>
      <c r="U43" s="167"/>
      <c r="V43" s="167"/>
      <c r="W43" s="167"/>
      <c r="X43" s="168"/>
      <c r="Y43" s="169"/>
      <c r="Z43" s="167"/>
      <c r="AA43" s="167"/>
      <c r="AB43" s="168"/>
      <c r="AC43" s="169"/>
      <c r="AD43" s="167"/>
      <c r="AE43" s="167"/>
      <c r="AF43" s="167"/>
      <c r="AG43" s="168"/>
      <c r="AH43" s="169"/>
      <c r="AI43" s="167"/>
      <c r="AJ43" s="167"/>
      <c r="AK43" s="168"/>
      <c r="AL43" s="169"/>
      <c r="AM43" s="167"/>
      <c r="AN43" s="167"/>
      <c r="AO43" s="172"/>
      <c r="AP43" s="28"/>
      <c r="AQ43" s="163" t="str">
        <f>IF(V12=0,"산 송장.",(IF(AND(1&lt;=V12,10&gt;V12),"병자. 혼자 움직일 수 없음.",(IF(AND(10&lt;=V12,30&gt;V12),"건강 나쁨. 면역력이 아주 약하다.",IF(AND(30&lt;=V12,70&gt;V12),"평균적으로 건강한 사람.",(IF(AND(70&lt;=V12,99&gt;V12),"잔병치레 없는 수준의 건강함.",(IF(V12=99,"철의 인간, 엄청나게 건강."))))))))))</f>
        <v>산 송장.</v>
      </c>
      <c r="AR43" s="164"/>
      <c r="AS43" s="164"/>
      <c r="AT43" s="164"/>
      <c r="AU43" s="164"/>
      <c r="AV43" s="164"/>
      <c r="AW43" s="164"/>
      <c r="AX43" s="164"/>
      <c r="AY43" s="164"/>
      <c r="AZ43" s="164"/>
      <c r="BA43" s="164"/>
      <c r="BB43" s="165"/>
      <c r="BC43" s="3"/>
    </row>
    <row r="44" ht="13.5" customHeight="1">
      <c r="A44" s="22"/>
      <c r="B44" s="173"/>
      <c r="C44" s="167"/>
      <c r="D44" s="167"/>
      <c r="E44" s="167"/>
      <c r="F44" s="167"/>
      <c r="G44" s="167"/>
      <c r="H44" s="167"/>
      <c r="I44" s="168"/>
      <c r="J44" s="169"/>
      <c r="K44" s="167"/>
      <c r="L44" s="168"/>
      <c r="M44" s="174">
        <f t="shared" si="16"/>
        <v>0</v>
      </c>
      <c r="N44" s="167"/>
      <c r="O44" s="168"/>
      <c r="P44" s="174">
        <f t="shared" si="17"/>
        <v>0</v>
      </c>
      <c r="Q44" s="167"/>
      <c r="R44" s="168"/>
      <c r="S44" s="169"/>
      <c r="T44" s="167"/>
      <c r="U44" s="167"/>
      <c r="V44" s="167"/>
      <c r="W44" s="167"/>
      <c r="X44" s="168"/>
      <c r="Y44" s="169"/>
      <c r="Z44" s="167"/>
      <c r="AA44" s="167"/>
      <c r="AB44" s="168"/>
      <c r="AC44" s="169"/>
      <c r="AD44" s="167"/>
      <c r="AE44" s="167"/>
      <c r="AF44" s="167"/>
      <c r="AG44" s="168"/>
      <c r="AH44" s="169"/>
      <c r="AI44" s="167"/>
      <c r="AJ44" s="167"/>
      <c r="AK44" s="168"/>
      <c r="AL44" s="169"/>
      <c r="AM44" s="167"/>
      <c r="AN44" s="167"/>
      <c r="AO44" s="172"/>
      <c r="AP44" s="28"/>
      <c r="AQ44" s="163" t="str">
        <f>IF(AL12=0,"갓난아기 수준의 교육.",(IF(AND(1&lt;=AL12,30&gt;AL12),"제대로 된 교육을 받지 못했다.",IF(AND(30&lt;=AL12,70&gt;AL12),"평균적인 수준의 교육을 받음.",(IF(AND(70&lt;=AL12,85&gt;AL12),"대졸 수준 이상의 교육을 받음.",(IF(AND(85&lt;=AL12,99&gt;AL12),"교육받은 분야의 전문가.",(IF(AL12=99,"세계적으로 저명한 엘리트."))))))))))</f>
        <v>갓난아기 수준의 교육.</v>
      </c>
      <c r="AR44" s="164"/>
      <c r="AS44" s="164"/>
      <c r="AT44" s="164"/>
      <c r="AU44" s="164"/>
      <c r="AV44" s="164"/>
      <c r="AW44" s="164"/>
      <c r="AX44" s="164"/>
      <c r="AY44" s="164"/>
      <c r="AZ44" s="164"/>
      <c r="BA44" s="164"/>
      <c r="BB44" s="165"/>
      <c r="BC44" s="3"/>
    </row>
    <row r="45" ht="13.5" customHeight="1">
      <c r="A45" s="22"/>
      <c r="B45" s="173"/>
      <c r="C45" s="167"/>
      <c r="D45" s="167"/>
      <c r="E45" s="167"/>
      <c r="F45" s="167"/>
      <c r="G45" s="167"/>
      <c r="H45" s="167"/>
      <c r="I45" s="168"/>
      <c r="J45" s="169"/>
      <c r="K45" s="167"/>
      <c r="L45" s="168"/>
      <c r="M45" s="174">
        <f t="shared" si="16"/>
        <v>0</v>
      </c>
      <c r="N45" s="167"/>
      <c r="O45" s="168"/>
      <c r="P45" s="174">
        <f t="shared" si="17"/>
        <v>0</v>
      </c>
      <c r="Q45" s="167"/>
      <c r="R45" s="168"/>
      <c r="S45" s="169"/>
      <c r="T45" s="167"/>
      <c r="U45" s="167"/>
      <c r="V45" s="167"/>
      <c r="W45" s="167"/>
      <c r="X45" s="168"/>
      <c r="Y45" s="169"/>
      <c r="Z45" s="167"/>
      <c r="AA45" s="167"/>
      <c r="AB45" s="168"/>
      <c r="AC45" s="169"/>
      <c r="AD45" s="167"/>
      <c r="AE45" s="167"/>
      <c r="AF45" s="167"/>
      <c r="AG45" s="168"/>
      <c r="AH45" s="169"/>
      <c r="AI45" s="167"/>
      <c r="AJ45" s="167"/>
      <c r="AK45" s="168"/>
      <c r="AL45" s="169"/>
      <c r="AM45" s="167"/>
      <c r="AN45" s="167"/>
      <c r="AO45" s="172"/>
      <c r="AP45" s="28"/>
      <c r="AQ45" s="163" t="str">
        <f>IF(AD10=0,"도움이 없이는 움직일 수 없다.",(IF(AND(1&lt;=AD10,30&gt;AD10),"느리고 덤벙대며 둔하다.",IF(AND(30&lt;=AD10,70&gt;AD10),"일반 사람의 민첩성.",(IF(AND(70&lt;=AD10,85&gt;AD10),"민첩하고 반응속도가 빠른 사람.",(IF(AND(85&lt;=AD10,99&gt;AD10),"국가대표 체조 선수 수준의 민첩성.",(IF(AD10=99,"세계 최고 민첩성의 소유자."))))))))))</f>
        <v>도움이 없이는 움직일 수 없다.</v>
      </c>
      <c r="AR45" s="164"/>
      <c r="AS45" s="164"/>
      <c r="AT45" s="164"/>
      <c r="AU45" s="164"/>
      <c r="AV45" s="164"/>
      <c r="AW45" s="164"/>
      <c r="AX45" s="164"/>
      <c r="AY45" s="164"/>
      <c r="AZ45" s="164"/>
      <c r="BA45" s="164"/>
      <c r="BB45" s="165"/>
      <c r="BC45" s="3"/>
    </row>
    <row r="46" ht="13.5" customHeight="1">
      <c r="A46" s="22"/>
      <c r="B46" s="173"/>
      <c r="C46" s="167"/>
      <c r="D46" s="167"/>
      <c r="E46" s="167"/>
      <c r="F46" s="167"/>
      <c r="G46" s="167"/>
      <c r="H46" s="167"/>
      <c r="I46" s="168"/>
      <c r="J46" s="169"/>
      <c r="K46" s="167"/>
      <c r="L46" s="168"/>
      <c r="M46" s="174">
        <f t="shared" si="16"/>
        <v>0</v>
      </c>
      <c r="N46" s="167"/>
      <c r="O46" s="168"/>
      <c r="P46" s="174">
        <f t="shared" si="17"/>
        <v>0</v>
      </c>
      <c r="Q46" s="167"/>
      <c r="R46" s="168"/>
      <c r="S46" s="169"/>
      <c r="T46" s="167"/>
      <c r="U46" s="167"/>
      <c r="V46" s="167"/>
      <c r="W46" s="167"/>
      <c r="X46" s="168"/>
      <c r="Y46" s="169"/>
      <c r="Z46" s="167"/>
      <c r="AA46" s="167"/>
      <c r="AB46" s="168"/>
      <c r="AC46" s="169"/>
      <c r="AD46" s="167"/>
      <c r="AE46" s="167"/>
      <c r="AF46" s="167"/>
      <c r="AG46" s="168"/>
      <c r="AH46" s="169"/>
      <c r="AI46" s="167"/>
      <c r="AJ46" s="167"/>
      <c r="AK46" s="168"/>
      <c r="AL46" s="169"/>
      <c r="AM46" s="167"/>
      <c r="AN46" s="167"/>
      <c r="AO46" s="172"/>
      <c r="AP46" s="28"/>
      <c r="AQ46" s="163" t="str">
        <f>IF(AD14=0,"주변의 아무 것도 이해하지 못함.",(IF(AND(1&lt;=AD14,30&gt;AD14),"배우는 것이 느림, 기초적 학습만 가능.",IF(AND(30&lt;=AD14,70&gt;AD14),"보통 사람의 아이큐.",(IF(AND(70&lt;=AD14,85&gt;AD14),"재치가 있고 머리회전이 빠르다.",(IF(AND(85&lt;=AD14,99&gt;AD14),"머리가 좋아 다양한 지식을 가지고 있다.",(IF(AD14=99,"아인슈타인 수준의 두뇌."))))))))))</f>
        <v>주변의 아무 것도 이해하지 못함.</v>
      </c>
      <c r="AR46" s="164"/>
      <c r="AS46" s="164"/>
      <c r="AT46" s="164"/>
      <c r="AU46" s="164"/>
      <c r="AV46" s="164"/>
      <c r="AW46" s="164"/>
      <c r="AX46" s="164"/>
      <c r="AY46" s="164"/>
      <c r="AZ46" s="164"/>
      <c r="BA46" s="164"/>
      <c r="BB46" s="165"/>
      <c r="BC46" s="3"/>
    </row>
    <row r="47" ht="13.5" customHeight="1">
      <c r="A47" s="22"/>
      <c r="B47" s="175"/>
      <c r="C47" s="176"/>
      <c r="D47" s="176"/>
      <c r="E47" s="176"/>
      <c r="F47" s="176"/>
      <c r="G47" s="176"/>
      <c r="H47" s="176"/>
      <c r="I47" s="177"/>
      <c r="J47" s="178"/>
      <c r="K47" s="176"/>
      <c r="L47" s="177"/>
      <c r="M47" s="179">
        <f t="shared" si="16"/>
        <v>0</v>
      </c>
      <c r="N47" s="176"/>
      <c r="O47" s="177"/>
      <c r="P47" s="179">
        <f t="shared" si="17"/>
        <v>0</v>
      </c>
      <c r="Q47" s="176"/>
      <c r="R47" s="177"/>
      <c r="S47" s="178"/>
      <c r="T47" s="176"/>
      <c r="U47" s="176"/>
      <c r="V47" s="176"/>
      <c r="W47" s="176"/>
      <c r="X47" s="177"/>
      <c r="Y47" s="178"/>
      <c r="Z47" s="176"/>
      <c r="AA47" s="176"/>
      <c r="AB47" s="177"/>
      <c r="AC47" s="178"/>
      <c r="AD47" s="176"/>
      <c r="AE47" s="176"/>
      <c r="AF47" s="176"/>
      <c r="AG47" s="177"/>
      <c r="AH47" s="178"/>
      <c r="AI47" s="176"/>
      <c r="AJ47" s="176"/>
      <c r="AK47" s="177"/>
      <c r="AL47" s="178"/>
      <c r="AM47" s="176"/>
      <c r="AN47" s="176"/>
      <c r="AO47" s="180"/>
      <c r="AP47" s="28"/>
      <c r="AQ47" s="163" t="str">
        <f>IF(AL10=0,"어떠한 의지도 의욕도 없는 사람.",(IF(AND(1&lt;=AL10,30&gt;AL10),"의지가 약하고 남들에게 곧잘 휘둘림.",IF(AND(30&lt;=AL10,70&gt;AL10),"보통 사람의 의지를 가졌다.",(IF(AND(70&lt;=AL10,85&gt;AL10),"의지가 강한 사람.",(IF(AND(85&lt;=AL10,99&gt;AL10),"아주 높은 정신력, 영적 감이 있을 수도.",(IF(AL10=99,"철의 의지. 이세계와 깊게 연관됨."))))))))))</f>
        <v>어떠한 의지도 의욕도 없는 사람.</v>
      </c>
      <c r="AR47" s="164"/>
      <c r="AS47" s="164"/>
      <c r="AT47" s="164"/>
      <c r="AU47" s="164"/>
      <c r="AV47" s="164"/>
      <c r="AW47" s="164"/>
      <c r="AX47" s="164"/>
      <c r="AY47" s="164"/>
      <c r="AZ47" s="164"/>
      <c r="BA47" s="164"/>
      <c r="BB47" s="165"/>
      <c r="BC47" s="3"/>
    </row>
    <row r="48" ht="13.5" customHeight="1">
      <c r="A48" s="22"/>
      <c r="B48" s="181" t="s">
        <v>125</v>
      </c>
      <c r="C48" s="24"/>
      <c r="D48" s="24"/>
      <c r="E48" s="24"/>
      <c r="F48" s="24"/>
      <c r="G48" s="24"/>
      <c r="H48" s="24"/>
      <c r="I48" s="24"/>
      <c r="J48" s="24"/>
      <c r="K48" s="24"/>
      <c r="L48" s="24"/>
      <c r="M48" s="24"/>
      <c r="N48" s="24"/>
      <c r="O48" s="24"/>
      <c r="P48" s="24"/>
      <c r="Q48" s="24"/>
      <c r="R48" s="24"/>
      <c r="S48" s="24"/>
      <c r="T48" s="24"/>
      <c r="U48" s="182"/>
      <c r="V48" s="183" t="s">
        <v>126</v>
      </c>
      <c r="W48" s="24"/>
      <c r="X48" s="24"/>
      <c r="Y48" s="24"/>
      <c r="Z48" s="24"/>
      <c r="AA48" s="24"/>
      <c r="AB48" s="24"/>
      <c r="AC48" s="24"/>
      <c r="AD48" s="24"/>
      <c r="AE48" s="24"/>
      <c r="AF48" s="24"/>
      <c r="AG48" s="24"/>
      <c r="AH48" s="24"/>
      <c r="AI48" s="24"/>
      <c r="AJ48" s="24"/>
      <c r="AK48" s="24"/>
      <c r="AL48" s="24"/>
      <c r="AM48" s="24"/>
      <c r="AN48" s="24"/>
      <c r="AO48" s="182"/>
      <c r="AP48" s="28"/>
      <c r="AQ48" s="184"/>
      <c r="AR48" s="185"/>
      <c r="AS48" s="185"/>
      <c r="AT48" s="185"/>
      <c r="AU48" s="185"/>
      <c r="AV48" s="185"/>
      <c r="AW48" s="185"/>
      <c r="AX48" s="185"/>
      <c r="AY48" s="185"/>
      <c r="AZ48" s="185"/>
      <c r="BA48" s="185"/>
      <c r="BB48" s="186"/>
      <c r="BC48" s="3"/>
    </row>
    <row r="49" ht="13.5" customHeight="1">
      <c r="A49" s="22"/>
      <c r="B49" s="30"/>
      <c r="C49" s="31"/>
      <c r="D49" s="31"/>
      <c r="E49" s="31"/>
      <c r="F49" s="31"/>
      <c r="G49" s="31"/>
      <c r="H49" s="31"/>
      <c r="I49" s="31"/>
      <c r="J49" s="31"/>
      <c r="K49" s="31"/>
      <c r="L49" s="31"/>
      <c r="M49" s="31"/>
      <c r="N49" s="31"/>
      <c r="O49" s="31"/>
      <c r="P49" s="31"/>
      <c r="Q49" s="31"/>
      <c r="R49" s="31"/>
      <c r="S49" s="31"/>
      <c r="T49" s="31"/>
      <c r="U49" s="187"/>
      <c r="V49" s="188"/>
      <c r="W49" s="31"/>
      <c r="X49" s="31"/>
      <c r="Y49" s="31"/>
      <c r="Z49" s="31"/>
      <c r="AA49" s="31"/>
      <c r="AB49" s="31"/>
      <c r="AC49" s="31"/>
      <c r="AD49" s="31"/>
      <c r="AE49" s="31"/>
      <c r="AF49" s="31"/>
      <c r="AG49" s="31"/>
      <c r="AH49" s="31"/>
      <c r="AI49" s="31"/>
      <c r="AJ49" s="31"/>
      <c r="AK49" s="31"/>
      <c r="AL49" s="31"/>
      <c r="AM49" s="31"/>
      <c r="AN49" s="31"/>
      <c r="AO49" s="189"/>
      <c r="AP49" s="28"/>
      <c r="AQ49" s="190" t="s">
        <v>127</v>
      </c>
      <c r="AR49" s="185"/>
      <c r="AS49" s="185"/>
      <c r="AT49" s="185"/>
      <c r="AU49" s="185"/>
      <c r="AV49" s="185"/>
      <c r="AW49" s="185"/>
      <c r="AX49" s="185"/>
      <c r="AY49" s="185"/>
      <c r="AZ49" s="185"/>
      <c r="BA49" s="185"/>
      <c r="BB49" s="191"/>
      <c r="BC49" s="3"/>
    </row>
    <row r="50" ht="17.25" customHeight="1">
      <c r="A50" s="22"/>
      <c r="B50" s="192"/>
      <c r="C50" s="24"/>
      <c r="D50" s="24"/>
      <c r="E50" s="24"/>
      <c r="F50" s="193"/>
      <c r="G50" s="194"/>
      <c r="H50" s="24"/>
      <c r="I50" s="24"/>
      <c r="J50" s="24"/>
      <c r="K50" s="193"/>
      <c r="L50" s="194"/>
      <c r="M50" s="24"/>
      <c r="N50" s="24"/>
      <c r="O50" s="24"/>
      <c r="P50" s="193"/>
      <c r="Q50" s="195"/>
      <c r="U50" s="15"/>
      <c r="V50" s="196" t="s">
        <v>171</v>
      </c>
      <c r="W50" s="24"/>
      <c r="X50" s="24"/>
      <c r="Y50" s="24"/>
      <c r="Z50" s="193"/>
      <c r="AA50" s="192"/>
      <c r="AB50" s="24"/>
      <c r="AC50" s="24"/>
      <c r="AD50" s="24"/>
      <c r="AE50" s="193"/>
      <c r="AF50" s="194"/>
      <c r="AG50" s="24"/>
      <c r="AH50" s="24"/>
      <c r="AI50" s="24"/>
      <c r="AJ50" s="193"/>
      <c r="AK50" s="194"/>
      <c r="AL50" s="24"/>
      <c r="AM50" s="24"/>
      <c r="AN50" s="24"/>
      <c r="AO50" s="25"/>
      <c r="AP50" s="28"/>
      <c r="AQ50" s="197" t="str">
        <f>if(or(BB49&gt;10,BB49&lt;0),"잘못된 숫자를 넣으셨습니다.",
if(BB49=1,"인심이 좋습니다.",
if(BB49=2,"동물의 친구입니다.",
if(BB49=3,"몽상가입니다.",
if(BB49=4,"쾌락주의자입니다.",
if(BB49=5,"과감한 승부사입니다.",
if(BB49=6,"유능한 요리사입니다.",
if(BB49=7,"바람둥이입니다.",
if(BB49=8,"충직합니다.",
if(BB49=9,"평판이 좋습니다.",
if(BB49=10,"야심가입니다.", "당신의 성격은 무엇인가요?")))))))))))</f>
        <v>당신의 성격은 무엇인가요?</v>
      </c>
      <c r="AR50" s="185"/>
      <c r="AS50" s="185"/>
      <c r="AT50" s="185"/>
      <c r="AU50" s="185"/>
      <c r="AV50" s="185"/>
      <c r="AW50" s="185"/>
      <c r="AX50" s="185"/>
      <c r="AY50" s="185"/>
      <c r="AZ50" s="185"/>
      <c r="BA50" s="185"/>
      <c r="BB50" s="185"/>
      <c r="BC50" s="3"/>
    </row>
    <row r="51" ht="13.5" customHeight="1">
      <c r="A51" s="22"/>
      <c r="B51" s="198"/>
      <c r="C51" s="199"/>
      <c r="D51" s="199"/>
      <c r="E51" s="199"/>
      <c r="F51" s="200"/>
      <c r="G51" s="201"/>
      <c r="H51" s="199"/>
      <c r="I51" s="199"/>
      <c r="J51" s="199"/>
      <c r="K51" s="200"/>
      <c r="L51" s="201"/>
      <c r="M51" s="199"/>
      <c r="N51" s="199"/>
      <c r="O51" s="199"/>
      <c r="P51" s="200"/>
      <c r="U51" s="15"/>
      <c r="V51" s="199"/>
      <c r="W51" s="199"/>
      <c r="X51" s="199"/>
      <c r="Y51" s="199"/>
      <c r="Z51" s="200"/>
      <c r="AA51" s="198"/>
      <c r="AB51" s="199"/>
      <c r="AC51" s="199"/>
      <c r="AD51" s="199"/>
      <c r="AE51" s="200"/>
      <c r="AF51" s="201"/>
      <c r="AG51" s="199"/>
      <c r="AH51" s="199"/>
      <c r="AI51" s="199"/>
      <c r="AJ51" s="200"/>
      <c r="AK51" s="201"/>
      <c r="AL51" s="199"/>
      <c r="AM51" s="199"/>
      <c r="AN51" s="199"/>
      <c r="AO51" s="202"/>
      <c r="AP51" s="28"/>
      <c r="AQ51" s="203" t="s">
        <v>128</v>
      </c>
      <c r="AR51" s="105"/>
      <c r="AS51" s="105"/>
      <c r="AT51" s="105"/>
      <c r="AU51" s="105"/>
      <c r="AV51" s="105"/>
      <c r="AW51" s="105"/>
      <c r="AX51" s="105"/>
      <c r="AY51" s="105"/>
      <c r="AZ51" s="105"/>
      <c r="BA51" s="105"/>
      <c r="BB51" s="191"/>
      <c r="BC51" s="3"/>
    </row>
    <row r="52" ht="13.5" customHeight="1">
      <c r="A52" s="22"/>
      <c r="B52" s="204"/>
      <c r="C52" s="205"/>
      <c r="D52" s="205"/>
      <c r="E52" s="205"/>
      <c r="F52" s="206"/>
      <c r="G52" s="207"/>
      <c r="H52" s="205"/>
      <c r="I52" s="205"/>
      <c r="J52" s="205"/>
      <c r="K52" s="206"/>
      <c r="L52" s="207"/>
      <c r="M52" s="205"/>
      <c r="N52" s="205"/>
      <c r="O52" s="205"/>
      <c r="P52" s="206"/>
      <c r="Q52" s="208"/>
      <c r="U52" s="209"/>
      <c r="V52" s="210" t="s">
        <v>129</v>
      </c>
      <c r="W52" s="105"/>
      <c r="X52" s="105"/>
      <c r="Y52" s="105"/>
      <c r="Z52" s="105"/>
      <c r="AA52" s="105"/>
      <c r="AB52" s="105"/>
      <c r="AC52" s="105"/>
      <c r="AD52" s="105"/>
      <c r="AE52" s="105"/>
      <c r="AF52" s="105"/>
      <c r="AG52" s="105"/>
      <c r="AH52" s="105"/>
      <c r="AI52" s="105"/>
      <c r="AJ52" s="105"/>
      <c r="AK52" s="105"/>
      <c r="AL52" s="105"/>
      <c r="AM52" s="105"/>
      <c r="AN52" s="107"/>
      <c r="AO52" s="211"/>
      <c r="AP52" s="28"/>
      <c r="AQ52" s="212" t="str">
        <f>if(or(BB51&gt;10,BB51&lt;0),"잘못된 숫자를 넣으셨습니다.",
if(BB51=1,"숭배하고 기도하는 초월적인 존재가 있습니다.",
if(BB51=2,"인류는 종교 없이도 잘 살 수 있습니다.",
if(BB51=3,"과학이 모든 것의 해답입니다.",
if(BB51=4,"운명을 극적으로 믿습니다.",
if(BB51=5,"사회단체 또는 비밀 단체에 소속되어 있습니다.",
if(BB51=6,"사회에 뿌리 뽑아야 할 악이 있습니다.",
if(BB51=7,"오컬트를 믿습니다.",
if(BB51=8,"세상만사에 관심이 많습니다.",
if(BB51=9,"돈이 권력이고 세속적인 욕심이 강합니다.",
if(BB51=10,"운동가 또는 활동가로 활약하고 있습니다.",
"당신의 사상이나 신념은 무엇인가요?")))))))))))</f>
        <v>당신의 사상이나 신념은 무엇인가요?</v>
      </c>
      <c r="AR52" s="185"/>
      <c r="AS52" s="185"/>
      <c r="AT52" s="185"/>
      <c r="AU52" s="185"/>
      <c r="AV52" s="185"/>
      <c r="AW52" s="185"/>
      <c r="AX52" s="185"/>
      <c r="AY52" s="185"/>
      <c r="AZ52" s="185"/>
      <c r="BA52" s="185"/>
      <c r="BB52" s="185"/>
      <c r="BC52" s="3"/>
    </row>
    <row r="53" ht="13.5" customHeight="1">
      <c r="A53" s="22"/>
      <c r="B53" s="30"/>
      <c r="C53" s="31"/>
      <c r="D53" s="31"/>
      <c r="E53" s="31"/>
      <c r="F53" s="213"/>
      <c r="G53" s="214"/>
      <c r="H53" s="31"/>
      <c r="I53" s="31"/>
      <c r="J53" s="31"/>
      <c r="K53" s="213"/>
      <c r="L53" s="214"/>
      <c r="M53" s="31"/>
      <c r="N53" s="31"/>
      <c r="O53" s="31"/>
      <c r="P53" s="213"/>
      <c r="Q53" s="214"/>
      <c r="R53" s="31"/>
      <c r="S53" s="31"/>
      <c r="T53" s="31"/>
      <c r="U53" s="32"/>
      <c r="V53" s="215" t="str">
        <f>if(or(AO52&gt;10,AO52&lt;0),"잘못된 숫자를 넣으셨습니다.",
if(AO52=1,"갚을 은혜가 있습니다.",
if(AO52=2,"배운 것이 있습니다.",
if(AO52=3,"삶에 의미를 주었습니다.",
if(AO52=4,"잘못한 것이 있어서 속죄하려고 합니다.",
if(AO52=5,"공유한 경험이 있습니다.",
if(AO52=6,"인정을 받고 싶습니다.",
if(AO52=7,"동경하고 숭배합니다.",
if(AO52=8,"회한(두고두고 후회함)이 있습니다.",
if(AO52=9,"자신이 그 사람보다 나은 인간임을 증명하고 싶습니다.",
if(AO52=10,"해를 끼친 사람에게 복수하고 싶습니다.",
"왜 그 사람을 중요하게 여기시나요?")))))))))))</f>
        <v>왜 그 사람을 중요하게 여기시나요?</v>
      </c>
      <c r="W53" s="105"/>
      <c r="X53" s="105"/>
      <c r="Y53" s="105"/>
      <c r="Z53" s="105"/>
      <c r="AA53" s="105"/>
      <c r="AB53" s="105"/>
      <c r="AC53" s="105"/>
      <c r="AD53" s="105"/>
      <c r="AE53" s="105"/>
      <c r="AF53" s="105"/>
      <c r="AG53" s="105"/>
      <c r="AH53" s="105"/>
      <c r="AI53" s="105"/>
      <c r="AJ53" s="105"/>
      <c r="AK53" s="105"/>
      <c r="AL53" s="105"/>
      <c r="AM53" s="105"/>
      <c r="AN53" s="105"/>
      <c r="AO53" s="107"/>
      <c r="AP53" s="28"/>
      <c r="AQ53" s="216" t="s">
        <v>130</v>
      </c>
      <c r="AR53" s="105"/>
      <c r="AS53" s="105"/>
      <c r="AT53" s="105"/>
      <c r="AU53" s="105"/>
      <c r="AV53" s="105"/>
      <c r="AW53" s="105"/>
      <c r="AX53" s="107"/>
      <c r="AY53" s="217"/>
      <c r="AZ53" s="105"/>
      <c r="BA53" s="105"/>
      <c r="BB53" s="107"/>
      <c r="BC53" s="3"/>
    </row>
    <row r="54" ht="13.5" customHeight="1">
      <c r="A54" s="2"/>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3"/>
      <c r="AD54" s="53"/>
      <c r="AE54" s="53"/>
      <c r="AF54" s="53"/>
      <c r="AG54" s="53"/>
      <c r="AH54" s="53"/>
      <c r="AI54" s="53"/>
      <c r="AJ54" s="53"/>
      <c r="AK54" s="53"/>
      <c r="AL54" s="53"/>
      <c r="AM54" s="53"/>
      <c r="AN54" s="53"/>
      <c r="AO54" s="53"/>
      <c r="AP54" s="218"/>
      <c r="AQ54" s="218"/>
      <c r="AR54" s="218"/>
      <c r="AS54" s="218"/>
      <c r="AT54" s="218"/>
      <c r="AU54" s="218"/>
      <c r="AV54" s="218"/>
      <c r="AW54" s="218"/>
      <c r="AX54" s="218"/>
      <c r="AY54" s="218"/>
      <c r="AZ54" s="218"/>
      <c r="BA54" s="218"/>
      <c r="BB54" s="218"/>
      <c r="BC54" s="3"/>
    </row>
    <row r="55" ht="15.75" customHeight="1">
      <c r="A55" s="219"/>
      <c r="B55" s="554" t="s">
        <v>131</v>
      </c>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5"/>
      <c r="BC55" s="221"/>
    </row>
    <row r="56" ht="15.75" customHeight="1">
      <c r="A56" s="219"/>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2"/>
      <c r="BC56" s="221"/>
    </row>
    <row r="57" ht="15.75" customHeight="1">
      <c r="A57" s="219"/>
      <c r="B57" s="555" t="s">
        <v>132</v>
      </c>
      <c r="C57" s="24"/>
      <c r="D57" s="24"/>
      <c r="E57" s="24"/>
      <c r="F57" s="24"/>
      <c r="G57" s="24"/>
      <c r="H57" s="24"/>
      <c r="I57" s="24"/>
      <c r="J57" s="24"/>
      <c r="K57" s="24"/>
      <c r="L57" s="24"/>
      <c r="M57" s="24"/>
      <c r="N57" s="24"/>
      <c r="O57" s="24"/>
      <c r="P57" s="24"/>
      <c r="Q57" s="24"/>
      <c r="R57" s="25"/>
      <c r="S57" s="556" t="s">
        <v>127</v>
      </c>
      <c r="T57" s="24"/>
      <c r="U57" s="24"/>
      <c r="V57" s="24"/>
      <c r="W57" s="24"/>
      <c r="X57" s="24"/>
      <c r="Y57" s="24"/>
      <c r="Z57" s="24"/>
      <c r="AA57" s="24"/>
      <c r="AB57" s="24"/>
      <c r="AC57" s="24"/>
      <c r="AD57" s="24"/>
      <c r="AE57" s="24"/>
      <c r="AF57" s="24"/>
      <c r="AG57" s="24"/>
      <c r="AH57" s="24"/>
      <c r="AI57" s="25"/>
      <c r="AJ57" s="555" t="s">
        <v>133</v>
      </c>
      <c r="AK57" s="24"/>
      <c r="AL57" s="24"/>
      <c r="AM57" s="24"/>
      <c r="AN57" s="24"/>
      <c r="AO57" s="24"/>
      <c r="AP57" s="24"/>
      <c r="AQ57" s="24"/>
      <c r="AR57" s="24"/>
      <c r="AS57" s="24"/>
      <c r="AT57" s="24"/>
      <c r="AU57" s="24"/>
      <c r="AV57" s="24"/>
      <c r="AW57" s="24"/>
      <c r="AX57" s="24"/>
      <c r="AY57" s="24"/>
      <c r="AZ57" s="24"/>
      <c r="BA57" s="24"/>
      <c r="BB57" s="25"/>
      <c r="BC57" s="221"/>
    </row>
    <row r="58" ht="15.75" customHeight="1">
      <c r="A58" s="219"/>
      <c r="B58" s="224"/>
      <c r="C58" s="5"/>
      <c r="D58" s="5"/>
      <c r="E58" s="5"/>
      <c r="F58" s="5"/>
      <c r="G58" s="5"/>
      <c r="H58" s="5"/>
      <c r="I58" s="5"/>
      <c r="J58" s="5"/>
      <c r="K58" s="5"/>
      <c r="L58" s="5"/>
      <c r="M58" s="5"/>
      <c r="N58" s="5"/>
      <c r="O58" s="5"/>
      <c r="P58" s="5"/>
      <c r="Q58" s="5"/>
      <c r="R58" s="7"/>
      <c r="S58" s="224"/>
      <c r="T58" s="5"/>
      <c r="U58" s="5"/>
      <c r="V58" s="5"/>
      <c r="W58" s="5"/>
      <c r="X58" s="5"/>
      <c r="Y58" s="5"/>
      <c r="Z58" s="5"/>
      <c r="AA58" s="5"/>
      <c r="AB58" s="5"/>
      <c r="AC58" s="5"/>
      <c r="AD58" s="5"/>
      <c r="AE58" s="5"/>
      <c r="AF58" s="5"/>
      <c r="AG58" s="5"/>
      <c r="AH58" s="5"/>
      <c r="AI58" s="7"/>
      <c r="AJ58" s="224"/>
      <c r="AK58" s="5"/>
      <c r="AL58" s="5"/>
      <c r="AM58" s="5"/>
      <c r="AN58" s="5"/>
      <c r="AO58" s="5"/>
      <c r="AP58" s="5"/>
      <c r="AQ58" s="5"/>
      <c r="AR58" s="5"/>
      <c r="AS58" s="5"/>
      <c r="AT58" s="5"/>
      <c r="AU58" s="5"/>
      <c r="AV58" s="5"/>
      <c r="AW58" s="5"/>
      <c r="AX58" s="5"/>
      <c r="AY58" s="5"/>
      <c r="AZ58" s="5"/>
      <c r="BA58" s="5"/>
      <c r="BB58" s="225"/>
      <c r="BC58" s="226"/>
    </row>
    <row r="59" ht="41.25" customHeight="1">
      <c r="A59" s="219"/>
      <c r="B59" s="9"/>
      <c r="R59" s="15"/>
      <c r="S59" s="9"/>
      <c r="AI59" s="15"/>
      <c r="AJ59" s="9"/>
      <c r="BB59" s="209"/>
      <c r="BC59" s="226"/>
    </row>
    <row r="60" ht="15.75" customHeight="1">
      <c r="A60" s="219"/>
      <c r="B60" s="9"/>
      <c r="R60" s="15"/>
      <c r="S60" s="9"/>
      <c r="AI60" s="15"/>
      <c r="AJ60" s="9"/>
      <c r="BB60" s="209"/>
      <c r="BC60" s="226"/>
    </row>
    <row r="61" ht="15.75" customHeight="1">
      <c r="A61" s="219"/>
      <c r="B61" s="9"/>
      <c r="R61" s="15"/>
      <c r="S61" s="9"/>
      <c r="AI61" s="15"/>
      <c r="AJ61" s="9"/>
      <c r="BB61" s="209"/>
      <c r="BC61" s="226"/>
    </row>
    <row r="62" ht="15.75" customHeight="1">
      <c r="A62" s="219"/>
      <c r="B62" s="10"/>
      <c r="C62" s="11"/>
      <c r="D62" s="11"/>
      <c r="E62" s="11"/>
      <c r="F62" s="11"/>
      <c r="G62" s="11"/>
      <c r="H62" s="11"/>
      <c r="I62" s="11"/>
      <c r="J62" s="11"/>
      <c r="K62" s="11"/>
      <c r="L62" s="11"/>
      <c r="M62" s="11"/>
      <c r="N62" s="11"/>
      <c r="O62" s="11"/>
      <c r="P62" s="11"/>
      <c r="Q62" s="11"/>
      <c r="R62" s="12"/>
      <c r="S62" s="10"/>
      <c r="T62" s="11"/>
      <c r="U62" s="11"/>
      <c r="V62" s="11"/>
      <c r="W62" s="11"/>
      <c r="X62" s="11"/>
      <c r="Y62" s="11"/>
      <c r="Z62" s="11"/>
      <c r="AA62" s="11"/>
      <c r="AB62" s="11"/>
      <c r="AC62" s="11"/>
      <c r="AD62" s="11"/>
      <c r="AE62" s="11"/>
      <c r="AF62" s="11"/>
      <c r="AG62" s="11"/>
      <c r="AH62" s="11"/>
      <c r="AI62" s="12"/>
      <c r="AJ62" s="9"/>
      <c r="BB62" s="209"/>
      <c r="BC62" s="226"/>
    </row>
    <row r="63" ht="15.75" customHeight="1">
      <c r="A63" s="219"/>
      <c r="B63" s="557" t="s">
        <v>134</v>
      </c>
      <c r="C63" s="5"/>
      <c r="D63" s="5"/>
      <c r="E63" s="5"/>
      <c r="F63" s="5"/>
      <c r="G63" s="5"/>
      <c r="H63" s="5"/>
      <c r="I63" s="5"/>
      <c r="J63" s="5"/>
      <c r="K63" s="5"/>
      <c r="L63" s="5"/>
      <c r="M63" s="5"/>
      <c r="N63" s="5"/>
      <c r="O63" s="5"/>
      <c r="P63" s="5"/>
      <c r="Q63" s="7"/>
      <c r="R63" s="558"/>
      <c r="S63" s="559" t="s">
        <v>135</v>
      </c>
      <c r="T63" s="5"/>
      <c r="U63" s="5"/>
      <c r="V63" s="7"/>
      <c r="W63" s="559" t="s">
        <v>136</v>
      </c>
      <c r="X63" s="5"/>
      <c r="Y63" s="5"/>
      <c r="Z63" s="7"/>
      <c r="AA63" s="559" t="s">
        <v>137</v>
      </c>
      <c r="AB63" s="5"/>
      <c r="AC63" s="5"/>
      <c r="AD63" s="7"/>
      <c r="AE63" s="559" t="s">
        <v>138</v>
      </c>
      <c r="AF63" s="5"/>
      <c r="AG63" s="5"/>
      <c r="AH63" s="5"/>
      <c r="AI63" s="7"/>
      <c r="AJ63" s="9"/>
      <c r="BB63" s="209"/>
      <c r="BC63" s="226"/>
    </row>
    <row r="64" ht="15.75" customHeight="1">
      <c r="A64" s="219"/>
      <c r="B64" s="10"/>
      <c r="C64" s="11"/>
      <c r="D64" s="11"/>
      <c r="E64" s="11"/>
      <c r="F64" s="11"/>
      <c r="G64" s="11"/>
      <c r="H64" s="11"/>
      <c r="I64" s="11"/>
      <c r="J64" s="11"/>
      <c r="K64" s="11"/>
      <c r="L64" s="11"/>
      <c r="M64" s="11"/>
      <c r="N64" s="11"/>
      <c r="O64" s="11"/>
      <c r="P64" s="11"/>
      <c r="Q64" s="12"/>
      <c r="R64" s="230"/>
      <c r="S64" s="10"/>
      <c r="T64" s="11"/>
      <c r="U64" s="11"/>
      <c r="V64" s="12"/>
      <c r="W64" s="10"/>
      <c r="X64" s="11"/>
      <c r="Y64" s="11"/>
      <c r="Z64" s="12"/>
      <c r="AA64" s="10"/>
      <c r="AB64" s="11"/>
      <c r="AC64" s="11"/>
      <c r="AD64" s="12"/>
      <c r="AE64" s="10"/>
      <c r="AF64" s="11"/>
      <c r="AG64" s="11"/>
      <c r="AH64" s="11"/>
      <c r="AI64" s="12"/>
      <c r="AJ64" s="9"/>
      <c r="BB64" s="209"/>
      <c r="BC64" s="226"/>
    </row>
    <row r="65" ht="15.75" customHeight="1">
      <c r="A65" s="219"/>
      <c r="B65" s="231" t="str">
        <f>if(or(R64&gt;10,R64&lt;0),"잘못된 숫자를 넣으셨습니다.",
if(R64=1,"배움의 장소",
if(R64=2,"고향",
if(R64=3,"첫사랑을 만난 곳",
if(R64=4,"조용한 명상의 장소",
if(R64=5,"사교의 장소",
if(R64=6,"사상 또는 신앙과 관련된 장소",
if(R64=7,"중요한 사람의 무덤",
if(R64=8,"가족의 집",
if(R64=9,"가장 행복했던 시간을 보낸 곳",
if(R64=10,"직장",
"당신에게 의미있었던 장소는 어딘가요?")))))))))))</f>
        <v>당신에게 의미있었던 장소는 어딘가요?</v>
      </c>
      <c r="C65" s="105"/>
      <c r="D65" s="105"/>
      <c r="E65" s="105"/>
      <c r="F65" s="105"/>
      <c r="G65" s="105"/>
      <c r="H65" s="105"/>
      <c r="I65" s="105"/>
      <c r="J65" s="105"/>
      <c r="K65" s="105"/>
      <c r="L65" s="105"/>
      <c r="M65" s="105"/>
      <c r="N65" s="105"/>
      <c r="O65" s="105"/>
      <c r="P65" s="105"/>
      <c r="Q65" s="105"/>
      <c r="R65" s="107"/>
      <c r="S65" s="231" t="str">
        <f>R19</f>
        <v/>
      </c>
      <c r="T65" s="105"/>
      <c r="U65" s="105"/>
      <c r="V65" s="107"/>
      <c r="W65" s="232">
        <f>if((R19)&lt;=0,(10*1.3),if((R19)&lt;=9,(40*1.3),if((R19)&lt;=49,(200*1.3),if((R19)&lt;=89,(1000*1.3),if((R19)&lt;=98,(5000*1.3),100000)))))</f>
        <v>13</v>
      </c>
      <c r="X65" s="105"/>
      <c r="Y65" s="105"/>
      <c r="Z65" s="107"/>
      <c r="AA65" s="232">
        <f>if((R19)&lt;=0,(10*1.3),if((R19)&lt;=9,(R19*20*1.3),if((R19)&lt;=49,(R19*40*1.3),if((R19)&lt;=89,(R19*100*1.3),if((R19)&lt;=98,(R19*400*1.3),(1000000*1.3))))))</f>
        <v>13</v>
      </c>
      <c r="AB65" s="105"/>
      <c r="AC65" s="105"/>
      <c r="AD65" s="107"/>
      <c r="AE65" s="232" t="str">
        <f>if((R19)&lt;=0,"None",if((R19)&lt;=9,(R19*200*1.3),if((R19)&lt;=49,(R19*1000*1.3),if((R19)&lt;=89,(R19*10000*1.3),if((R19)&lt;=98,(R19*40000*1.3),"$100000000+")))))</f>
        <v>None</v>
      </c>
      <c r="AF65" s="105"/>
      <c r="AG65" s="105"/>
      <c r="AH65" s="105"/>
      <c r="AI65" s="107"/>
      <c r="AJ65" s="188"/>
      <c r="AK65" s="31"/>
      <c r="AL65" s="31"/>
      <c r="AM65" s="31"/>
      <c r="AN65" s="31"/>
      <c r="AO65" s="31"/>
      <c r="AP65" s="31"/>
      <c r="AQ65" s="31"/>
      <c r="AR65" s="31"/>
      <c r="AS65" s="31"/>
      <c r="AT65" s="31"/>
      <c r="AU65" s="31"/>
      <c r="AV65" s="31"/>
      <c r="AW65" s="31"/>
      <c r="AX65" s="31"/>
      <c r="AY65" s="31"/>
      <c r="AZ65" s="31"/>
      <c r="BA65" s="31"/>
      <c r="BB65" s="32"/>
      <c r="BC65" s="226"/>
    </row>
    <row r="66" ht="15.75" customHeight="1">
      <c r="A66" s="234"/>
      <c r="B66" s="235"/>
      <c r="C66" s="235"/>
      <c r="D66" s="235"/>
      <c r="E66" s="235"/>
      <c r="F66" s="235"/>
      <c r="G66" s="235"/>
      <c r="H66" s="235"/>
      <c r="I66" s="235"/>
      <c r="J66" s="235"/>
      <c r="K66" s="235"/>
      <c r="L66" s="235"/>
      <c r="M66" s="235"/>
      <c r="N66" s="235"/>
      <c r="O66" s="235"/>
      <c r="P66" s="235"/>
      <c r="Q66" s="235"/>
      <c r="R66" s="235"/>
      <c r="S66" s="235"/>
      <c r="T66" s="235"/>
      <c r="U66" s="235"/>
      <c r="V66" s="235"/>
      <c r="W66" s="235"/>
      <c r="X66" s="235"/>
      <c r="Y66" s="235"/>
      <c r="Z66" s="235"/>
      <c r="AA66" s="235"/>
      <c r="AB66" s="235"/>
      <c r="AC66" s="235"/>
      <c r="AD66" s="235"/>
      <c r="AE66" s="235"/>
      <c r="AF66" s="235"/>
      <c r="AG66" s="235"/>
      <c r="AH66" s="235"/>
      <c r="AI66" s="235"/>
      <c r="AJ66" s="236"/>
      <c r="AK66" s="237"/>
      <c r="AL66" s="238"/>
      <c r="AM66" s="237"/>
      <c r="AN66" s="237"/>
      <c r="AO66" s="237"/>
      <c r="AP66" s="237"/>
      <c r="AQ66" s="237"/>
      <c r="AR66" s="237"/>
      <c r="AS66" s="237"/>
      <c r="AT66" s="237"/>
      <c r="AU66" s="237"/>
      <c r="AV66" s="237"/>
      <c r="AW66" s="237"/>
      <c r="AX66" s="237"/>
      <c r="AY66" s="237"/>
      <c r="AZ66" s="237"/>
      <c r="BA66" s="237"/>
      <c r="BB66" s="237"/>
      <c r="BC66" s="239"/>
    </row>
    <row r="67" ht="15.75" customHeight="1">
      <c r="A67" s="240"/>
      <c r="B67" s="241" t="s">
        <v>139</v>
      </c>
      <c r="C67" s="24"/>
      <c r="D67" s="24"/>
      <c r="E67" s="24"/>
      <c r="F67" s="24"/>
      <c r="G67" s="24"/>
      <c r="H67" s="24"/>
      <c r="I67" s="24"/>
      <c r="J67" s="24"/>
      <c r="K67" s="24"/>
      <c r="L67" s="24"/>
      <c r="M67" s="25"/>
      <c r="N67" s="242" t="s">
        <v>140</v>
      </c>
      <c r="O67" s="24"/>
      <c r="P67" s="24"/>
      <c r="Q67" s="24"/>
      <c r="R67" s="24"/>
      <c r="S67" s="24"/>
      <c r="T67" s="24"/>
      <c r="U67" s="24"/>
      <c r="V67" s="24"/>
      <c r="W67" s="24"/>
      <c r="X67" s="24"/>
      <c r="Y67" s="25"/>
      <c r="Z67" s="242" t="s">
        <v>141</v>
      </c>
      <c r="AA67" s="24"/>
      <c r="AB67" s="24"/>
      <c r="AC67" s="24"/>
      <c r="AD67" s="24"/>
      <c r="AE67" s="24"/>
      <c r="AF67" s="24"/>
      <c r="AG67" s="24"/>
      <c r="AH67" s="24"/>
      <c r="AI67" s="24"/>
      <c r="AJ67" s="24"/>
      <c r="AK67" s="25"/>
      <c r="AL67" s="242" t="s">
        <v>142</v>
      </c>
      <c r="AM67" s="24"/>
      <c r="AN67" s="24"/>
      <c r="AO67" s="24"/>
      <c r="AP67" s="24"/>
      <c r="AQ67" s="24"/>
      <c r="AR67" s="24"/>
      <c r="AS67" s="24"/>
      <c r="AT67" s="24"/>
      <c r="AU67" s="24"/>
      <c r="AV67" s="24"/>
      <c r="AW67" s="25"/>
      <c r="AX67" s="243"/>
      <c r="AY67" s="244" t="s">
        <v>143</v>
      </c>
      <c r="AZ67" s="24"/>
      <c r="BA67" s="24"/>
      <c r="BB67" s="25"/>
      <c r="BC67" s="245"/>
    </row>
    <row r="68" ht="15.75" customHeight="1">
      <c r="A68" s="246"/>
      <c r="B68" s="247"/>
      <c r="C68" s="11"/>
      <c r="D68" s="11"/>
      <c r="E68" s="11"/>
      <c r="F68" s="11"/>
      <c r="G68" s="11"/>
      <c r="H68" s="11"/>
      <c r="I68" s="11"/>
      <c r="J68" s="11"/>
      <c r="K68" s="11"/>
      <c r="L68" s="11"/>
      <c r="M68" s="248"/>
      <c r="N68" s="10"/>
      <c r="O68" s="11"/>
      <c r="P68" s="11"/>
      <c r="Q68" s="11"/>
      <c r="R68" s="11"/>
      <c r="S68" s="11"/>
      <c r="T68" s="11"/>
      <c r="U68" s="11"/>
      <c r="V68" s="11"/>
      <c r="W68" s="11"/>
      <c r="X68" s="11"/>
      <c r="Y68" s="248"/>
      <c r="Z68" s="10"/>
      <c r="AA68" s="11"/>
      <c r="AB68" s="11"/>
      <c r="AC68" s="11"/>
      <c r="AD68" s="11"/>
      <c r="AE68" s="11"/>
      <c r="AF68" s="11"/>
      <c r="AG68" s="11"/>
      <c r="AH68" s="11"/>
      <c r="AI68" s="11"/>
      <c r="AJ68" s="11"/>
      <c r="AK68" s="248"/>
      <c r="AL68" s="10"/>
      <c r="AM68" s="11"/>
      <c r="AN68" s="11"/>
      <c r="AO68" s="11"/>
      <c r="AP68" s="11"/>
      <c r="AQ68" s="11"/>
      <c r="AR68" s="11"/>
      <c r="AS68" s="11"/>
      <c r="AT68" s="11"/>
      <c r="AU68" s="11"/>
      <c r="AV68" s="11"/>
      <c r="AW68" s="248"/>
      <c r="AX68" s="249"/>
      <c r="AY68" s="250"/>
      <c r="BB68" s="209"/>
      <c r="BC68" s="251"/>
    </row>
    <row r="69" ht="15.75" customHeight="1">
      <c r="A69" s="252"/>
      <c r="B69" s="253"/>
      <c r="C69" s="5"/>
      <c r="D69" s="5"/>
      <c r="E69" s="5"/>
      <c r="F69" s="5"/>
      <c r="G69" s="5"/>
      <c r="H69" s="5"/>
      <c r="I69" s="5"/>
      <c r="J69" s="5"/>
      <c r="K69" s="5"/>
      <c r="L69" s="5"/>
      <c r="M69" s="225"/>
      <c r="N69" s="254"/>
      <c r="O69" s="5"/>
      <c r="P69" s="5"/>
      <c r="Q69" s="5"/>
      <c r="R69" s="5"/>
      <c r="S69" s="5"/>
      <c r="T69" s="5"/>
      <c r="U69" s="5"/>
      <c r="V69" s="5"/>
      <c r="W69" s="5"/>
      <c r="X69" s="5"/>
      <c r="Y69" s="225"/>
      <c r="Z69" s="255"/>
      <c r="AA69" s="5"/>
      <c r="AB69" s="5"/>
      <c r="AC69" s="5"/>
      <c r="AD69" s="5"/>
      <c r="AE69" s="5"/>
      <c r="AF69" s="5"/>
      <c r="AG69" s="5"/>
      <c r="AH69" s="5"/>
      <c r="AI69" s="5"/>
      <c r="AJ69" s="5"/>
      <c r="AK69" s="225"/>
      <c r="AL69" s="254"/>
      <c r="AM69" s="5"/>
      <c r="AN69" s="5"/>
      <c r="AO69" s="5"/>
      <c r="AP69" s="5"/>
      <c r="AQ69" s="5"/>
      <c r="AR69" s="5"/>
      <c r="AS69" s="5"/>
      <c r="AT69" s="5"/>
      <c r="AU69" s="5"/>
      <c r="AV69" s="5"/>
      <c r="AW69" s="225"/>
      <c r="AX69" s="256"/>
      <c r="AY69" s="257"/>
      <c r="AZ69" s="5"/>
      <c r="BA69" s="5"/>
      <c r="BB69" s="225"/>
      <c r="BC69" s="258"/>
    </row>
    <row r="70" ht="15.75" customHeight="1">
      <c r="A70" s="259"/>
      <c r="B70" s="250"/>
      <c r="M70" s="209"/>
      <c r="N70" s="260"/>
      <c r="Y70" s="209"/>
      <c r="Z70" s="260"/>
      <c r="AK70" s="209"/>
      <c r="AL70" s="260"/>
      <c r="AW70" s="209"/>
      <c r="AX70" s="256"/>
      <c r="AY70" s="250"/>
      <c r="BB70" s="209"/>
      <c r="BC70" s="258"/>
    </row>
    <row r="71" ht="15.75" customHeight="1">
      <c r="A71" s="259"/>
      <c r="B71" s="250"/>
      <c r="M71" s="209"/>
      <c r="N71" s="260"/>
      <c r="Y71" s="209"/>
      <c r="Z71" s="260"/>
      <c r="AK71" s="209"/>
      <c r="AL71" s="260"/>
      <c r="AW71" s="209"/>
      <c r="AX71" s="256"/>
      <c r="AY71" s="250"/>
      <c r="BB71" s="209"/>
      <c r="BC71" s="258"/>
    </row>
    <row r="72" ht="15.75" customHeight="1">
      <c r="A72" s="259"/>
      <c r="B72" s="30"/>
      <c r="C72" s="31"/>
      <c r="D72" s="31"/>
      <c r="E72" s="31"/>
      <c r="F72" s="31"/>
      <c r="G72" s="31"/>
      <c r="H72" s="31"/>
      <c r="I72" s="31"/>
      <c r="J72" s="31"/>
      <c r="K72" s="31"/>
      <c r="L72" s="31"/>
      <c r="M72" s="32"/>
      <c r="N72" s="261"/>
      <c r="O72" s="31"/>
      <c r="P72" s="31"/>
      <c r="Q72" s="31"/>
      <c r="R72" s="31"/>
      <c r="S72" s="31"/>
      <c r="T72" s="31"/>
      <c r="U72" s="31"/>
      <c r="V72" s="31"/>
      <c r="W72" s="31"/>
      <c r="X72" s="31"/>
      <c r="Y72" s="32"/>
      <c r="Z72" s="261"/>
      <c r="AA72" s="31"/>
      <c r="AB72" s="31"/>
      <c r="AC72" s="31"/>
      <c r="AD72" s="31"/>
      <c r="AE72" s="31"/>
      <c r="AF72" s="31"/>
      <c r="AG72" s="31"/>
      <c r="AH72" s="31"/>
      <c r="AI72" s="31"/>
      <c r="AJ72" s="31"/>
      <c r="AK72" s="32"/>
      <c r="AL72" s="261"/>
      <c r="AM72" s="31"/>
      <c r="AN72" s="31"/>
      <c r="AO72" s="31"/>
      <c r="AP72" s="31"/>
      <c r="AQ72" s="31"/>
      <c r="AR72" s="31"/>
      <c r="AS72" s="31"/>
      <c r="AT72" s="31"/>
      <c r="AU72" s="31"/>
      <c r="AV72" s="31"/>
      <c r="AW72" s="32"/>
      <c r="AX72" s="262"/>
      <c r="AY72" s="30"/>
      <c r="AZ72" s="31"/>
      <c r="BA72" s="31"/>
      <c r="BB72" s="32"/>
      <c r="BC72" s="258"/>
    </row>
    <row r="73" ht="15.75" customHeight="1">
      <c r="A73" s="263"/>
      <c r="B73" s="264"/>
      <c r="C73" s="265"/>
      <c r="D73" s="265"/>
      <c r="E73" s="265"/>
      <c r="F73" s="265"/>
      <c r="G73" s="265"/>
      <c r="H73" s="265"/>
      <c r="I73" s="265"/>
      <c r="J73" s="265"/>
      <c r="K73" s="265"/>
      <c r="L73" s="265"/>
      <c r="M73" s="265"/>
      <c r="N73" s="265"/>
      <c r="O73" s="265"/>
      <c r="P73" s="265"/>
      <c r="Q73" s="265"/>
      <c r="R73" s="265"/>
      <c r="S73" s="265"/>
      <c r="T73" s="265"/>
      <c r="U73" s="265"/>
      <c r="V73" s="265"/>
      <c r="W73" s="265"/>
      <c r="X73" s="265"/>
      <c r="Y73" s="265"/>
      <c r="Z73" s="265"/>
      <c r="AA73" s="265"/>
      <c r="AB73" s="265"/>
      <c r="AC73" s="265"/>
      <c r="AD73" s="265"/>
      <c r="AE73" s="265"/>
      <c r="AF73" s="265"/>
      <c r="AG73" s="265"/>
      <c r="AH73" s="265"/>
      <c r="AI73" s="265"/>
      <c r="AJ73" s="265"/>
      <c r="AK73" s="265"/>
      <c r="AL73" s="266"/>
      <c r="AM73" s="265"/>
      <c r="AN73" s="265"/>
      <c r="AO73" s="265"/>
      <c r="AP73" s="265"/>
      <c r="AQ73" s="265"/>
      <c r="AR73" s="265"/>
      <c r="AS73" s="265"/>
      <c r="AT73" s="265"/>
      <c r="AU73" s="265"/>
      <c r="AV73" s="265"/>
      <c r="AW73" s="265"/>
      <c r="AX73" s="265"/>
      <c r="AY73" s="265"/>
      <c r="AZ73" s="265"/>
      <c r="BA73" s="265"/>
      <c r="BB73" s="265"/>
      <c r="BC73" s="267"/>
    </row>
    <row r="74" ht="15.75" customHeight="1">
      <c r="A74" s="268"/>
      <c r="B74" s="269" t="s">
        <v>144</v>
      </c>
      <c r="C74" s="24"/>
      <c r="D74" s="24"/>
      <c r="E74" s="270"/>
      <c r="F74" s="271" t="s">
        <v>145</v>
      </c>
      <c r="G74" s="24"/>
      <c r="H74" s="24"/>
      <c r="I74" s="270"/>
      <c r="J74" s="272" t="s">
        <v>146</v>
      </c>
      <c r="K74" s="24"/>
      <c r="L74" s="24"/>
      <c r="M74" s="270"/>
      <c r="N74" s="272" t="s">
        <v>147</v>
      </c>
      <c r="O74" s="24"/>
      <c r="P74" s="24"/>
      <c r="Q74" s="270"/>
      <c r="R74" s="271" t="s">
        <v>148</v>
      </c>
      <c r="S74" s="24"/>
      <c r="T74" s="24"/>
      <c r="U74" s="24"/>
      <c r="V74" s="271" t="s">
        <v>149</v>
      </c>
      <c r="W74" s="24"/>
      <c r="X74" s="24"/>
      <c r="Y74" s="24"/>
      <c r="Z74" s="273" t="s">
        <v>150</v>
      </c>
      <c r="AA74" s="24"/>
      <c r="AB74" s="24"/>
      <c r="AC74" s="24"/>
      <c r="AD74" s="274" t="s">
        <v>151</v>
      </c>
      <c r="AE74" s="24"/>
      <c r="AF74" s="24"/>
      <c r="AG74" s="270"/>
      <c r="AH74" s="271"/>
      <c r="AI74" s="24"/>
      <c r="AJ74" s="24"/>
      <c r="AK74" s="270"/>
      <c r="AL74" s="271"/>
      <c r="AM74" s="24"/>
      <c r="AN74" s="24"/>
      <c r="AO74" s="270"/>
      <c r="AP74" s="273"/>
      <c r="AQ74" s="24"/>
      <c r="AR74" s="24"/>
      <c r="AS74" s="270"/>
      <c r="AT74" s="271"/>
      <c r="AU74" s="24"/>
      <c r="AV74" s="24"/>
      <c r="AW74" s="270"/>
      <c r="AX74" s="271"/>
      <c r="AY74" s="24"/>
      <c r="AZ74" s="24"/>
      <c r="BA74" s="24"/>
      <c r="BB74" s="25"/>
      <c r="BC74" s="268"/>
    </row>
    <row r="75" ht="15.75" customHeight="1">
      <c r="A75" s="268"/>
      <c r="B75" s="30"/>
      <c r="C75" s="31"/>
      <c r="D75" s="31"/>
      <c r="E75" s="275"/>
      <c r="F75" s="188"/>
      <c r="G75" s="31"/>
      <c r="H75" s="31"/>
      <c r="I75" s="275"/>
      <c r="J75" s="188"/>
      <c r="K75" s="31"/>
      <c r="L75" s="31"/>
      <c r="M75" s="275"/>
      <c r="N75" s="188"/>
      <c r="O75" s="31"/>
      <c r="P75" s="31"/>
      <c r="Q75" s="275"/>
      <c r="R75" s="188"/>
      <c r="S75" s="31"/>
      <c r="T75" s="31"/>
      <c r="U75" s="31"/>
      <c r="V75" s="188"/>
      <c r="W75" s="31"/>
      <c r="X75" s="31"/>
      <c r="Y75" s="31"/>
      <c r="Z75" s="188"/>
      <c r="AA75" s="31"/>
      <c r="AB75" s="31"/>
      <c r="AC75" s="31"/>
      <c r="AD75" s="188"/>
      <c r="AE75" s="31"/>
      <c r="AF75" s="31"/>
      <c r="AG75" s="275"/>
      <c r="AH75" s="188"/>
      <c r="AI75" s="31"/>
      <c r="AJ75" s="31"/>
      <c r="AK75" s="275"/>
      <c r="AL75" s="188"/>
      <c r="AM75" s="31"/>
      <c r="AN75" s="31"/>
      <c r="AO75" s="275"/>
      <c r="AP75" s="188"/>
      <c r="AQ75" s="31"/>
      <c r="AR75" s="31"/>
      <c r="AS75" s="275"/>
      <c r="AT75" s="188"/>
      <c r="AU75" s="31"/>
      <c r="AV75" s="31"/>
      <c r="AW75" s="275"/>
      <c r="AX75" s="188"/>
      <c r="AY75" s="31"/>
      <c r="AZ75" s="31"/>
      <c r="BA75" s="31"/>
      <c r="BB75" s="32"/>
      <c r="BC75" s="268"/>
    </row>
    <row r="76" ht="15.75" customHeight="1">
      <c r="A76" s="268"/>
      <c r="B76" s="276" t="s">
        <v>152</v>
      </c>
      <c r="E76" s="15"/>
      <c r="F76" s="277" t="s">
        <v>153</v>
      </c>
      <c r="I76" s="15"/>
      <c r="J76" s="278" t="s">
        <v>154</v>
      </c>
      <c r="M76" s="15"/>
      <c r="N76" s="278" t="s">
        <v>155</v>
      </c>
      <c r="Q76" s="15"/>
      <c r="R76" s="279" t="s">
        <v>156</v>
      </c>
      <c r="V76" s="279" t="s">
        <v>157</v>
      </c>
      <c r="Z76" s="278" t="s">
        <v>158</v>
      </c>
      <c r="AD76" s="280" t="s">
        <v>159</v>
      </c>
      <c r="AG76" s="15"/>
      <c r="AH76" s="279"/>
      <c r="AK76" s="15"/>
      <c r="AL76" s="279"/>
      <c r="AO76" s="15"/>
      <c r="AP76" s="278"/>
      <c r="AS76" s="15"/>
      <c r="AT76" s="279"/>
      <c r="AW76" s="15"/>
      <c r="AX76" s="279"/>
      <c r="BB76" s="209"/>
      <c r="BC76" s="268"/>
    </row>
    <row r="77" ht="15.75" customHeight="1">
      <c r="A77" s="268"/>
      <c r="B77" s="250"/>
      <c r="E77" s="15"/>
      <c r="F77" s="9"/>
      <c r="I77" s="15"/>
      <c r="J77" s="9"/>
      <c r="M77" s="15"/>
      <c r="N77" s="9"/>
      <c r="Q77" s="15"/>
      <c r="R77" s="9"/>
      <c r="V77" s="9"/>
      <c r="Z77" s="9"/>
      <c r="AD77" s="9"/>
      <c r="AG77" s="15"/>
      <c r="AH77" s="9"/>
      <c r="AK77" s="15"/>
      <c r="AL77" s="9"/>
      <c r="AO77" s="15"/>
      <c r="AP77" s="9"/>
      <c r="AS77" s="15"/>
      <c r="AT77" s="9"/>
      <c r="AW77" s="15"/>
      <c r="AX77" s="9"/>
      <c r="BB77" s="209"/>
      <c r="BC77" s="268"/>
    </row>
    <row r="78" ht="15.75" customHeight="1">
      <c r="A78" s="268"/>
      <c r="B78" s="250"/>
      <c r="E78" s="15"/>
      <c r="F78" s="9"/>
      <c r="I78" s="15"/>
      <c r="J78" s="9"/>
      <c r="M78" s="15"/>
      <c r="N78" s="9"/>
      <c r="Q78" s="15"/>
      <c r="R78" s="9"/>
      <c r="V78" s="9"/>
      <c r="Z78" s="9"/>
      <c r="AD78" s="9"/>
      <c r="AG78" s="15"/>
      <c r="AH78" s="9"/>
      <c r="AK78" s="15"/>
      <c r="AL78" s="9"/>
      <c r="AO78" s="15"/>
      <c r="AP78" s="9"/>
      <c r="AS78" s="15"/>
      <c r="AT78" s="9"/>
      <c r="AW78" s="15"/>
      <c r="AX78" s="9"/>
      <c r="BB78" s="209"/>
      <c r="BC78" s="268"/>
    </row>
    <row r="79" ht="15.75" customHeight="1">
      <c r="A79" s="281"/>
      <c r="B79" s="30"/>
      <c r="C79" s="31"/>
      <c r="D79" s="31"/>
      <c r="E79" s="275"/>
      <c r="F79" s="188"/>
      <c r="G79" s="31"/>
      <c r="H79" s="31"/>
      <c r="I79" s="275"/>
      <c r="J79" s="188"/>
      <c r="K79" s="31"/>
      <c r="L79" s="31"/>
      <c r="M79" s="275"/>
      <c r="N79" s="188"/>
      <c r="O79" s="31"/>
      <c r="P79" s="31"/>
      <c r="Q79" s="275"/>
      <c r="R79" s="9"/>
      <c r="V79" s="9"/>
      <c r="Z79" s="9"/>
      <c r="AD79" s="188"/>
      <c r="AE79" s="31"/>
      <c r="AF79" s="31"/>
      <c r="AG79" s="275"/>
      <c r="AH79" s="188"/>
      <c r="AI79" s="31"/>
      <c r="AJ79" s="31"/>
      <c r="AK79" s="275"/>
      <c r="AL79" s="188"/>
      <c r="AM79" s="31"/>
      <c r="AN79" s="31"/>
      <c r="AO79" s="275"/>
      <c r="AP79" s="188"/>
      <c r="AQ79" s="31"/>
      <c r="AR79" s="31"/>
      <c r="AS79" s="275"/>
      <c r="AT79" s="188"/>
      <c r="AU79" s="31"/>
      <c r="AV79" s="31"/>
      <c r="AW79" s="275"/>
      <c r="AX79" s="188"/>
      <c r="AY79" s="31"/>
      <c r="AZ79" s="31"/>
      <c r="BA79" s="31"/>
      <c r="BB79" s="32"/>
      <c r="BC79" s="268"/>
    </row>
    <row r="80" ht="15.75" customHeight="1">
      <c r="A80" s="282"/>
      <c r="B80" s="265"/>
      <c r="C80" s="265"/>
      <c r="D80" s="265"/>
      <c r="E80" s="265"/>
      <c r="F80" s="265"/>
      <c r="G80" s="265"/>
      <c r="H80" s="265"/>
      <c r="I80" s="265"/>
      <c r="J80" s="265"/>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65"/>
      <c r="AK80" s="265"/>
      <c r="AL80" s="265"/>
      <c r="AM80" s="265"/>
      <c r="AN80" s="265"/>
      <c r="AO80" s="265"/>
      <c r="AP80" s="265"/>
      <c r="AQ80" s="265"/>
      <c r="AR80" s="265"/>
      <c r="AS80" s="265"/>
      <c r="AT80" s="265"/>
      <c r="AU80" s="265"/>
      <c r="AV80" s="265"/>
      <c r="AW80" s="265"/>
      <c r="AX80" s="284" t="s">
        <v>160</v>
      </c>
      <c r="BB80" s="209"/>
      <c r="BC80" s="285"/>
    </row>
    <row r="81" ht="44.25" customHeight="1">
      <c r="A81" s="286" t="s">
        <v>161</v>
      </c>
    </row>
    <row r="82" ht="15.75" customHeight="1" outlineLevel="1">
      <c r="A82" s="287" t="str">
        <f t="shared" ref="A82:A99" si="18">concatenate("cc&lt;=",I19," ",C19)</f>
        <v>cc&lt;=25 관찰력</v>
      </c>
    </row>
    <row r="83" ht="15.75" customHeight="1" outlineLevel="1">
      <c r="A83" s="287" t="str">
        <f t="shared" si="18"/>
        <v>cc&lt;=20 듣기</v>
      </c>
    </row>
    <row r="84" ht="15.75" customHeight="1" outlineLevel="1">
      <c r="A84" s="287" t="str">
        <f t="shared" si="18"/>
        <v>cc&lt;=20 자료조사</v>
      </c>
    </row>
    <row r="85" ht="15.75" customHeight="1" outlineLevel="1">
      <c r="A85" s="287" t="str">
        <f t="shared" si="18"/>
        <v>cc&lt;=5 컴퓨터 사용</v>
      </c>
    </row>
    <row r="86" ht="15.75" customHeight="1" outlineLevel="1">
      <c r="A86" s="287" t="str">
        <f t="shared" si="18"/>
        <v>cc&lt;=1 전자기기</v>
      </c>
    </row>
    <row r="87" ht="15.75" customHeight="1" outlineLevel="1">
      <c r="A87" s="287" t="str">
        <f t="shared" si="18"/>
        <v>cc&lt;=10 전기수리</v>
      </c>
    </row>
    <row r="88" ht="15.75" customHeight="1" outlineLevel="1">
      <c r="A88" s="287" t="str">
        <f t="shared" si="18"/>
        <v>cc&lt;=10 기계수리</v>
      </c>
    </row>
    <row r="89" ht="15.75" customHeight="1" outlineLevel="1">
      <c r="A89" s="287" t="str">
        <f t="shared" si="18"/>
        <v>cc&lt;=20 자동차 운전</v>
      </c>
    </row>
    <row r="90" ht="15.75" customHeight="1" outlineLevel="1">
      <c r="A90" s="287" t="str">
        <f t="shared" si="18"/>
        <v>cc&lt;=1 중장비 조작</v>
      </c>
    </row>
    <row r="91" ht="15.75" customHeight="1" outlineLevel="1">
      <c r="A91" s="287" t="str">
        <f t="shared" si="18"/>
        <v>cc&lt;=1 파일럿()</v>
      </c>
    </row>
    <row r="92" ht="15.75" customHeight="1" outlineLevel="1">
      <c r="A92" s="287" t="str">
        <f t="shared" si="18"/>
        <v>cc&lt;=0 </v>
      </c>
    </row>
    <row r="93" ht="15.75" customHeight="1" outlineLevel="1">
      <c r="A93" s="287" t="str">
        <f t="shared" si="18"/>
        <v>cc&lt;=10 항법</v>
      </c>
    </row>
    <row r="94" ht="15.75" customHeight="1" outlineLevel="1">
      <c r="A94" s="287" t="str">
        <f t="shared" si="18"/>
        <v>cc&lt;=10 추적</v>
      </c>
    </row>
    <row r="95" ht="15.75" customHeight="1" outlineLevel="1">
      <c r="A95" s="287" t="str">
        <f t="shared" si="18"/>
        <v>cc&lt;=5 승마</v>
      </c>
    </row>
    <row r="96" ht="15.75" customHeight="1" outlineLevel="1">
      <c r="A96" s="287" t="str">
        <f t="shared" si="18"/>
        <v>cc&lt;=0 </v>
      </c>
    </row>
    <row r="97" ht="15.75" customHeight="1" outlineLevel="1">
      <c r="A97" s="287" t="str">
        <f t="shared" si="18"/>
        <v>cc&lt;=0 </v>
      </c>
    </row>
    <row r="98" ht="15.75" customHeight="1" outlineLevel="1">
      <c r="A98" s="287" t="str">
        <f t="shared" si="18"/>
        <v>cc&lt;=1 폭파</v>
      </c>
    </row>
    <row r="99" ht="15.75" customHeight="1" outlineLevel="1">
      <c r="A99" s="287" t="str">
        <f t="shared" si="18"/>
        <v>cc&lt;=1 포격</v>
      </c>
    </row>
    <row r="100" ht="15.75" customHeight="1" outlineLevel="1">
      <c r="A100" s="287" t="str">
        <f t="shared" ref="A100:A117" si="19">concatenate("cc&lt;=",S19," ",M19)</f>
        <v>cc&lt;=0 재력</v>
      </c>
    </row>
    <row r="101" ht="15.75" customHeight="1" outlineLevel="1">
      <c r="A101" s="287" t="str">
        <f t="shared" si="19"/>
        <v>cc&lt;=5 회계</v>
      </c>
    </row>
    <row r="102" ht="15.75" customHeight="1" outlineLevel="1">
      <c r="A102" s="287" t="str">
        <f t="shared" si="19"/>
        <v>cc&lt;=10 자연</v>
      </c>
    </row>
    <row r="103" ht="15.75" customHeight="1" outlineLevel="1">
      <c r="A103" s="287" t="str">
        <f t="shared" si="19"/>
        <v>cc&lt;=1 과학(동물학)</v>
      </c>
    </row>
    <row r="104" ht="15.75" customHeight="1" outlineLevel="1">
      <c r="A104" s="287" t="str">
        <f t="shared" si="19"/>
        <v>cc&lt;=0 </v>
      </c>
    </row>
    <row r="105" ht="15.75" customHeight="1" outlineLevel="1">
      <c r="A105" s="287" t="str">
        <f t="shared" si="19"/>
        <v>cc&lt;=0 </v>
      </c>
    </row>
    <row r="106" ht="15.75" customHeight="1" outlineLevel="1">
      <c r="A106" s="287" t="str">
        <f t="shared" si="19"/>
        <v>cc&lt;=5 법률</v>
      </c>
    </row>
    <row r="107" ht="15.75" customHeight="1" outlineLevel="1">
      <c r="A107" s="287" t="str">
        <f t="shared" si="19"/>
        <v>cc&lt;=1 인류학</v>
      </c>
    </row>
    <row r="108" ht="15.75" customHeight="1" outlineLevel="1">
      <c r="A108" s="287" t="str">
        <f t="shared" si="19"/>
        <v>cc&lt;=5 역사</v>
      </c>
    </row>
    <row r="109" ht="15.75" customHeight="1" outlineLevel="1">
      <c r="A109" s="287" t="str">
        <f t="shared" si="19"/>
        <v>cc&lt;=1 고고학</v>
      </c>
    </row>
    <row r="110" ht="15.75" customHeight="1" outlineLevel="1">
      <c r="A110" s="287" t="str">
        <f t="shared" si="19"/>
        <v>cc&lt;=5 감정</v>
      </c>
    </row>
    <row r="111" ht="15.75" customHeight="1" outlineLevel="1">
      <c r="A111" s="287" t="str">
        <f t="shared" si="19"/>
        <v>cc&lt;=5 발레</v>
      </c>
    </row>
    <row r="112" ht="15.75" customHeight="1" outlineLevel="1">
      <c r="A112" s="287" t="str">
        <f t="shared" si="19"/>
        <v>cc&lt;=0 유혹</v>
      </c>
    </row>
    <row r="113" ht="15.75" customHeight="1" outlineLevel="1">
      <c r="A113" s="287" t="str">
        <f t="shared" si="19"/>
        <v>cc&lt;=1 독순술</v>
      </c>
    </row>
    <row r="114" ht="15.75" customHeight="1" outlineLevel="1">
      <c r="A114" s="287" t="str">
        <f t="shared" si="19"/>
        <v>cc&lt;=5 동물 다루기</v>
      </c>
    </row>
    <row r="115" ht="15.75" customHeight="1" outlineLevel="1">
      <c r="A115" s="287" t="str">
        <f t="shared" si="19"/>
        <v>cc&lt;=1 잠수</v>
      </c>
    </row>
    <row r="116" ht="15.75" customHeight="1" outlineLevel="1">
      <c r="A116" s="287" t="str">
        <f t="shared" si="19"/>
        <v>cc&lt;=1 최면술</v>
      </c>
    </row>
    <row r="117" ht="15.75" customHeight="1" outlineLevel="1">
      <c r="A117" s="287" t="str">
        <f t="shared" si="19"/>
        <v>cc&lt;=1 비밀 지식</v>
      </c>
    </row>
    <row r="118" ht="15.75" customHeight="1" outlineLevel="1">
      <c r="A118" s="287" t="str">
        <f t="shared" ref="A118:A135" si="20">concatenate("cc&lt;=",AC19," ",W19)</f>
        <v>cc&lt;=0 크툴루 신화</v>
      </c>
    </row>
    <row r="119" ht="15.75" customHeight="1" outlineLevel="1">
      <c r="A119" s="287" t="str">
        <f t="shared" si="20"/>
        <v>cc&lt;=5 오컬트</v>
      </c>
    </row>
    <row r="120" ht="15.75" customHeight="1" outlineLevel="1">
      <c r="A120" s="287" t="str">
        <f t="shared" si="20"/>
        <v>cc&lt;=1 정신분석</v>
      </c>
    </row>
    <row r="121" ht="15.75" customHeight="1" outlineLevel="1">
      <c r="A121" s="287" t="str">
        <f t="shared" si="20"/>
        <v>cc&lt;=10 심리학</v>
      </c>
    </row>
    <row r="122" ht="15.75" customHeight="1" outlineLevel="1">
      <c r="A122" s="287" t="str">
        <f t="shared" si="20"/>
        <v>cc&lt;=15 위협</v>
      </c>
    </row>
    <row r="123" ht="15.75" customHeight="1" outlineLevel="1">
      <c r="A123" s="287" t="str">
        <f t="shared" si="20"/>
        <v>cc&lt;=15 매혹</v>
      </c>
    </row>
    <row r="124" ht="15.75" customHeight="1" outlineLevel="1">
      <c r="A124" s="287" t="str">
        <f t="shared" si="20"/>
        <v>cc&lt;=5 말재주</v>
      </c>
    </row>
    <row r="125" ht="15.75" customHeight="1" outlineLevel="1">
      <c r="A125" s="287" t="str">
        <f t="shared" si="20"/>
        <v>cc&lt;=10 설득</v>
      </c>
    </row>
    <row r="126" ht="15.75" customHeight="1" outlineLevel="1">
      <c r="A126" s="287" t="str">
        <f t="shared" si="20"/>
        <v>cc&lt;=0 모국어</v>
      </c>
    </row>
    <row r="127" ht="15.75" customHeight="1" outlineLevel="1">
      <c r="A127" s="287" t="str">
        <f t="shared" si="20"/>
        <v>cc&lt;=1 외국어(영어)</v>
      </c>
    </row>
    <row r="128" ht="15.75" customHeight="1" outlineLevel="1">
      <c r="A128" s="287" t="str">
        <f t="shared" si="20"/>
        <v>cc&lt;=0 </v>
      </c>
    </row>
    <row r="129" ht="15.75" customHeight="1" outlineLevel="1">
      <c r="A129" s="287" t="str">
        <f t="shared" si="20"/>
        <v>cc&lt;=20 투척</v>
      </c>
    </row>
    <row r="130" ht="15.75" customHeight="1" outlineLevel="1">
      <c r="A130" s="287" t="str">
        <f t="shared" si="20"/>
        <v>cc&lt;=25 근접전(격투)</v>
      </c>
    </row>
    <row r="131" ht="15.75" customHeight="1" outlineLevel="1">
      <c r="A131" s="287" t="str">
        <f t="shared" si="20"/>
        <v>cc&lt;=20 근접전(도검)</v>
      </c>
    </row>
    <row r="132" ht="15.75" customHeight="1" outlineLevel="1">
      <c r="A132" s="287" t="str">
        <f t="shared" si="20"/>
        <v>cc&lt;=15 근접전(도끼)</v>
      </c>
    </row>
    <row r="133" ht="15.75" customHeight="1" outlineLevel="1">
      <c r="A133" s="287" t="str">
        <f t="shared" si="20"/>
        <v>cc&lt;=20 근접전(창)</v>
      </c>
    </row>
    <row r="134" ht="15.75" customHeight="1" outlineLevel="1">
      <c r="A134" s="287" t="str">
        <f t="shared" si="20"/>
        <v>cc&lt;=5 근접전(채찍)</v>
      </c>
    </row>
    <row r="135" ht="15.75" customHeight="1" outlineLevel="1">
      <c r="A135" s="287" t="str">
        <f t="shared" si="20"/>
        <v>cc&lt;=10 근접전(기타)</v>
      </c>
    </row>
    <row r="136" ht="15.75" customHeight="1" outlineLevel="1">
      <c r="A136" s="287" t="str">
        <f t="shared" ref="A136:A153" si="21">concatenate("cc&lt;=",AM19," ",AG19)</f>
        <v>cc&lt;=1 의료</v>
      </c>
    </row>
    <row r="137" ht="15.75" customHeight="1" outlineLevel="1">
      <c r="A137" s="287" t="str">
        <f t="shared" si="21"/>
        <v>cc&lt;=30 응급처치</v>
      </c>
    </row>
    <row r="138" ht="15.75" customHeight="1" outlineLevel="1">
      <c r="A138" s="287" t="str">
        <f t="shared" si="21"/>
        <v>cc&lt;=10 생존술()</v>
      </c>
    </row>
    <row r="139" ht="15.75" customHeight="1" outlineLevel="1">
      <c r="A139" s="287" t="str">
        <f t="shared" si="21"/>
        <v>cc&lt;=20 수영</v>
      </c>
    </row>
    <row r="140" ht="15.75" customHeight="1" outlineLevel="1">
      <c r="A140" s="287" t="str">
        <f t="shared" si="21"/>
        <v>cc&lt;=20 오르기</v>
      </c>
    </row>
    <row r="141" ht="15.75" customHeight="1" outlineLevel="1">
      <c r="A141" s="287" t="str">
        <f t="shared" si="21"/>
        <v>cc&lt;=20 도약</v>
      </c>
    </row>
    <row r="142" ht="15.75" customHeight="1" outlineLevel="1">
      <c r="A142" s="287" t="str">
        <f t="shared" si="21"/>
        <v>cc&lt;=0 회피</v>
      </c>
    </row>
    <row r="143" ht="15.75" customHeight="1" outlineLevel="1">
      <c r="A143" s="287" t="str">
        <f t="shared" si="21"/>
        <v>cc&lt;=5 변장</v>
      </c>
    </row>
    <row r="144" ht="15.75" customHeight="1" outlineLevel="1">
      <c r="A144" s="287" t="str">
        <f t="shared" si="21"/>
        <v>cc&lt;=20 은밀행동</v>
      </c>
    </row>
    <row r="145" ht="15.75" customHeight="1" outlineLevel="1">
      <c r="A145" s="287" t="str">
        <f t="shared" si="21"/>
        <v>cc&lt;=10 손놀림</v>
      </c>
    </row>
    <row r="146" ht="15.75" customHeight="1" outlineLevel="1">
      <c r="A146" s="287" t="str">
        <f t="shared" si="21"/>
        <v>cc&lt;=1 열쇠공</v>
      </c>
    </row>
    <row r="147" ht="15.75" customHeight="1" outlineLevel="1">
      <c r="A147" s="287" t="str">
        <f t="shared" si="21"/>
        <v>cc&lt;=20 사격(권총)</v>
      </c>
    </row>
    <row r="148" ht="15.75" customHeight="1" outlineLevel="1">
      <c r="A148" s="287" t="str">
        <f t="shared" si="21"/>
        <v>cc&lt;=25 사격(소총)</v>
      </c>
    </row>
    <row r="149" ht="15.75" customHeight="1" outlineLevel="1">
      <c r="A149" s="287" t="str">
        <f t="shared" si="21"/>
        <v>cc&lt;=15 사격(기관단총)</v>
      </c>
    </row>
    <row r="150" ht="15.75" customHeight="1" outlineLevel="1">
      <c r="A150" s="287" t="str">
        <f t="shared" si="21"/>
        <v>cc&lt;=10 사격(기관총)</v>
      </c>
    </row>
    <row r="151" ht="15.75" customHeight="1" outlineLevel="1">
      <c r="A151" s="287" t="str">
        <f t="shared" si="21"/>
        <v>cc&lt;=15 사격(활)</v>
      </c>
    </row>
    <row r="152" ht="15.75" customHeight="1" outlineLevel="1">
      <c r="A152" s="287" t="str">
        <f t="shared" si="21"/>
        <v>cc&lt;=10 사격(중화기)</v>
      </c>
    </row>
    <row r="153" ht="15.75" customHeight="1" outlineLevel="1">
      <c r="A153" s="287" t="str">
        <f t="shared" si="21"/>
        <v>cc&lt;=10 화염방사기</v>
      </c>
    </row>
    <row r="154" ht="15.75" customHeight="1" outlineLevel="1">
      <c r="A154" s="287" t="str">
        <f>concatenate("cc&lt;=",V10," ","근력")</f>
        <v>cc&lt;= 근력</v>
      </c>
    </row>
    <row r="155" ht="15.75" customHeight="1" outlineLevel="1">
      <c r="A155" s="287" t="str">
        <f>concatenate("cc&lt;=",V12," ","건강")</f>
        <v>cc&lt;= 건강</v>
      </c>
    </row>
    <row r="156" ht="15.75" customHeight="1" outlineLevel="1">
      <c r="A156" s="287" t="str">
        <f>concatenate("cc&lt;=",V14," ","크기")</f>
        <v>cc&lt;= 크기</v>
      </c>
    </row>
    <row r="157" ht="15.75" customHeight="1" outlineLevel="1">
      <c r="A157" s="287" t="str">
        <f>concatenate("cc&lt;=",AD10," ","민첩")</f>
        <v>cc&lt;= 민첩</v>
      </c>
    </row>
    <row r="158" ht="15.75" customHeight="1" outlineLevel="1">
      <c r="A158" s="287" t="str">
        <f>concatenate("cc&lt;=",AD12," ","외모")</f>
        <v>cc&lt;= 외모</v>
      </c>
    </row>
    <row r="159" ht="15.75" customHeight="1" outlineLevel="1">
      <c r="A159" s="287" t="str">
        <f>concatenate("cc&lt;=",AD14," ","지능(아이디어)")</f>
        <v>cc&lt;= 지능(아이디어)</v>
      </c>
    </row>
    <row r="160" ht="15.75" customHeight="1" outlineLevel="1">
      <c r="A160" s="287" t="str">
        <f>concatenate("cc&lt;=",AL10," ","정신력")</f>
        <v>cc&lt;= 정신력</v>
      </c>
    </row>
    <row r="161" ht="15.75" customHeight="1" outlineLevel="1">
      <c r="A161" s="287" t="str">
        <f>concatenate("cc&lt;=",AL12," ","교육(지식)")</f>
        <v>cc&lt;= 교육(지식)</v>
      </c>
    </row>
    <row r="162" ht="15.75" customHeight="1" outlineLevel="1">
      <c r="A162" s="288" t="s">
        <v>162</v>
      </c>
    </row>
    <row r="163" ht="15.75" customHeight="1" outlineLevel="1">
      <c r="A163" s="288" t="s">
        <v>163</v>
      </c>
    </row>
    <row r="164" ht="15.75" customHeight="1" outlineLevel="1">
      <c r="A164" s="288" t="str">
        <f t="shared" ref="A164:A170" si="22">if(OR(B41="",S41=""),"",concatenate(S41," ","피해","(",B41,")"))</f>
        <v>1d3+{DB} 피해(맨손)</v>
      </c>
    </row>
    <row r="165" ht="15.75" customHeight="1" outlineLevel="1">
      <c r="A165" s="288" t="str">
        <f t="shared" si="22"/>
        <v/>
      </c>
    </row>
    <row r="166" ht="15.75" customHeight="1" outlineLevel="1">
      <c r="A166" s="288" t="str">
        <f t="shared" si="22"/>
        <v/>
      </c>
    </row>
    <row r="167" ht="15.75" customHeight="1" outlineLevel="1">
      <c r="A167" s="288" t="str">
        <f t="shared" si="22"/>
        <v/>
      </c>
    </row>
    <row r="168" ht="15.75" customHeight="1" outlineLevel="1">
      <c r="A168" s="288" t="str">
        <f t="shared" si="22"/>
        <v/>
      </c>
    </row>
    <row r="169" ht="15.75" customHeight="1" outlineLevel="1">
      <c r="A169" s="288" t="str">
        <f t="shared" si="22"/>
        <v/>
      </c>
    </row>
    <row r="170" ht="15.75" customHeight="1" outlineLevel="1">
      <c r="A170" s="288" t="str">
        <f t="shared" si="22"/>
        <v/>
      </c>
    </row>
    <row r="171" ht="15.75" customHeight="1">
      <c r="A171" s="288"/>
      <c r="B171" s="288"/>
      <c r="C171" s="288"/>
      <c r="D171" s="288"/>
      <c r="E171" s="288"/>
      <c r="F171" s="288"/>
      <c r="G171" s="288"/>
      <c r="H171" s="288"/>
      <c r="I171" s="288"/>
      <c r="J171" s="288"/>
      <c r="K171" s="288"/>
      <c r="L171" s="288"/>
      <c r="M171" s="288"/>
      <c r="N171" s="288"/>
      <c r="O171" s="287"/>
      <c r="P171" s="287"/>
      <c r="Q171" s="287"/>
      <c r="R171" s="287"/>
      <c r="S171" s="287"/>
      <c r="T171" s="287"/>
      <c r="U171" s="287"/>
      <c r="V171" s="287"/>
      <c r="W171" s="287"/>
      <c r="X171" s="287"/>
      <c r="Y171" s="287"/>
      <c r="Z171" s="287"/>
      <c r="AA171" s="287"/>
      <c r="AB171" s="287"/>
      <c r="AC171" s="287"/>
      <c r="AD171" s="287"/>
      <c r="AE171" s="287"/>
      <c r="AF171" s="287"/>
      <c r="AG171" s="287"/>
      <c r="AH171" s="287"/>
      <c r="AI171" s="287"/>
      <c r="AJ171" s="287"/>
      <c r="AK171" s="287"/>
      <c r="AL171" s="287"/>
      <c r="AM171" s="287"/>
      <c r="AN171" s="287"/>
      <c r="AO171" s="287"/>
      <c r="AP171" s="287"/>
      <c r="AQ171" s="287"/>
      <c r="AR171" s="287"/>
      <c r="AS171" s="287"/>
      <c r="AT171" s="287"/>
      <c r="AU171" s="287"/>
      <c r="AV171" s="287"/>
      <c r="AW171" s="287"/>
      <c r="AX171" s="287"/>
      <c r="AY171" s="287"/>
      <c r="AZ171" s="287"/>
      <c r="BA171" s="287"/>
      <c r="BB171" s="287"/>
      <c r="BC171" s="287"/>
    </row>
    <row r="172" ht="15.75" customHeight="1">
      <c r="A172" s="287"/>
      <c r="B172" s="287"/>
      <c r="C172" s="287"/>
      <c r="D172" s="287"/>
      <c r="E172" s="287"/>
      <c r="F172" s="287"/>
      <c r="G172" s="287"/>
      <c r="H172" s="287"/>
      <c r="I172" s="287"/>
      <c r="J172" s="287"/>
      <c r="K172" s="287"/>
      <c r="L172" s="287"/>
      <c r="M172" s="287"/>
      <c r="N172" s="287"/>
      <c r="O172" s="287"/>
      <c r="P172" s="287"/>
      <c r="Q172" s="287"/>
      <c r="R172" s="287"/>
      <c r="S172" s="287"/>
      <c r="T172" s="287"/>
      <c r="U172" s="287"/>
      <c r="V172" s="287"/>
      <c r="W172" s="287"/>
      <c r="X172" s="287"/>
      <c r="Y172" s="287"/>
      <c r="Z172" s="287"/>
      <c r="AA172" s="287"/>
      <c r="AB172" s="287"/>
      <c r="AC172" s="287"/>
      <c r="AD172" s="287"/>
      <c r="AE172" s="287"/>
      <c r="AF172" s="287"/>
      <c r="AG172" s="287"/>
      <c r="AH172" s="287"/>
      <c r="AI172" s="287"/>
      <c r="AJ172" s="287"/>
      <c r="AK172" s="287"/>
      <c r="AL172" s="287"/>
      <c r="AM172" s="287"/>
      <c r="AN172" s="287"/>
      <c r="AO172" s="287"/>
      <c r="AP172" s="287"/>
      <c r="AQ172" s="287"/>
      <c r="AR172" s="287"/>
      <c r="AS172" s="287"/>
      <c r="AT172" s="287"/>
      <c r="AU172" s="287"/>
      <c r="AV172" s="287"/>
      <c r="AW172" s="287"/>
      <c r="AX172" s="287"/>
      <c r="AY172" s="287"/>
      <c r="AZ172" s="287"/>
      <c r="BA172" s="287"/>
      <c r="BB172" s="287"/>
      <c r="BC172" s="287"/>
    </row>
    <row r="173" ht="15.75" customHeight="1">
      <c r="A173" s="287"/>
      <c r="B173" s="287"/>
      <c r="C173" s="287"/>
      <c r="D173" s="287"/>
      <c r="E173" s="287"/>
      <c r="F173" s="287"/>
      <c r="G173" s="287"/>
      <c r="H173" s="287"/>
      <c r="I173" s="287"/>
      <c r="J173" s="287"/>
      <c r="K173" s="287"/>
      <c r="L173" s="287"/>
      <c r="M173" s="287"/>
      <c r="N173" s="287"/>
      <c r="O173" s="287"/>
      <c r="P173" s="287"/>
      <c r="Q173" s="287"/>
      <c r="R173" s="287"/>
      <c r="S173" s="287"/>
      <c r="T173" s="287"/>
      <c r="U173" s="287"/>
      <c r="V173" s="287"/>
      <c r="W173" s="287"/>
      <c r="X173" s="287"/>
      <c r="Y173" s="287"/>
      <c r="Z173" s="287"/>
      <c r="AA173" s="287"/>
      <c r="AB173" s="287"/>
      <c r="AC173" s="287"/>
      <c r="AD173" s="287"/>
      <c r="AE173" s="287"/>
      <c r="AF173" s="287"/>
      <c r="AG173" s="287"/>
      <c r="AH173" s="287"/>
      <c r="AI173" s="287"/>
      <c r="AJ173" s="287"/>
      <c r="AK173" s="287"/>
      <c r="AL173" s="287"/>
      <c r="AM173" s="287"/>
      <c r="AN173" s="287"/>
      <c r="AO173" s="287"/>
      <c r="AP173" s="287"/>
      <c r="AQ173" s="287"/>
      <c r="AR173" s="287"/>
      <c r="AS173" s="287"/>
      <c r="AT173" s="287"/>
      <c r="AU173" s="287"/>
      <c r="AV173" s="287"/>
      <c r="AW173" s="287"/>
      <c r="AX173" s="287"/>
      <c r="AY173" s="287"/>
      <c r="AZ173" s="287"/>
      <c r="BA173" s="287"/>
      <c r="BB173" s="287"/>
      <c r="BC173" s="287"/>
    </row>
    <row r="174" ht="15.75" customHeight="1">
      <c r="A174" s="287"/>
      <c r="B174" s="287"/>
      <c r="C174" s="287"/>
      <c r="D174" s="287"/>
      <c r="E174" s="287"/>
      <c r="F174" s="287"/>
      <c r="G174" s="287"/>
      <c r="H174" s="287"/>
      <c r="I174" s="287"/>
      <c r="J174" s="287"/>
      <c r="K174" s="287"/>
      <c r="L174" s="287"/>
      <c r="M174" s="287"/>
      <c r="N174" s="287"/>
      <c r="O174" s="287"/>
      <c r="P174" s="287"/>
      <c r="Q174" s="287"/>
      <c r="R174" s="287"/>
      <c r="S174" s="287"/>
      <c r="T174" s="287"/>
      <c r="U174" s="287"/>
      <c r="V174" s="287"/>
      <c r="W174" s="287"/>
      <c r="X174" s="287"/>
      <c r="Y174" s="287"/>
      <c r="Z174" s="287"/>
      <c r="AA174" s="287"/>
      <c r="AB174" s="287"/>
      <c r="AC174" s="287"/>
      <c r="AD174" s="287"/>
      <c r="AE174" s="287"/>
      <c r="AF174" s="287"/>
      <c r="AG174" s="287"/>
      <c r="AH174" s="287"/>
      <c r="AI174" s="287"/>
      <c r="AJ174" s="287"/>
      <c r="AK174" s="287"/>
      <c r="AL174" s="287"/>
      <c r="AM174" s="287"/>
      <c r="AN174" s="287"/>
      <c r="AO174" s="287"/>
      <c r="AP174" s="287"/>
      <c r="AQ174" s="287"/>
      <c r="AR174" s="287"/>
      <c r="AS174" s="287"/>
      <c r="AT174" s="287"/>
      <c r="AU174" s="287"/>
      <c r="AV174" s="287"/>
      <c r="AW174" s="287"/>
      <c r="AX174" s="287"/>
      <c r="AY174" s="287"/>
      <c r="AZ174" s="287"/>
      <c r="BA174" s="287"/>
      <c r="BB174" s="287"/>
      <c r="BC174" s="287"/>
    </row>
    <row r="175" ht="15.75" customHeight="1">
      <c r="A175" s="287"/>
      <c r="B175" s="287"/>
      <c r="C175" s="287"/>
      <c r="D175" s="287"/>
      <c r="E175" s="287"/>
      <c r="F175" s="287"/>
      <c r="G175" s="287"/>
      <c r="H175" s="287"/>
      <c r="I175" s="287"/>
      <c r="J175" s="287"/>
      <c r="K175" s="287"/>
      <c r="L175" s="287"/>
      <c r="M175" s="287"/>
      <c r="N175" s="287"/>
      <c r="O175" s="287"/>
      <c r="P175" s="287"/>
      <c r="Q175" s="287"/>
      <c r="R175" s="287"/>
      <c r="S175" s="287"/>
      <c r="T175" s="287"/>
      <c r="U175" s="287"/>
      <c r="V175" s="287"/>
      <c r="W175" s="287"/>
      <c r="X175" s="287"/>
      <c r="Y175" s="287"/>
      <c r="Z175" s="287"/>
      <c r="AA175" s="287"/>
      <c r="AB175" s="287"/>
      <c r="AC175" s="287"/>
      <c r="AD175" s="287"/>
      <c r="AE175" s="287"/>
      <c r="AF175" s="287"/>
      <c r="AG175" s="287"/>
      <c r="AH175" s="287"/>
      <c r="AI175" s="287"/>
      <c r="AJ175" s="287"/>
      <c r="AK175" s="287"/>
      <c r="AL175" s="287"/>
      <c r="AM175" s="287"/>
      <c r="AN175" s="287"/>
      <c r="AO175" s="287"/>
      <c r="AP175" s="287"/>
      <c r="AQ175" s="287"/>
      <c r="AR175" s="287"/>
      <c r="AS175" s="287"/>
      <c r="AT175" s="287"/>
      <c r="AU175" s="287"/>
      <c r="AV175" s="287"/>
      <c r="AW175" s="287"/>
      <c r="AX175" s="287"/>
      <c r="AY175" s="287"/>
      <c r="AZ175" s="287"/>
      <c r="BA175" s="287"/>
      <c r="BB175" s="287"/>
      <c r="BC175" s="287"/>
    </row>
    <row r="176" ht="15.75" customHeight="1">
      <c r="A176" s="287"/>
      <c r="B176" s="287"/>
      <c r="C176" s="287"/>
      <c r="D176" s="287"/>
      <c r="E176" s="287"/>
      <c r="F176" s="287"/>
      <c r="G176" s="287"/>
      <c r="H176" s="287"/>
      <c r="I176" s="287"/>
      <c r="J176" s="287"/>
      <c r="K176" s="287"/>
      <c r="L176" s="287"/>
      <c r="M176" s="287"/>
      <c r="N176" s="287"/>
      <c r="O176" s="287"/>
      <c r="P176" s="287"/>
      <c r="Q176" s="287"/>
      <c r="R176" s="287"/>
      <c r="S176" s="287"/>
      <c r="T176" s="287"/>
      <c r="U176" s="287"/>
      <c r="V176" s="287"/>
      <c r="W176" s="287"/>
      <c r="X176" s="287"/>
      <c r="Y176" s="287"/>
      <c r="Z176" s="287"/>
      <c r="AA176" s="287"/>
      <c r="AB176" s="287"/>
      <c r="AC176" s="287"/>
      <c r="AD176" s="287"/>
      <c r="AE176" s="287"/>
      <c r="AF176" s="287"/>
      <c r="AG176" s="287"/>
      <c r="AH176" s="287"/>
      <c r="AI176" s="287"/>
      <c r="AJ176" s="287"/>
      <c r="AK176" s="287"/>
      <c r="AL176" s="287"/>
      <c r="AM176" s="287"/>
      <c r="AN176" s="287"/>
      <c r="AO176" s="287"/>
      <c r="AP176" s="287"/>
      <c r="AQ176" s="287"/>
      <c r="AR176" s="287"/>
      <c r="AS176" s="287"/>
      <c r="AT176" s="287"/>
      <c r="AU176" s="287"/>
      <c r="AV176" s="287"/>
      <c r="AW176" s="287"/>
      <c r="AX176" s="287"/>
      <c r="AY176" s="287"/>
      <c r="AZ176" s="287"/>
      <c r="BA176" s="287"/>
      <c r="BB176" s="287"/>
      <c r="BC176" s="287"/>
    </row>
    <row r="177" ht="15.75" customHeight="1">
      <c r="A177" s="287"/>
      <c r="B177" s="287"/>
      <c r="C177" s="287"/>
      <c r="D177" s="287"/>
      <c r="E177" s="287"/>
      <c r="F177" s="287"/>
      <c r="G177" s="287"/>
      <c r="H177" s="287"/>
      <c r="I177" s="287"/>
      <c r="J177" s="287"/>
      <c r="K177" s="287"/>
      <c r="L177" s="287"/>
      <c r="M177" s="287"/>
      <c r="N177" s="287"/>
      <c r="O177" s="287"/>
      <c r="P177" s="287"/>
      <c r="Q177" s="287"/>
      <c r="R177" s="287"/>
      <c r="S177" s="287"/>
      <c r="T177" s="287"/>
      <c r="U177" s="287"/>
      <c r="V177" s="287"/>
      <c r="W177" s="287"/>
      <c r="X177" s="287"/>
      <c r="Y177" s="287"/>
      <c r="Z177" s="287"/>
      <c r="AA177" s="287"/>
      <c r="AB177" s="287"/>
      <c r="AC177" s="287"/>
      <c r="AD177" s="287"/>
      <c r="AE177" s="287"/>
      <c r="AF177" s="287"/>
      <c r="AG177" s="287"/>
      <c r="AH177" s="287"/>
      <c r="AI177" s="287"/>
      <c r="AJ177" s="287"/>
      <c r="AK177" s="287"/>
      <c r="AL177" s="287"/>
      <c r="AM177" s="287"/>
      <c r="AN177" s="287"/>
      <c r="AO177" s="287"/>
      <c r="AP177" s="287"/>
      <c r="AQ177" s="287"/>
      <c r="AR177" s="287"/>
      <c r="AS177" s="287"/>
      <c r="AT177" s="287"/>
      <c r="AU177" s="287"/>
      <c r="AV177" s="287"/>
      <c r="AW177" s="287"/>
      <c r="AX177" s="287"/>
      <c r="AY177" s="287"/>
      <c r="AZ177" s="287"/>
      <c r="BA177" s="287"/>
      <c r="BB177" s="287"/>
      <c r="BC177" s="287"/>
    </row>
    <row r="178" ht="15.75" customHeight="1">
      <c r="A178" s="287"/>
      <c r="B178" s="287"/>
      <c r="C178" s="287"/>
      <c r="D178" s="287"/>
      <c r="E178" s="287"/>
      <c r="F178" s="287"/>
      <c r="G178" s="287"/>
      <c r="H178" s="287"/>
      <c r="I178" s="287"/>
      <c r="J178" s="287"/>
      <c r="K178" s="287"/>
      <c r="L178" s="287"/>
      <c r="M178" s="287"/>
      <c r="N178" s="287"/>
      <c r="O178" s="287"/>
      <c r="P178" s="287"/>
      <c r="Q178" s="287"/>
      <c r="R178" s="287"/>
      <c r="S178" s="287"/>
      <c r="T178" s="287"/>
      <c r="U178" s="287"/>
      <c r="V178" s="287"/>
      <c r="W178" s="287"/>
      <c r="X178" s="287"/>
      <c r="Y178" s="287"/>
      <c r="Z178" s="287"/>
      <c r="AA178" s="287"/>
      <c r="AB178" s="287"/>
      <c r="AC178" s="287"/>
      <c r="AD178" s="287"/>
      <c r="AE178" s="287"/>
      <c r="AF178" s="287"/>
      <c r="AG178" s="287"/>
      <c r="AH178" s="287"/>
      <c r="AI178" s="287"/>
      <c r="AJ178" s="287"/>
      <c r="AK178" s="287"/>
      <c r="AL178" s="287"/>
      <c r="AM178" s="287"/>
      <c r="AN178" s="287"/>
      <c r="AO178" s="287"/>
      <c r="AP178" s="287"/>
      <c r="AQ178" s="287"/>
      <c r="AR178" s="287"/>
      <c r="AS178" s="287"/>
      <c r="AT178" s="287"/>
      <c r="AU178" s="287"/>
      <c r="AV178" s="287"/>
      <c r="AW178" s="287"/>
      <c r="AX178" s="287"/>
      <c r="AY178" s="287"/>
      <c r="AZ178" s="287"/>
      <c r="BA178" s="287"/>
      <c r="BB178" s="287"/>
      <c r="BC178" s="287"/>
    </row>
    <row r="179" ht="15.75" customHeight="1">
      <c r="A179" s="287"/>
      <c r="B179" s="287"/>
      <c r="C179" s="287"/>
      <c r="D179" s="287"/>
      <c r="E179" s="287"/>
      <c r="F179" s="287"/>
      <c r="G179" s="287"/>
      <c r="H179" s="287"/>
      <c r="I179" s="287"/>
      <c r="J179" s="287"/>
      <c r="K179" s="287"/>
      <c r="L179" s="287"/>
      <c r="M179" s="287"/>
      <c r="N179" s="287"/>
      <c r="O179" s="287"/>
      <c r="P179" s="287"/>
      <c r="Q179" s="287"/>
      <c r="R179" s="287"/>
      <c r="S179" s="287"/>
      <c r="T179" s="287"/>
      <c r="U179" s="287"/>
      <c r="V179" s="287"/>
      <c r="W179" s="287"/>
      <c r="X179" s="287"/>
      <c r="Y179" s="287"/>
      <c r="Z179" s="287"/>
      <c r="AA179" s="287"/>
      <c r="AB179" s="287"/>
      <c r="AC179" s="287"/>
      <c r="AD179" s="287"/>
      <c r="AE179" s="287"/>
      <c r="AF179" s="287"/>
      <c r="AG179" s="287"/>
      <c r="AH179" s="287"/>
      <c r="AI179" s="287"/>
      <c r="AJ179" s="287"/>
      <c r="AK179" s="287"/>
      <c r="AL179" s="287"/>
      <c r="AM179" s="287"/>
      <c r="AN179" s="287"/>
      <c r="AO179" s="287"/>
      <c r="AP179" s="287"/>
      <c r="AQ179" s="287"/>
      <c r="AR179" s="287"/>
      <c r="AS179" s="287"/>
      <c r="AT179" s="287"/>
      <c r="AU179" s="287"/>
      <c r="AV179" s="287"/>
      <c r="AW179" s="287"/>
      <c r="AX179" s="287"/>
      <c r="AY179" s="287"/>
      <c r="AZ179" s="287"/>
      <c r="BA179" s="287"/>
      <c r="BB179" s="287"/>
      <c r="BC179" s="287"/>
    </row>
    <row r="180" ht="15.75" customHeight="1">
      <c r="A180" s="287"/>
      <c r="B180" s="287"/>
      <c r="C180" s="287"/>
      <c r="D180" s="287"/>
      <c r="E180" s="287"/>
      <c r="F180" s="287"/>
      <c r="G180" s="287"/>
      <c r="H180" s="287"/>
      <c r="I180" s="287"/>
      <c r="J180" s="287"/>
      <c r="K180" s="287"/>
      <c r="L180" s="287"/>
      <c r="M180" s="287"/>
      <c r="N180" s="287"/>
      <c r="O180" s="287"/>
      <c r="P180" s="287"/>
      <c r="Q180" s="287"/>
      <c r="R180" s="287"/>
      <c r="S180" s="287"/>
      <c r="T180" s="287"/>
      <c r="U180" s="287"/>
      <c r="V180" s="287"/>
      <c r="W180" s="287"/>
      <c r="X180" s="287"/>
      <c r="Y180" s="287"/>
      <c r="Z180" s="287"/>
      <c r="AA180" s="287"/>
      <c r="AB180" s="287"/>
      <c r="AC180" s="287"/>
      <c r="AD180" s="287"/>
      <c r="AE180" s="287"/>
      <c r="AF180" s="287"/>
      <c r="AG180" s="287"/>
      <c r="AH180" s="287"/>
      <c r="AI180" s="287"/>
      <c r="AJ180" s="287"/>
      <c r="AK180" s="287"/>
      <c r="AL180" s="287"/>
      <c r="AM180" s="287"/>
      <c r="AN180" s="287"/>
      <c r="AO180" s="287"/>
      <c r="AP180" s="287"/>
      <c r="AQ180" s="287"/>
      <c r="AR180" s="287"/>
      <c r="AS180" s="287"/>
      <c r="AT180" s="287"/>
      <c r="AU180" s="287"/>
      <c r="AV180" s="287"/>
      <c r="AW180" s="287"/>
      <c r="AX180" s="287"/>
      <c r="AY180" s="287"/>
      <c r="AZ180" s="287"/>
      <c r="BA180" s="287"/>
      <c r="BB180" s="287"/>
      <c r="BC180" s="287"/>
    </row>
    <row r="181" ht="15.75" customHeight="1">
      <c r="A181" s="287"/>
      <c r="B181" s="287"/>
      <c r="C181" s="287"/>
      <c r="D181" s="287"/>
      <c r="E181" s="287"/>
      <c r="F181" s="287"/>
      <c r="G181" s="287"/>
      <c r="H181" s="287"/>
      <c r="I181" s="287"/>
      <c r="J181" s="287"/>
      <c r="K181" s="287"/>
      <c r="L181" s="287"/>
      <c r="M181" s="287"/>
      <c r="N181" s="287"/>
      <c r="O181" s="287"/>
      <c r="P181" s="287"/>
      <c r="Q181" s="287"/>
      <c r="R181" s="287"/>
      <c r="S181" s="287"/>
      <c r="T181" s="287"/>
      <c r="U181" s="287"/>
      <c r="V181" s="287"/>
      <c r="W181" s="287"/>
      <c r="X181" s="287"/>
      <c r="Y181" s="287"/>
      <c r="Z181" s="287"/>
      <c r="AA181" s="287"/>
      <c r="AB181" s="287"/>
      <c r="AC181" s="287"/>
      <c r="AD181" s="287"/>
      <c r="AE181" s="287"/>
      <c r="AF181" s="287"/>
      <c r="AG181" s="287"/>
      <c r="AH181" s="287"/>
      <c r="AI181" s="287"/>
      <c r="AJ181" s="287"/>
      <c r="AK181" s="287"/>
      <c r="AL181" s="287"/>
      <c r="AM181" s="287"/>
      <c r="AN181" s="287"/>
      <c r="AO181" s="287"/>
      <c r="AP181" s="287"/>
      <c r="AQ181" s="287"/>
      <c r="AR181" s="287"/>
      <c r="AS181" s="287"/>
      <c r="AT181" s="287"/>
      <c r="AU181" s="287"/>
      <c r="AV181" s="287"/>
      <c r="AW181" s="287"/>
      <c r="AX181" s="287"/>
      <c r="AY181" s="287"/>
      <c r="AZ181" s="287"/>
      <c r="BA181" s="287"/>
      <c r="BB181" s="287"/>
      <c r="BC181" s="287"/>
    </row>
    <row r="182" ht="15.75" customHeight="1">
      <c r="A182" s="287"/>
      <c r="B182" s="287"/>
      <c r="C182" s="287"/>
      <c r="D182" s="287"/>
      <c r="E182" s="287"/>
      <c r="F182" s="287"/>
      <c r="G182" s="287"/>
      <c r="H182" s="287"/>
      <c r="I182" s="287"/>
      <c r="J182" s="287"/>
      <c r="K182" s="287"/>
      <c r="L182" s="287"/>
      <c r="M182" s="287"/>
      <c r="N182" s="287"/>
      <c r="O182" s="287"/>
      <c r="P182" s="287"/>
      <c r="Q182" s="287"/>
      <c r="R182" s="287"/>
      <c r="S182" s="287"/>
      <c r="T182" s="287"/>
      <c r="U182" s="287"/>
      <c r="V182" s="287"/>
      <c r="W182" s="287"/>
      <c r="X182" s="287"/>
      <c r="Y182" s="287"/>
      <c r="Z182" s="287"/>
      <c r="AA182" s="287"/>
      <c r="AB182" s="287"/>
      <c r="AC182" s="287"/>
      <c r="AD182" s="287"/>
      <c r="AE182" s="287"/>
      <c r="AF182" s="287"/>
      <c r="AG182" s="287"/>
      <c r="AH182" s="287"/>
      <c r="AI182" s="287"/>
      <c r="AJ182" s="287"/>
      <c r="AK182" s="287"/>
      <c r="AL182" s="287"/>
      <c r="AM182" s="287"/>
      <c r="AN182" s="287"/>
      <c r="AO182" s="287"/>
      <c r="AP182" s="287"/>
      <c r="AQ182" s="287"/>
      <c r="AR182" s="287"/>
      <c r="AS182" s="287"/>
      <c r="AT182" s="287"/>
      <c r="AU182" s="287"/>
      <c r="AV182" s="287"/>
      <c r="AW182" s="287"/>
      <c r="AX182" s="287"/>
      <c r="AY182" s="287"/>
      <c r="AZ182" s="287"/>
      <c r="BA182" s="287"/>
      <c r="BB182" s="287"/>
      <c r="BC182" s="287"/>
    </row>
    <row r="183" ht="15.75" customHeight="1">
      <c r="A183" s="287"/>
      <c r="B183" s="287"/>
      <c r="C183" s="287"/>
      <c r="D183" s="287"/>
      <c r="E183" s="287"/>
      <c r="F183" s="287"/>
      <c r="G183" s="287"/>
      <c r="H183" s="287"/>
      <c r="I183" s="287"/>
      <c r="J183" s="287"/>
      <c r="K183" s="287"/>
      <c r="L183" s="287"/>
      <c r="M183" s="287"/>
      <c r="N183" s="287"/>
      <c r="O183" s="287"/>
      <c r="P183" s="287"/>
      <c r="Q183" s="287"/>
      <c r="R183" s="287"/>
      <c r="S183" s="287"/>
      <c r="T183" s="287"/>
      <c r="U183" s="287"/>
      <c r="V183" s="287"/>
      <c r="W183" s="287"/>
      <c r="X183" s="287"/>
      <c r="Y183" s="287"/>
      <c r="Z183" s="287"/>
      <c r="AA183" s="287"/>
      <c r="AB183" s="287"/>
      <c r="AC183" s="287"/>
      <c r="AD183" s="287"/>
      <c r="AE183" s="287"/>
      <c r="AF183" s="287"/>
      <c r="AG183" s="287"/>
      <c r="AH183" s="287"/>
      <c r="AI183" s="287"/>
      <c r="AJ183" s="287"/>
      <c r="AK183" s="287"/>
      <c r="AL183" s="287"/>
      <c r="AM183" s="287"/>
      <c r="AN183" s="287"/>
      <c r="AO183" s="287"/>
      <c r="AP183" s="287"/>
      <c r="AQ183" s="287"/>
      <c r="AR183" s="287"/>
      <c r="AS183" s="287"/>
      <c r="AT183" s="287"/>
      <c r="AU183" s="287"/>
      <c r="AV183" s="287"/>
      <c r="AW183" s="287"/>
      <c r="AX183" s="287"/>
      <c r="AY183" s="287"/>
      <c r="AZ183" s="287"/>
      <c r="BA183" s="287"/>
      <c r="BB183" s="287"/>
      <c r="BC183" s="287"/>
    </row>
    <row r="184" ht="15.75" customHeight="1">
      <c r="A184" s="287"/>
      <c r="B184" s="287"/>
      <c r="C184" s="287"/>
      <c r="D184" s="287"/>
      <c r="E184" s="287"/>
      <c r="F184" s="287"/>
      <c r="G184" s="287"/>
      <c r="H184" s="287"/>
      <c r="I184" s="287"/>
      <c r="J184" s="287"/>
      <c r="K184" s="287"/>
      <c r="L184" s="287"/>
      <c r="M184" s="287"/>
      <c r="N184" s="287"/>
      <c r="O184" s="287"/>
      <c r="P184" s="287"/>
      <c r="Q184" s="287"/>
      <c r="R184" s="287"/>
      <c r="S184" s="287"/>
      <c r="T184" s="287"/>
      <c r="U184" s="287"/>
      <c r="V184" s="287"/>
      <c r="W184" s="287"/>
      <c r="X184" s="287"/>
      <c r="Y184" s="287"/>
      <c r="Z184" s="287"/>
      <c r="AA184" s="287"/>
      <c r="AB184" s="287"/>
      <c r="AC184" s="287"/>
      <c r="AD184" s="287"/>
      <c r="AE184" s="287"/>
      <c r="AF184" s="287"/>
      <c r="AG184" s="287"/>
      <c r="AH184" s="287"/>
      <c r="AI184" s="287"/>
      <c r="AJ184" s="287"/>
      <c r="AK184" s="287"/>
      <c r="AL184" s="287"/>
      <c r="AM184" s="287"/>
      <c r="AN184" s="287"/>
      <c r="AO184" s="287"/>
      <c r="AP184" s="287"/>
      <c r="AQ184" s="287"/>
      <c r="AR184" s="287"/>
      <c r="AS184" s="287"/>
      <c r="AT184" s="287"/>
      <c r="AU184" s="287"/>
      <c r="AV184" s="287"/>
      <c r="AW184" s="287"/>
      <c r="AX184" s="287"/>
      <c r="AY184" s="287"/>
      <c r="AZ184" s="287"/>
      <c r="BA184" s="287"/>
      <c r="BB184" s="287"/>
      <c r="BC184" s="287"/>
    </row>
    <row r="185" ht="15.75" customHeight="1">
      <c r="A185" s="287"/>
      <c r="B185" s="287"/>
      <c r="C185" s="287"/>
      <c r="D185" s="287"/>
      <c r="E185" s="287"/>
      <c r="F185" s="287"/>
      <c r="G185" s="287"/>
      <c r="H185" s="287"/>
      <c r="I185" s="287"/>
      <c r="J185" s="287"/>
      <c r="K185" s="287"/>
      <c r="L185" s="287"/>
      <c r="M185" s="287"/>
      <c r="N185" s="287"/>
      <c r="O185" s="287"/>
      <c r="P185" s="287"/>
      <c r="Q185" s="287"/>
      <c r="R185" s="287"/>
      <c r="S185" s="287"/>
      <c r="T185" s="287"/>
      <c r="U185" s="287"/>
      <c r="V185" s="287"/>
      <c r="W185" s="287"/>
      <c r="X185" s="287"/>
      <c r="Y185" s="287"/>
      <c r="Z185" s="287"/>
      <c r="AA185" s="287"/>
      <c r="AB185" s="287"/>
      <c r="AC185" s="287"/>
      <c r="AD185" s="287"/>
      <c r="AE185" s="287"/>
      <c r="AF185" s="287"/>
      <c r="AG185" s="287"/>
      <c r="AH185" s="287"/>
      <c r="AI185" s="287"/>
      <c r="AJ185" s="287"/>
      <c r="AK185" s="287"/>
      <c r="AL185" s="287"/>
      <c r="AM185" s="287"/>
      <c r="AN185" s="287"/>
      <c r="AO185" s="287"/>
      <c r="AP185" s="287"/>
      <c r="AQ185" s="287"/>
      <c r="AR185" s="287"/>
      <c r="AS185" s="287"/>
      <c r="AT185" s="287"/>
      <c r="AU185" s="287"/>
      <c r="AV185" s="287"/>
      <c r="AW185" s="287"/>
      <c r="AX185" s="287"/>
      <c r="AY185" s="287"/>
      <c r="AZ185" s="287"/>
      <c r="BA185" s="287"/>
      <c r="BB185" s="287"/>
      <c r="BC185" s="287"/>
    </row>
    <row r="186" ht="15.75" customHeight="1">
      <c r="A186" s="287"/>
      <c r="B186" s="287"/>
      <c r="C186" s="287"/>
      <c r="D186" s="287"/>
      <c r="E186" s="287"/>
      <c r="F186" s="287"/>
      <c r="G186" s="287"/>
      <c r="H186" s="287"/>
      <c r="I186" s="287"/>
      <c r="J186" s="287"/>
      <c r="K186" s="287"/>
      <c r="L186" s="287"/>
      <c r="M186" s="287"/>
      <c r="N186" s="287"/>
      <c r="O186" s="287"/>
      <c r="P186" s="287"/>
      <c r="Q186" s="287"/>
      <c r="R186" s="287"/>
      <c r="S186" s="287"/>
      <c r="T186" s="287"/>
      <c r="U186" s="287"/>
      <c r="V186" s="287"/>
      <c r="W186" s="287"/>
      <c r="X186" s="287"/>
      <c r="Y186" s="287"/>
      <c r="Z186" s="287"/>
      <c r="AA186" s="287"/>
      <c r="AB186" s="287"/>
      <c r="AC186" s="287"/>
      <c r="AD186" s="287"/>
      <c r="AE186" s="287"/>
      <c r="AF186" s="287"/>
      <c r="AG186" s="287"/>
      <c r="AH186" s="287"/>
      <c r="AI186" s="287"/>
      <c r="AJ186" s="287"/>
      <c r="AK186" s="287"/>
      <c r="AL186" s="287"/>
      <c r="AM186" s="287"/>
      <c r="AN186" s="287"/>
      <c r="AO186" s="287"/>
      <c r="AP186" s="287"/>
      <c r="AQ186" s="287"/>
      <c r="AR186" s="287"/>
      <c r="AS186" s="287"/>
      <c r="AT186" s="287"/>
      <c r="AU186" s="287"/>
      <c r="AV186" s="287"/>
      <c r="AW186" s="287"/>
      <c r="AX186" s="287"/>
      <c r="AY186" s="287"/>
      <c r="AZ186" s="287"/>
      <c r="BA186" s="287"/>
      <c r="BB186" s="287"/>
      <c r="BC186" s="287"/>
    </row>
    <row r="187" ht="15.75" customHeight="1">
      <c r="A187" s="287"/>
      <c r="B187" s="287"/>
      <c r="C187" s="287"/>
      <c r="D187" s="287"/>
      <c r="E187" s="287"/>
      <c r="F187" s="287"/>
      <c r="G187" s="287"/>
      <c r="H187" s="287"/>
      <c r="I187" s="287"/>
      <c r="J187" s="287"/>
      <c r="K187" s="287"/>
      <c r="L187" s="287"/>
      <c r="M187" s="287"/>
      <c r="N187" s="287"/>
      <c r="O187" s="287"/>
      <c r="P187" s="287"/>
      <c r="Q187" s="287"/>
      <c r="R187" s="287"/>
      <c r="S187" s="287"/>
      <c r="T187" s="287"/>
      <c r="U187" s="287"/>
      <c r="V187" s="287"/>
      <c r="W187" s="287"/>
      <c r="X187" s="287"/>
      <c r="Y187" s="287"/>
      <c r="Z187" s="287"/>
      <c r="AA187" s="287"/>
      <c r="AB187" s="287"/>
      <c r="AC187" s="287"/>
      <c r="AD187" s="287"/>
      <c r="AE187" s="287"/>
      <c r="AF187" s="287"/>
      <c r="AG187" s="287"/>
      <c r="AH187" s="287"/>
      <c r="AI187" s="287"/>
      <c r="AJ187" s="287"/>
      <c r="AK187" s="287"/>
      <c r="AL187" s="287"/>
      <c r="AM187" s="287"/>
      <c r="AN187" s="287"/>
      <c r="AO187" s="287"/>
      <c r="AP187" s="287"/>
      <c r="AQ187" s="287"/>
      <c r="AR187" s="287"/>
      <c r="AS187" s="287"/>
      <c r="AT187" s="287"/>
      <c r="AU187" s="287"/>
      <c r="AV187" s="287"/>
      <c r="AW187" s="287"/>
      <c r="AX187" s="287"/>
      <c r="AY187" s="287"/>
      <c r="AZ187" s="287"/>
      <c r="BA187" s="287"/>
      <c r="BB187" s="287"/>
      <c r="BC187" s="287"/>
    </row>
    <row r="188" ht="15.75" customHeight="1">
      <c r="A188" s="287"/>
      <c r="B188" s="287"/>
      <c r="C188" s="287"/>
      <c r="D188" s="287"/>
      <c r="E188" s="287"/>
      <c r="F188" s="287"/>
      <c r="G188" s="287"/>
      <c r="H188" s="287"/>
      <c r="I188" s="287"/>
      <c r="J188" s="287"/>
      <c r="K188" s="287"/>
      <c r="L188" s="287"/>
      <c r="M188" s="287"/>
      <c r="N188" s="287"/>
      <c r="O188" s="287"/>
      <c r="P188" s="287"/>
      <c r="Q188" s="287"/>
      <c r="R188" s="287"/>
      <c r="S188" s="287"/>
      <c r="T188" s="287"/>
      <c r="U188" s="287"/>
      <c r="V188" s="287"/>
      <c r="W188" s="287"/>
      <c r="X188" s="287"/>
      <c r="Y188" s="287"/>
      <c r="Z188" s="287"/>
      <c r="AA188" s="287"/>
      <c r="AB188" s="287"/>
      <c r="AC188" s="287"/>
      <c r="AD188" s="287"/>
      <c r="AE188" s="287"/>
      <c r="AF188" s="287"/>
      <c r="AG188" s="287"/>
      <c r="AH188" s="287"/>
      <c r="AI188" s="287"/>
      <c r="AJ188" s="287"/>
      <c r="AK188" s="287"/>
      <c r="AL188" s="287"/>
      <c r="AM188" s="287"/>
      <c r="AN188" s="287"/>
      <c r="AO188" s="287"/>
      <c r="AP188" s="287"/>
      <c r="AQ188" s="287"/>
      <c r="AR188" s="287"/>
      <c r="AS188" s="287"/>
      <c r="AT188" s="287"/>
      <c r="AU188" s="287"/>
      <c r="AV188" s="287"/>
      <c r="AW188" s="287"/>
      <c r="AX188" s="287"/>
      <c r="AY188" s="287"/>
      <c r="AZ188" s="287"/>
      <c r="BA188" s="287"/>
      <c r="BB188" s="287"/>
      <c r="BC188" s="287"/>
    </row>
    <row r="189" ht="15.75" customHeight="1">
      <c r="A189" s="287"/>
      <c r="B189" s="287"/>
      <c r="C189" s="287"/>
      <c r="D189" s="287"/>
      <c r="E189" s="287"/>
      <c r="F189" s="287"/>
      <c r="G189" s="287"/>
      <c r="H189" s="287"/>
      <c r="I189" s="287"/>
      <c r="J189" s="287"/>
      <c r="K189" s="287"/>
      <c r="L189" s="287"/>
      <c r="M189" s="287"/>
      <c r="N189" s="287"/>
      <c r="O189" s="287"/>
      <c r="P189" s="287"/>
      <c r="Q189" s="287"/>
      <c r="R189" s="287"/>
      <c r="S189" s="287"/>
      <c r="T189" s="287"/>
      <c r="U189" s="287"/>
      <c r="V189" s="287"/>
      <c r="W189" s="287"/>
      <c r="X189" s="287"/>
      <c r="Y189" s="287"/>
      <c r="Z189" s="287"/>
      <c r="AA189" s="287"/>
      <c r="AB189" s="287"/>
      <c r="AC189" s="287"/>
      <c r="AD189" s="287"/>
      <c r="AE189" s="287"/>
      <c r="AF189" s="287"/>
      <c r="AG189" s="287"/>
      <c r="AH189" s="287"/>
      <c r="AI189" s="287"/>
      <c r="AJ189" s="287"/>
      <c r="AK189" s="287"/>
      <c r="AL189" s="287"/>
      <c r="AM189" s="287"/>
      <c r="AN189" s="287"/>
      <c r="AO189" s="287"/>
      <c r="AP189" s="287"/>
      <c r="AQ189" s="287"/>
      <c r="AR189" s="287"/>
      <c r="AS189" s="287"/>
      <c r="AT189" s="287"/>
      <c r="AU189" s="287"/>
      <c r="AV189" s="287"/>
      <c r="AW189" s="287"/>
      <c r="AX189" s="287"/>
      <c r="AY189" s="287"/>
      <c r="AZ189" s="287"/>
      <c r="BA189" s="287"/>
      <c r="BB189" s="287"/>
      <c r="BC189" s="287"/>
    </row>
    <row r="190" ht="15.75" customHeight="1">
      <c r="A190" s="287"/>
      <c r="B190" s="287"/>
      <c r="C190" s="287"/>
      <c r="D190" s="287"/>
      <c r="E190" s="287"/>
      <c r="F190" s="287"/>
      <c r="G190" s="287"/>
      <c r="H190" s="287"/>
      <c r="I190" s="287"/>
      <c r="J190" s="287"/>
      <c r="K190" s="287"/>
      <c r="L190" s="287"/>
      <c r="M190" s="287"/>
      <c r="N190" s="287"/>
      <c r="O190" s="287"/>
      <c r="P190" s="287"/>
      <c r="Q190" s="287"/>
      <c r="R190" s="287"/>
      <c r="S190" s="287"/>
      <c r="T190" s="287"/>
      <c r="U190" s="287"/>
      <c r="V190" s="287"/>
      <c r="W190" s="287"/>
      <c r="X190" s="287"/>
      <c r="Y190" s="287"/>
      <c r="Z190" s="287"/>
      <c r="AA190" s="287"/>
      <c r="AB190" s="287"/>
      <c r="AC190" s="287"/>
      <c r="AD190" s="287"/>
      <c r="AE190" s="287"/>
      <c r="AF190" s="287"/>
      <c r="AG190" s="287"/>
      <c r="AH190" s="287"/>
      <c r="AI190" s="287"/>
      <c r="AJ190" s="287"/>
      <c r="AK190" s="287"/>
      <c r="AL190" s="287"/>
      <c r="AM190" s="287"/>
      <c r="AN190" s="287"/>
      <c r="AO190" s="287"/>
      <c r="AP190" s="287"/>
      <c r="AQ190" s="287"/>
      <c r="AR190" s="287"/>
      <c r="AS190" s="287"/>
      <c r="AT190" s="287"/>
      <c r="AU190" s="287"/>
      <c r="AV190" s="287"/>
      <c r="AW190" s="287"/>
      <c r="AX190" s="287"/>
      <c r="AY190" s="287"/>
      <c r="AZ190" s="287"/>
      <c r="BA190" s="287"/>
      <c r="BB190" s="287"/>
      <c r="BC190" s="287"/>
    </row>
    <row r="191" ht="15.75" customHeight="1">
      <c r="A191" s="287"/>
      <c r="B191" s="287"/>
      <c r="C191" s="287"/>
      <c r="D191" s="287"/>
      <c r="E191" s="287"/>
      <c r="F191" s="287"/>
      <c r="G191" s="287"/>
      <c r="H191" s="287"/>
      <c r="I191" s="287"/>
      <c r="J191" s="287"/>
      <c r="K191" s="287"/>
      <c r="L191" s="287"/>
      <c r="M191" s="287"/>
      <c r="N191" s="287"/>
      <c r="O191" s="287"/>
      <c r="P191" s="287"/>
      <c r="Q191" s="287"/>
      <c r="R191" s="287"/>
      <c r="S191" s="287"/>
      <c r="T191" s="287"/>
      <c r="U191" s="287"/>
      <c r="V191" s="287"/>
      <c r="W191" s="287"/>
      <c r="X191" s="287"/>
      <c r="Y191" s="287"/>
      <c r="Z191" s="287"/>
      <c r="AA191" s="287"/>
      <c r="AB191" s="287"/>
      <c r="AC191" s="287"/>
      <c r="AD191" s="287"/>
      <c r="AE191" s="287"/>
      <c r="AF191" s="287"/>
      <c r="AG191" s="287"/>
      <c r="AH191" s="287"/>
      <c r="AI191" s="287"/>
      <c r="AJ191" s="287"/>
      <c r="AK191" s="287"/>
      <c r="AL191" s="287"/>
      <c r="AM191" s="287"/>
      <c r="AN191" s="287"/>
      <c r="AO191" s="287"/>
      <c r="AP191" s="287"/>
      <c r="AQ191" s="287"/>
      <c r="AR191" s="287"/>
      <c r="AS191" s="287"/>
      <c r="AT191" s="287"/>
      <c r="AU191" s="287"/>
      <c r="AV191" s="287"/>
      <c r="AW191" s="287"/>
      <c r="AX191" s="287"/>
      <c r="AY191" s="287"/>
      <c r="AZ191" s="287"/>
      <c r="BA191" s="287"/>
      <c r="BB191" s="287"/>
      <c r="BC191" s="287"/>
    </row>
    <row r="192" ht="15.75" customHeight="1">
      <c r="A192" s="287"/>
      <c r="B192" s="287"/>
      <c r="C192" s="287"/>
      <c r="D192" s="287"/>
      <c r="E192" s="287"/>
      <c r="F192" s="287"/>
      <c r="G192" s="287"/>
      <c r="H192" s="287"/>
      <c r="I192" s="287"/>
      <c r="J192" s="287"/>
      <c r="K192" s="287"/>
      <c r="L192" s="287"/>
      <c r="M192" s="287"/>
      <c r="N192" s="287"/>
      <c r="O192" s="287"/>
      <c r="P192" s="287"/>
      <c r="Q192" s="287"/>
      <c r="R192" s="287"/>
      <c r="S192" s="287"/>
      <c r="T192" s="287"/>
      <c r="U192" s="287"/>
      <c r="V192" s="287"/>
      <c r="W192" s="287"/>
      <c r="X192" s="287"/>
      <c r="Y192" s="287"/>
      <c r="Z192" s="287"/>
      <c r="AA192" s="287"/>
      <c r="AB192" s="287"/>
      <c r="AC192" s="287"/>
      <c r="AD192" s="287"/>
      <c r="AE192" s="287"/>
      <c r="AF192" s="287"/>
      <c r="AG192" s="287"/>
      <c r="AH192" s="287"/>
      <c r="AI192" s="287"/>
      <c r="AJ192" s="287"/>
      <c r="AK192" s="287"/>
      <c r="AL192" s="287"/>
      <c r="AM192" s="287"/>
      <c r="AN192" s="287"/>
      <c r="AO192" s="287"/>
      <c r="AP192" s="287"/>
      <c r="AQ192" s="287"/>
      <c r="AR192" s="287"/>
      <c r="AS192" s="287"/>
      <c r="AT192" s="287"/>
      <c r="AU192" s="287"/>
      <c r="AV192" s="287"/>
      <c r="AW192" s="287"/>
      <c r="AX192" s="287"/>
      <c r="AY192" s="287"/>
      <c r="AZ192" s="287"/>
      <c r="BA192" s="287"/>
      <c r="BB192" s="287"/>
      <c r="BC192" s="287"/>
    </row>
    <row r="193" ht="15.75" customHeight="1">
      <c r="A193" s="287"/>
      <c r="B193" s="287"/>
      <c r="C193" s="287"/>
      <c r="D193" s="287"/>
      <c r="E193" s="287"/>
      <c r="F193" s="287"/>
      <c r="G193" s="287"/>
      <c r="H193" s="287"/>
      <c r="I193" s="287"/>
      <c r="J193" s="287"/>
      <c r="K193" s="287"/>
      <c r="L193" s="287"/>
      <c r="M193" s="287"/>
      <c r="N193" s="287"/>
      <c r="O193" s="287"/>
      <c r="P193" s="287"/>
      <c r="Q193" s="287"/>
      <c r="R193" s="287"/>
      <c r="S193" s="287"/>
      <c r="T193" s="287"/>
      <c r="U193" s="287"/>
      <c r="V193" s="287"/>
      <c r="W193" s="287"/>
      <c r="X193" s="287"/>
      <c r="Y193" s="287"/>
      <c r="Z193" s="287"/>
      <c r="AA193" s="287"/>
      <c r="AB193" s="287"/>
      <c r="AC193" s="287"/>
      <c r="AD193" s="287"/>
      <c r="AE193" s="287"/>
      <c r="AF193" s="287"/>
      <c r="AG193" s="287"/>
      <c r="AH193" s="287"/>
      <c r="AI193" s="287"/>
      <c r="AJ193" s="287"/>
      <c r="AK193" s="287"/>
      <c r="AL193" s="287"/>
      <c r="AM193" s="287"/>
      <c r="AN193" s="287"/>
      <c r="AO193" s="287"/>
      <c r="AP193" s="287"/>
      <c r="AQ193" s="287"/>
      <c r="AR193" s="287"/>
      <c r="AS193" s="287"/>
      <c r="AT193" s="287"/>
      <c r="AU193" s="287"/>
      <c r="AV193" s="287"/>
      <c r="AW193" s="287"/>
      <c r="AX193" s="287"/>
      <c r="AY193" s="287"/>
      <c r="AZ193" s="287"/>
      <c r="BA193" s="287"/>
      <c r="BB193" s="287"/>
      <c r="BC193" s="287"/>
    </row>
    <row r="194" ht="15.75" customHeight="1">
      <c r="A194" s="287"/>
      <c r="B194" s="287"/>
      <c r="C194" s="287"/>
      <c r="D194" s="287"/>
      <c r="E194" s="287"/>
      <c r="F194" s="287"/>
      <c r="G194" s="287"/>
      <c r="H194" s="287"/>
      <c r="I194" s="287"/>
      <c r="J194" s="287"/>
      <c r="K194" s="287"/>
      <c r="L194" s="287"/>
      <c r="M194" s="287"/>
      <c r="N194" s="287"/>
      <c r="O194" s="287"/>
      <c r="P194" s="287"/>
      <c r="Q194" s="287"/>
      <c r="R194" s="287"/>
      <c r="S194" s="287"/>
      <c r="T194" s="287"/>
      <c r="U194" s="287"/>
      <c r="V194" s="287"/>
      <c r="W194" s="287"/>
      <c r="X194" s="287"/>
      <c r="Y194" s="287"/>
      <c r="Z194" s="287"/>
      <c r="AA194" s="287"/>
      <c r="AB194" s="287"/>
      <c r="AC194" s="287"/>
      <c r="AD194" s="287"/>
      <c r="AE194" s="287"/>
      <c r="AF194" s="287"/>
      <c r="AG194" s="287"/>
      <c r="AH194" s="287"/>
      <c r="AI194" s="287"/>
      <c r="AJ194" s="287"/>
      <c r="AK194" s="287"/>
      <c r="AL194" s="287"/>
      <c r="AM194" s="287"/>
      <c r="AN194" s="287"/>
      <c r="AO194" s="287"/>
      <c r="AP194" s="287"/>
      <c r="AQ194" s="287"/>
      <c r="AR194" s="287"/>
      <c r="AS194" s="287"/>
      <c r="AT194" s="287"/>
      <c r="AU194" s="287"/>
      <c r="AV194" s="287"/>
      <c r="AW194" s="287"/>
      <c r="AX194" s="287"/>
      <c r="AY194" s="287"/>
      <c r="AZ194" s="287"/>
      <c r="BA194" s="287"/>
      <c r="BB194" s="287"/>
      <c r="BC194" s="287"/>
    </row>
    <row r="195" ht="15.75" customHeight="1">
      <c r="A195" s="287"/>
      <c r="B195" s="287"/>
      <c r="C195" s="287"/>
      <c r="D195" s="287"/>
      <c r="E195" s="287"/>
      <c r="F195" s="287"/>
      <c r="G195" s="287"/>
      <c r="H195" s="287"/>
      <c r="I195" s="287"/>
      <c r="J195" s="287"/>
      <c r="K195" s="287"/>
      <c r="L195" s="287"/>
      <c r="M195" s="287"/>
      <c r="N195" s="287"/>
      <c r="O195" s="287"/>
      <c r="P195" s="287"/>
      <c r="Q195" s="287"/>
      <c r="R195" s="287"/>
      <c r="S195" s="287"/>
      <c r="T195" s="287"/>
      <c r="U195" s="287"/>
      <c r="V195" s="287"/>
      <c r="W195" s="287"/>
      <c r="X195" s="287"/>
      <c r="Y195" s="287"/>
      <c r="Z195" s="287"/>
      <c r="AA195" s="287"/>
      <c r="AB195" s="287"/>
      <c r="AC195" s="287"/>
      <c r="AD195" s="287"/>
      <c r="AE195" s="287"/>
      <c r="AF195" s="287"/>
      <c r="AG195" s="287"/>
      <c r="AH195" s="287"/>
      <c r="AI195" s="287"/>
      <c r="AJ195" s="287"/>
      <c r="AK195" s="287"/>
      <c r="AL195" s="287"/>
      <c r="AM195" s="287"/>
      <c r="AN195" s="287"/>
      <c r="AO195" s="287"/>
      <c r="AP195" s="287"/>
      <c r="AQ195" s="287"/>
      <c r="AR195" s="287"/>
      <c r="AS195" s="287"/>
      <c r="AT195" s="287"/>
      <c r="AU195" s="287"/>
      <c r="AV195" s="287"/>
      <c r="AW195" s="287"/>
      <c r="AX195" s="287"/>
      <c r="AY195" s="287"/>
      <c r="AZ195" s="287"/>
      <c r="BA195" s="287"/>
      <c r="BB195" s="287"/>
      <c r="BC195" s="287"/>
    </row>
    <row r="196" ht="15.75" customHeight="1">
      <c r="A196" s="287"/>
      <c r="B196" s="287"/>
      <c r="C196" s="287"/>
      <c r="D196" s="287"/>
      <c r="E196" s="287"/>
      <c r="F196" s="287"/>
      <c r="G196" s="287"/>
      <c r="H196" s="287"/>
      <c r="I196" s="287"/>
      <c r="J196" s="287"/>
      <c r="K196" s="287"/>
      <c r="L196" s="287"/>
      <c r="M196" s="287"/>
      <c r="N196" s="287"/>
      <c r="O196" s="287"/>
      <c r="P196" s="287"/>
      <c r="Q196" s="287"/>
      <c r="R196" s="287"/>
      <c r="S196" s="287"/>
      <c r="T196" s="287"/>
      <c r="U196" s="287"/>
      <c r="V196" s="287"/>
      <c r="W196" s="287"/>
      <c r="X196" s="287"/>
      <c r="Y196" s="287"/>
      <c r="Z196" s="287"/>
      <c r="AA196" s="287"/>
      <c r="AB196" s="287"/>
      <c r="AC196" s="287"/>
      <c r="AD196" s="287"/>
      <c r="AE196" s="287"/>
      <c r="AF196" s="287"/>
      <c r="AG196" s="287"/>
      <c r="AH196" s="287"/>
      <c r="AI196" s="287"/>
      <c r="AJ196" s="287"/>
      <c r="AK196" s="287"/>
      <c r="AL196" s="287"/>
      <c r="AM196" s="287"/>
      <c r="AN196" s="287"/>
      <c r="AO196" s="287"/>
      <c r="AP196" s="287"/>
      <c r="AQ196" s="287"/>
      <c r="AR196" s="287"/>
      <c r="AS196" s="287"/>
      <c r="AT196" s="287"/>
      <c r="AU196" s="287"/>
      <c r="AV196" s="287"/>
      <c r="AW196" s="287"/>
      <c r="AX196" s="287"/>
      <c r="AY196" s="287"/>
      <c r="AZ196" s="287"/>
      <c r="BA196" s="287"/>
      <c r="BB196" s="287"/>
      <c r="BC196" s="287"/>
    </row>
    <row r="197" ht="15.75" customHeight="1">
      <c r="A197" s="287"/>
      <c r="B197" s="287"/>
      <c r="C197" s="287"/>
      <c r="D197" s="287"/>
      <c r="E197" s="287"/>
      <c r="F197" s="287"/>
      <c r="G197" s="287"/>
      <c r="H197" s="287"/>
      <c r="I197" s="287"/>
      <c r="J197" s="287"/>
      <c r="K197" s="287"/>
      <c r="L197" s="287"/>
      <c r="M197" s="287"/>
      <c r="N197" s="287"/>
      <c r="O197" s="287"/>
      <c r="P197" s="287"/>
      <c r="Q197" s="287"/>
      <c r="R197" s="287"/>
      <c r="S197" s="287"/>
      <c r="T197" s="287"/>
      <c r="U197" s="287"/>
      <c r="V197" s="287"/>
      <c r="W197" s="287"/>
      <c r="X197" s="287"/>
      <c r="Y197" s="287"/>
      <c r="Z197" s="287"/>
      <c r="AA197" s="287"/>
      <c r="AB197" s="287"/>
      <c r="AC197" s="287"/>
      <c r="AD197" s="287"/>
      <c r="AE197" s="287"/>
      <c r="AF197" s="287"/>
      <c r="AG197" s="287"/>
      <c r="AH197" s="287"/>
      <c r="AI197" s="287"/>
      <c r="AJ197" s="287"/>
      <c r="AK197" s="287"/>
      <c r="AL197" s="287"/>
      <c r="AM197" s="287"/>
      <c r="AN197" s="287"/>
      <c r="AO197" s="287"/>
      <c r="AP197" s="287"/>
      <c r="AQ197" s="287"/>
      <c r="AR197" s="287"/>
      <c r="AS197" s="287"/>
      <c r="AT197" s="287"/>
      <c r="AU197" s="287"/>
      <c r="AV197" s="287"/>
      <c r="AW197" s="287"/>
      <c r="AX197" s="287"/>
      <c r="AY197" s="287"/>
      <c r="AZ197" s="287"/>
      <c r="BA197" s="287"/>
      <c r="BB197" s="287"/>
      <c r="BC197" s="287"/>
    </row>
    <row r="198" ht="15.75" customHeight="1">
      <c r="A198" s="287"/>
      <c r="B198" s="287"/>
      <c r="C198" s="287"/>
      <c r="D198" s="287"/>
      <c r="E198" s="287"/>
      <c r="F198" s="287"/>
      <c r="G198" s="287"/>
      <c r="H198" s="287"/>
      <c r="I198" s="287"/>
      <c r="J198" s="287"/>
      <c r="K198" s="287"/>
      <c r="L198" s="287"/>
      <c r="M198" s="287"/>
      <c r="N198" s="287"/>
      <c r="O198" s="287"/>
      <c r="P198" s="287"/>
      <c r="Q198" s="287"/>
      <c r="R198" s="287"/>
      <c r="S198" s="287"/>
      <c r="T198" s="287"/>
      <c r="U198" s="287"/>
      <c r="V198" s="287"/>
      <c r="W198" s="287"/>
      <c r="X198" s="287"/>
      <c r="Y198" s="287"/>
      <c r="Z198" s="287"/>
      <c r="AA198" s="287"/>
      <c r="AB198" s="287"/>
      <c r="AC198" s="287"/>
      <c r="AD198" s="287"/>
      <c r="AE198" s="287"/>
      <c r="AF198" s="287"/>
      <c r="AG198" s="287"/>
      <c r="AH198" s="287"/>
      <c r="AI198" s="287"/>
      <c r="AJ198" s="287"/>
      <c r="AK198" s="287"/>
      <c r="AL198" s="287"/>
      <c r="AM198" s="287"/>
      <c r="AN198" s="287"/>
      <c r="AO198" s="287"/>
      <c r="AP198" s="287"/>
      <c r="AQ198" s="287"/>
      <c r="AR198" s="287"/>
      <c r="AS198" s="287"/>
      <c r="AT198" s="287"/>
      <c r="AU198" s="287"/>
      <c r="AV198" s="287"/>
      <c r="AW198" s="287"/>
      <c r="AX198" s="287"/>
      <c r="AY198" s="287"/>
      <c r="AZ198" s="287"/>
      <c r="BA198" s="287"/>
      <c r="BB198" s="287"/>
      <c r="BC198" s="287"/>
    </row>
    <row r="199" ht="15.75" customHeight="1">
      <c r="A199" s="287"/>
      <c r="B199" s="287"/>
      <c r="C199" s="287"/>
      <c r="D199" s="287"/>
      <c r="E199" s="287"/>
      <c r="F199" s="287"/>
      <c r="G199" s="287"/>
      <c r="H199" s="287"/>
      <c r="I199" s="287"/>
      <c r="J199" s="287"/>
      <c r="K199" s="287"/>
      <c r="L199" s="287"/>
      <c r="M199" s="287"/>
      <c r="N199" s="287"/>
      <c r="O199" s="287"/>
      <c r="P199" s="287"/>
      <c r="Q199" s="287"/>
      <c r="R199" s="287"/>
      <c r="S199" s="287"/>
      <c r="T199" s="287"/>
      <c r="U199" s="287"/>
      <c r="V199" s="287"/>
      <c r="W199" s="287"/>
      <c r="X199" s="287"/>
      <c r="Y199" s="287"/>
      <c r="Z199" s="287"/>
      <c r="AA199" s="287"/>
      <c r="AB199" s="287"/>
      <c r="AC199" s="287"/>
      <c r="AD199" s="287"/>
      <c r="AE199" s="287"/>
      <c r="AF199" s="287"/>
      <c r="AG199" s="287"/>
      <c r="AH199" s="287"/>
      <c r="AI199" s="287"/>
      <c r="AJ199" s="287"/>
      <c r="AK199" s="287"/>
      <c r="AL199" s="287"/>
      <c r="AM199" s="287"/>
      <c r="AN199" s="287"/>
      <c r="AO199" s="287"/>
      <c r="AP199" s="287"/>
      <c r="AQ199" s="287"/>
      <c r="AR199" s="287"/>
      <c r="AS199" s="287"/>
      <c r="AT199" s="287"/>
      <c r="AU199" s="287"/>
      <c r="AV199" s="287"/>
      <c r="AW199" s="287"/>
      <c r="AX199" s="287"/>
      <c r="AY199" s="287"/>
      <c r="AZ199" s="287"/>
      <c r="BA199" s="287"/>
      <c r="BB199" s="287"/>
      <c r="BC199" s="287"/>
    </row>
    <row r="200" ht="15.75" customHeight="1">
      <c r="A200" s="287"/>
      <c r="B200" s="287"/>
      <c r="C200" s="287"/>
      <c r="D200" s="287"/>
      <c r="E200" s="287"/>
      <c r="F200" s="287"/>
      <c r="G200" s="287"/>
      <c r="H200" s="287"/>
      <c r="I200" s="287"/>
      <c r="J200" s="287"/>
      <c r="K200" s="287"/>
      <c r="L200" s="287"/>
      <c r="M200" s="287"/>
      <c r="N200" s="287"/>
      <c r="O200" s="287"/>
      <c r="P200" s="287"/>
      <c r="Q200" s="287"/>
      <c r="R200" s="287"/>
      <c r="S200" s="287"/>
      <c r="T200" s="287"/>
      <c r="U200" s="287"/>
      <c r="V200" s="287"/>
      <c r="W200" s="287"/>
      <c r="X200" s="287"/>
      <c r="Y200" s="287"/>
      <c r="Z200" s="287"/>
      <c r="AA200" s="287"/>
      <c r="AB200" s="287"/>
      <c r="AC200" s="287"/>
      <c r="AD200" s="287"/>
      <c r="AE200" s="287"/>
      <c r="AF200" s="287"/>
      <c r="AG200" s="287"/>
      <c r="AH200" s="287"/>
      <c r="AI200" s="287"/>
      <c r="AJ200" s="287"/>
      <c r="AK200" s="287"/>
      <c r="AL200" s="287"/>
      <c r="AM200" s="287"/>
      <c r="AN200" s="287"/>
      <c r="AO200" s="287"/>
      <c r="AP200" s="287"/>
      <c r="AQ200" s="287"/>
      <c r="AR200" s="287"/>
      <c r="AS200" s="287"/>
      <c r="AT200" s="287"/>
      <c r="AU200" s="287"/>
      <c r="AV200" s="287"/>
      <c r="AW200" s="287"/>
      <c r="AX200" s="287"/>
      <c r="AY200" s="287"/>
      <c r="AZ200" s="287"/>
      <c r="BA200" s="287"/>
      <c r="BB200" s="287"/>
      <c r="BC200" s="287"/>
    </row>
    <row r="201" ht="15.75" customHeight="1">
      <c r="A201" s="287"/>
      <c r="B201" s="287"/>
      <c r="C201" s="287"/>
      <c r="D201" s="287"/>
      <c r="E201" s="287"/>
      <c r="F201" s="287"/>
      <c r="G201" s="287"/>
      <c r="H201" s="287"/>
      <c r="I201" s="287"/>
      <c r="J201" s="287"/>
      <c r="K201" s="287"/>
      <c r="L201" s="287"/>
      <c r="M201" s="287"/>
      <c r="N201" s="287"/>
      <c r="O201" s="287"/>
      <c r="P201" s="287"/>
      <c r="Q201" s="287"/>
      <c r="R201" s="287"/>
      <c r="S201" s="287"/>
      <c r="T201" s="287"/>
      <c r="U201" s="287"/>
      <c r="V201" s="287"/>
      <c r="W201" s="287"/>
      <c r="X201" s="287"/>
      <c r="Y201" s="287"/>
      <c r="Z201" s="287"/>
      <c r="AA201" s="287"/>
      <c r="AB201" s="287"/>
      <c r="AC201" s="287"/>
      <c r="AD201" s="287"/>
      <c r="AE201" s="287"/>
      <c r="AF201" s="287"/>
      <c r="AG201" s="287"/>
      <c r="AH201" s="287"/>
      <c r="AI201" s="287"/>
      <c r="AJ201" s="287"/>
      <c r="AK201" s="287"/>
      <c r="AL201" s="287"/>
      <c r="AM201" s="287"/>
      <c r="AN201" s="287"/>
      <c r="AO201" s="287"/>
      <c r="AP201" s="287"/>
      <c r="AQ201" s="287"/>
      <c r="AR201" s="287"/>
      <c r="AS201" s="287"/>
      <c r="AT201" s="287"/>
      <c r="AU201" s="287"/>
      <c r="AV201" s="287"/>
      <c r="AW201" s="287"/>
      <c r="AX201" s="287"/>
      <c r="AY201" s="287"/>
      <c r="AZ201" s="287"/>
      <c r="BA201" s="287"/>
      <c r="BB201" s="287"/>
      <c r="BC201" s="287"/>
    </row>
    <row r="202" ht="15.75" customHeight="1">
      <c r="A202" s="287"/>
      <c r="B202" s="287"/>
      <c r="C202" s="287"/>
      <c r="D202" s="287"/>
      <c r="E202" s="287"/>
      <c r="F202" s="287"/>
      <c r="G202" s="287"/>
      <c r="H202" s="287"/>
      <c r="I202" s="287"/>
      <c r="J202" s="287"/>
      <c r="K202" s="287"/>
      <c r="L202" s="287"/>
      <c r="M202" s="287"/>
      <c r="N202" s="287"/>
      <c r="O202" s="287"/>
      <c r="P202" s="287"/>
      <c r="Q202" s="287"/>
      <c r="R202" s="287"/>
      <c r="S202" s="287"/>
      <c r="T202" s="287"/>
      <c r="U202" s="287"/>
      <c r="V202" s="287"/>
      <c r="W202" s="287"/>
      <c r="X202" s="287"/>
      <c r="Y202" s="287"/>
      <c r="Z202" s="287"/>
      <c r="AA202" s="287"/>
      <c r="AB202" s="287"/>
      <c r="AC202" s="287"/>
      <c r="AD202" s="287"/>
      <c r="AE202" s="287"/>
      <c r="AF202" s="287"/>
      <c r="AG202" s="287"/>
      <c r="AH202" s="287"/>
      <c r="AI202" s="287"/>
      <c r="AJ202" s="287"/>
      <c r="AK202" s="287"/>
      <c r="AL202" s="287"/>
      <c r="AM202" s="287"/>
      <c r="AN202" s="287"/>
      <c r="AO202" s="287"/>
      <c r="AP202" s="287"/>
      <c r="AQ202" s="287"/>
      <c r="AR202" s="287"/>
      <c r="AS202" s="287"/>
      <c r="AT202" s="287"/>
      <c r="AU202" s="287"/>
      <c r="AV202" s="287"/>
      <c r="AW202" s="287"/>
      <c r="AX202" s="287"/>
      <c r="AY202" s="287"/>
      <c r="AZ202" s="287"/>
      <c r="BA202" s="287"/>
      <c r="BB202" s="287"/>
      <c r="BC202" s="287"/>
    </row>
    <row r="203" ht="15.75" customHeight="1">
      <c r="A203" s="287"/>
      <c r="B203" s="287"/>
      <c r="C203" s="287"/>
      <c r="D203" s="287"/>
      <c r="E203" s="287"/>
      <c r="F203" s="287"/>
      <c r="G203" s="287"/>
      <c r="H203" s="287"/>
      <c r="I203" s="287"/>
      <c r="J203" s="287"/>
      <c r="K203" s="287"/>
      <c r="L203" s="287"/>
      <c r="M203" s="287"/>
      <c r="N203" s="287"/>
      <c r="O203" s="287"/>
      <c r="P203" s="287"/>
      <c r="Q203" s="287"/>
      <c r="R203" s="287"/>
      <c r="S203" s="287"/>
      <c r="T203" s="287"/>
      <c r="U203" s="287"/>
      <c r="V203" s="287"/>
      <c r="W203" s="287"/>
      <c r="X203" s="287"/>
      <c r="Y203" s="287"/>
      <c r="Z203" s="287"/>
      <c r="AA203" s="287"/>
      <c r="AB203" s="287"/>
      <c r="AC203" s="287"/>
      <c r="AD203" s="287"/>
      <c r="AE203" s="287"/>
      <c r="AF203" s="287"/>
      <c r="AG203" s="287"/>
      <c r="AH203" s="287"/>
      <c r="AI203" s="287"/>
      <c r="AJ203" s="287"/>
      <c r="AK203" s="287"/>
      <c r="AL203" s="287"/>
      <c r="AM203" s="287"/>
      <c r="AN203" s="287"/>
      <c r="AO203" s="287"/>
      <c r="AP203" s="287"/>
      <c r="AQ203" s="287"/>
      <c r="AR203" s="287"/>
      <c r="AS203" s="287"/>
      <c r="AT203" s="287"/>
      <c r="AU203" s="287"/>
      <c r="AV203" s="287"/>
      <c r="AW203" s="287"/>
      <c r="AX203" s="287"/>
      <c r="AY203" s="287"/>
      <c r="AZ203" s="287"/>
      <c r="BA203" s="287"/>
      <c r="BB203" s="287"/>
      <c r="BC203" s="287"/>
    </row>
    <row r="204" ht="15.75" customHeight="1">
      <c r="A204" s="287"/>
      <c r="B204" s="287"/>
      <c r="C204" s="287"/>
      <c r="D204" s="287"/>
      <c r="E204" s="287"/>
      <c r="F204" s="287"/>
      <c r="G204" s="287"/>
      <c r="H204" s="287"/>
      <c r="I204" s="287"/>
      <c r="J204" s="287"/>
      <c r="K204" s="287"/>
      <c r="L204" s="287"/>
      <c r="M204" s="287"/>
      <c r="N204" s="287"/>
      <c r="O204" s="287"/>
      <c r="P204" s="287"/>
      <c r="Q204" s="287"/>
      <c r="R204" s="287"/>
      <c r="S204" s="287"/>
      <c r="T204" s="287"/>
      <c r="U204" s="287"/>
      <c r="V204" s="287"/>
      <c r="W204" s="287"/>
      <c r="X204" s="287"/>
      <c r="Y204" s="287"/>
      <c r="Z204" s="287"/>
      <c r="AA204" s="287"/>
      <c r="AB204" s="287"/>
      <c r="AC204" s="287"/>
      <c r="AD204" s="287"/>
      <c r="AE204" s="287"/>
      <c r="AF204" s="287"/>
      <c r="AG204" s="287"/>
      <c r="AH204" s="287"/>
      <c r="AI204" s="287"/>
      <c r="AJ204" s="287"/>
      <c r="AK204" s="287"/>
      <c r="AL204" s="287"/>
      <c r="AM204" s="287"/>
      <c r="AN204" s="287"/>
      <c r="AO204" s="287"/>
      <c r="AP204" s="287"/>
      <c r="AQ204" s="287"/>
      <c r="AR204" s="287"/>
      <c r="AS204" s="287"/>
      <c r="AT204" s="287"/>
      <c r="AU204" s="287"/>
      <c r="AV204" s="287"/>
      <c r="AW204" s="287"/>
      <c r="AX204" s="287"/>
      <c r="AY204" s="287"/>
      <c r="AZ204" s="287"/>
      <c r="BA204" s="287"/>
      <c r="BB204" s="287"/>
      <c r="BC204" s="287"/>
    </row>
    <row r="205" ht="15.75" customHeight="1">
      <c r="A205" s="287"/>
      <c r="B205" s="287"/>
      <c r="C205" s="287"/>
      <c r="D205" s="287"/>
      <c r="E205" s="287"/>
      <c r="F205" s="287"/>
      <c r="G205" s="287"/>
      <c r="H205" s="287"/>
      <c r="I205" s="287"/>
      <c r="J205" s="287"/>
      <c r="K205" s="287"/>
      <c r="L205" s="287"/>
      <c r="M205" s="287"/>
      <c r="N205" s="287"/>
      <c r="O205" s="287"/>
      <c r="P205" s="287"/>
      <c r="Q205" s="287"/>
      <c r="R205" s="287"/>
      <c r="S205" s="287"/>
      <c r="T205" s="287"/>
      <c r="U205" s="287"/>
      <c r="V205" s="287"/>
      <c r="W205" s="287"/>
      <c r="X205" s="287"/>
      <c r="Y205" s="287"/>
      <c r="Z205" s="287"/>
      <c r="AA205" s="287"/>
      <c r="AB205" s="287"/>
      <c r="AC205" s="287"/>
      <c r="AD205" s="287"/>
      <c r="AE205" s="287"/>
      <c r="AF205" s="287"/>
      <c r="AG205" s="287"/>
      <c r="AH205" s="287"/>
      <c r="AI205" s="287"/>
      <c r="AJ205" s="287"/>
      <c r="AK205" s="287"/>
      <c r="AL205" s="287"/>
      <c r="AM205" s="287"/>
      <c r="AN205" s="287"/>
      <c r="AO205" s="287"/>
      <c r="AP205" s="287"/>
      <c r="AQ205" s="287"/>
      <c r="AR205" s="287"/>
      <c r="AS205" s="287"/>
      <c r="AT205" s="287"/>
      <c r="AU205" s="287"/>
      <c r="AV205" s="287"/>
      <c r="AW205" s="287"/>
      <c r="AX205" s="287"/>
      <c r="AY205" s="287"/>
      <c r="AZ205" s="287"/>
      <c r="BA205" s="287"/>
      <c r="BB205" s="287"/>
      <c r="BC205" s="287"/>
    </row>
    <row r="206" ht="15.75" customHeight="1">
      <c r="A206" s="287"/>
      <c r="B206" s="287"/>
      <c r="C206" s="287"/>
      <c r="D206" s="287"/>
      <c r="E206" s="287"/>
      <c r="F206" s="287"/>
      <c r="G206" s="287"/>
      <c r="H206" s="287"/>
      <c r="I206" s="287"/>
      <c r="J206" s="287"/>
      <c r="K206" s="287"/>
      <c r="L206" s="287"/>
      <c r="M206" s="287"/>
      <c r="N206" s="287"/>
      <c r="O206" s="287"/>
      <c r="P206" s="287"/>
      <c r="Q206" s="287"/>
      <c r="R206" s="287"/>
      <c r="S206" s="287"/>
      <c r="T206" s="287"/>
      <c r="U206" s="287"/>
      <c r="V206" s="287"/>
      <c r="W206" s="287"/>
      <c r="X206" s="287"/>
      <c r="Y206" s="287"/>
      <c r="Z206" s="287"/>
      <c r="AA206" s="287"/>
      <c r="AB206" s="287"/>
      <c r="AC206" s="287"/>
      <c r="AD206" s="287"/>
      <c r="AE206" s="287"/>
      <c r="AF206" s="287"/>
      <c r="AG206" s="287"/>
      <c r="AH206" s="287"/>
      <c r="AI206" s="287"/>
      <c r="AJ206" s="287"/>
      <c r="AK206" s="287"/>
      <c r="AL206" s="287"/>
      <c r="AM206" s="287"/>
      <c r="AN206" s="287"/>
      <c r="AO206" s="287"/>
      <c r="AP206" s="287"/>
      <c r="AQ206" s="287"/>
      <c r="AR206" s="287"/>
      <c r="AS206" s="287"/>
      <c r="AT206" s="287"/>
      <c r="AU206" s="287"/>
      <c r="AV206" s="287"/>
      <c r="AW206" s="287"/>
      <c r="AX206" s="287"/>
      <c r="AY206" s="287"/>
      <c r="AZ206" s="287"/>
      <c r="BA206" s="287"/>
      <c r="BB206" s="287"/>
      <c r="BC206" s="287"/>
    </row>
    <row r="207" ht="15.75" customHeight="1">
      <c r="A207" s="287"/>
      <c r="B207" s="287"/>
      <c r="C207" s="287"/>
      <c r="D207" s="287"/>
      <c r="E207" s="287"/>
      <c r="F207" s="287"/>
      <c r="G207" s="287"/>
      <c r="H207" s="287"/>
      <c r="I207" s="287"/>
      <c r="J207" s="287"/>
      <c r="K207" s="287"/>
      <c r="L207" s="287"/>
      <c r="M207" s="287"/>
      <c r="N207" s="287"/>
      <c r="O207" s="287"/>
      <c r="P207" s="287"/>
      <c r="Q207" s="287"/>
      <c r="R207" s="287"/>
      <c r="S207" s="287"/>
      <c r="T207" s="287"/>
      <c r="U207" s="287"/>
      <c r="V207" s="287"/>
      <c r="W207" s="287"/>
      <c r="X207" s="287"/>
      <c r="Y207" s="287"/>
      <c r="Z207" s="287"/>
      <c r="AA207" s="287"/>
      <c r="AB207" s="287"/>
      <c r="AC207" s="287"/>
      <c r="AD207" s="287"/>
      <c r="AE207" s="287"/>
      <c r="AF207" s="287"/>
      <c r="AG207" s="287"/>
      <c r="AH207" s="287"/>
      <c r="AI207" s="287"/>
      <c r="AJ207" s="287"/>
      <c r="AK207" s="287"/>
      <c r="AL207" s="287"/>
      <c r="AM207" s="287"/>
      <c r="AN207" s="287"/>
      <c r="AO207" s="287"/>
      <c r="AP207" s="287"/>
      <c r="AQ207" s="287"/>
      <c r="AR207" s="287"/>
      <c r="AS207" s="287"/>
      <c r="AT207" s="287"/>
      <c r="AU207" s="287"/>
      <c r="AV207" s="287"/>
      <c r="AW207" s="287"/>
      <c r="AX207" s="287"/>
      <c r="AY207" s="287"/>
      <c r="AZ207" s="287"/>
      <c r="BA207" s="287"/>
      <c r="BB207" s="287"/>
      <c r="BC207" s="287"/>
    </row>
    <row r="208" ht="15.75" customHeight="1">
      <c r="A208" s="287"/>
      <c r="B208" s="287"/>
      <c r="C208" s="287"/>
      <c r="D208" s="287"/>
      <c r="E208" s="287"/>
      <c r="F208" s="287"/>
      <c r="G208" s="287"/>
      <c r="H208" s="287"/>
      <c r="I208" s="287"/>
      <c r="J208" s="287"/>
      <c r="K208" s="287"/>
      <c r="L208" s="287"/>
      <c r="M208" s="287"/>
      <c r="N208" s="287"/>
      <c r="O208" s="287"/>
      <c r="P208" s="287"/>
      <c r="Q208" s="287"/>
      <c r="R208" s="287"/>
      <c r="S208" s="287"/>
      <c r="T208" s="287"/>
      <c r="U208" s="287"/>
      <c r="V208" s="287"/>
      <c r="W208" s="287"/>
      <c r="X208" s="287"/>
      <c r="Y208" s="287"/>
      <c r="Z208" s="287"/>
      <c r="AA208" s="287"/>
      <c r="AB208" s="287"/>
      <c r="AC208" s="287"/>
      <c r="AD208" s="287"/>
      <c r="AE208" s="287"/>
      <c r="AF208" s="287"/>
      <c r="AG208" s="287"/>
      <c r="AH208" s="287"/>
      <c r="AI208" s="287"/>
      <c r="AJ208" s="287"/>
      <c r="AK208" s="287"/>
      <c r="AL208" s="287"/>
      <c r="AM208" s="287"/>
      <c r="AN208" s="287"/>
      <c r="AO208" s="287"/>
      <c r="AP208" s="287"/>
      <c r="AQ208" s="287"/>
      <c r="AR208" s="287"/>
      <c r="AS208" s="287"/>
      <c r="AT208" s="287"/>
      <c r="AU208" s="287"/>
      <c r="AV208" s="287"/>
      <c r="AW208" s="287"/>
      <c r="AX208" s="287"/>
      <c r="AY208" s="287"/>
      <c r="AZ208" s="287"/>
      <c r="BA208" s="287"/>
      <c r="BB208" s="287"/>
      <c r="BC208" s="287"/>
    </row>
    <row r="209" ht="15.75" customHeight="1">
      <c r="A209" s="287"/>
      <c r="B209" s="287"/>
      <c r="C209" s="287"/>
      <c r="D209" s="287"/>
      <c r="E209" s="287"/>
      <c r="F209" s="287"/>
      <c r="G209" s="287"/>
      <c r="H209" s="287"/>
      <c r="I209" s="287"/>
      <c r="J209" s="287"/>
      <c r="K209" s="287"/>
      <c r="L209" s="287"/>
      <c r="M209" s="287"/>
      <c r="N209" s="287"/>
      <c r="O209" s="287"/>
      <c r="P209" s="287"/>
      <c r="Q209" s="287"/>
      <c r="R209" s="287"/>
      <c r="S209" s="287"/>
      <c r="T209" s="287"/>
      <c r="U209" s="287"/>
      <c r="V209" s="287"/>
      <c r="W209" s="287"/>
      <c r="X209" s="287"/>
      <c r="Y209" s="287"/>
      <c r="Z209" s="287"/>
      <c r="AA209" s="287"/>
      <c r="AB209" s="287"/>
      <c r="AC209" s="287"/>
      <c r="AD209" s="287"/>
      <c r="AE209" s="287"/>
      <c r="AF209" s="287"/>
      <c r="AG209" s="287"/>
      <c r="AH209" s="287"/>
      <c r="AI209" s="287"/>
      <c r="AJ209" s="287"/>
      <c r="AK209" s="287"/>
      <c r="AL209" s="287"/>
      <c r="AM209" s="287"/>
      <c r="AN209" s="287"/>
      <c r="AO209" s="287"/>
      <c r="AP209" s="287"/>
      <c r="AQ209" s="287"/>
      <c r="AR209" s="287"/>
      <c r="AS209" s="287"/>
      <c r="AT209" s="287"/>
      <c r="AU209" s="287"/>
      <c r="AV209" s="287"/>
      <c r="AW209" s="287"/>
      <c r="AX209" s="287"/>
      <c r="AY209" s="287"/>
      <c r="AZ209" s="287"/>
      <c r="BA209" s="287"/>
      <c r="BB209" s="287"/>
      <c r="BC209" s="287"/>
    </row>
    <row r="210" ht="15.75" customHeight="1">
      <c r="A210" s="287"/>
      <c r="B210" s="287"/>
      <c r="C210" s="287"/>
      <c r="D210" s="287"/>
      <c r="E210" s="287"/>
      <c r="F210" s="287"/>
      <c r="G210" s="287"/>
      <c r="H210" s="287"/>
      <c r="I210" s="287"/>
      <c r="J210" s="287"/>
      <c r="K210" s="287"/>
      <c r="L210" s="287"/>
      <c r="M210" s="287"/>
      <c r="N210" s="287"/>
      <c r="O210" s="287"/>
      <c r="P210" s="287"/>
      <c r="Q210" s="287"/>
      <c r="R210" s="287"/>
      <c r="S210" s="287"/>
      <c r="T210" s="287"/>
      <c r="U210" s="287"/>
      <c r="V210" s="287"/>
      <c r="W210" s="287"/>
      <c r="X210" s="287"/>
      <c r="Y210" s="287"/>
      <c r="Z210" s="287"/>
      <c r="AA210" s="287"/>
      <c r="AB210" s="287"/>
      <c r="AC210" s="287"/>
      <c r="AD210" s="287"/>
      <c r="AE210" s="287"/>
      <c r="AF210" s="287"/>
      <c r="AG210" s="287"/>
      <c r="AH210" s="287"/>
      <c r="AI210" s="287"/>
      <c r="AJ210" s="287"/>
      <c r="AK210" s="287"/>
      <c r="AL210" s="287"/>
      <c r="AM210" s="287"/>
      <c r="AN210" s="287"/>
      <c r="AO210" s="287"/>
      <c r="AP210" s="287"/>
      <c r="AQ210" s="287"/>
      <c r="AR210" s="287"/>
      <c r="AS210" s="287"/>
      <c r="AT210" s="287"/>
      <c r="AU210" s="287"/>
      <c r="AV210" s="287"/>
      <c r="AW210" s="287"/>
      <c r="AX210" s="287"/>
      <c r="AY210" s="287"/>
      <c r="AZ210" s="287"/>
      <c r="BA210" s="287"/>
      <c r="BB210" s="287"/>
      <c r="BC210" s="287"/>
    </row>
    <row r="211" ht="15.75" customHeight="1">
      <c r="A211" s="287"/>
      <c r="B211" s="287"/>
      <c r="C211" s="287"/>
      <c r="D211" s="287"/>
      <c r="E211" s="287"/>
      <c r="F211" s="287"/>
      <c r="G211" s="287"/>
      <c r="H211" s="287"/>
      <c r="I211" s="287"/>
      <c r="J211" s="287"/>
      <c r="K211" s="287"/>
      <c r="L211" s="287"/>
      <c r="M211" s="287"/>
      <c r="N211" s="287"/>
      <c r="O211" s="287"/>
      <c r="P211" s="287"/>
      <c r="Q211" s="287"/>
      <c r="R211" s="287"/>
      <c r="S211" s="287"/>
      <c r="T211" s="287"/>
      <c r="U211" s="287"/>
      <c r="V211" s="287"/>
      <c r="W211" s="287"/>
      <c r="X211" s="287"/>
      <c r="Y211" s="287"/>
      <c r="Z211" s="287"/>
      <c r="AA211" s="287"/>
      <c r="AB211" s="287"/>
      <c r="AC211" s="287"/>
      <c r="AD211" s="287"/>
      <c r="AE211" s="287"/>
      <c r="AF211" s="287"/>
      <c r="AG211" s="287"/>
      <c r="AH211" s="287"/>
      <c r="AI211" s="287"/>
      <c r="AJ211" s="287"/>
      <c r="AK211" s="287"/>
      <c r="AL211" s="287"/>
      <c r="AM211" s="287"/>
      <c r="AN211" s="287"/>
      <c r="AO211" s="287"/>
      <c r="AP211" s="287"/>
      <c r="AQ211" s="287"/>
      <c r="AR211" s="287"/>
      <c r="AS211" s="287"/>
      <c r="AT211" s="287"/>
      <c r="AU211" s="287"/>
      <c r="AV211" s="287"/>
      <c r="AW211" s="287"/>
      <c r="AX211" s="287"/>
      <c r="AY211" s="287"/>
      <c r="AZ211" s="287"/>
      <c r="BA211" s="287"/>
      <c r="BB211" s="287"/>
      <c r="BC211" s="287"/>
    </row>
    <row r="212" ht="15.75" customHeight="1">
      <c r="A212" s="287"/>
      <c r="B212" s="287"/>
      <c r="C212" s="287"/>
      <c r="D212" s="287"/>
      <c r="E212" s="287"/>
      <c r="F212" s="287"/>
      <c r="G212" s="287"/>
      <c r="H212" s="287"/>
      <c r="I212" s="287"/>
      <c r="J212" s="287"/>
      <c r="K212" s="287"/>
      <c r="L212" s="287"/>
      <c r="M212" s="287"/>
      <c r="N212" s="287"/>
      <c r="O212" s="287"/>
      <c r="P212" s="287"/>
      <c r="Q212" s="287"/>
      <c r="R212" s="287"/>
      <c r="S212" s="287"/>
      <c r="T212" s="287"/>
      <c r="U212" s="287"/>
      <c r="V212" s="287"/>
      <c r="W212" s="287"/>
      <c r="X212" s="287"/>
      <c r="Y212" s="287"/>
      <c r="Z212" s="287"/>
      <c r="AA212" s="287"/>
      <c r="AB212" s="287"/>
      <c r="AC212" s="287"/>
      <c r="AD212" s="287"/>
      <c r="AE212" s="287"/>
      <c r="AF212" s="287"/>
      <c r="AG212" s="287"/>
      <c r="AH212" s="287"/>
      <c r="AI212" s="287"/>
      <c r="AJ212" s="287"/>
      <c r="AK212" s="287"/>
      <c r="AL212" s="287"/>
      <c r="AM212" s="287"/>
      <c r="AN212" s="287"/>
      <c r="AO212" s="287"/>
      <c r="AP212" s="287"/>
      <c r="AQ212" s="287"/>
      <c r="AR212" s="287"/>
      <c r="AS212" s="287"/>
      <c r="AT212" s="287"/>
      <c r="AU212" s="287"/>
      <c r="AV212" s="287"/>
      <c r="AW212" s="287"/>
      <c r="AX212" s="287"/>
      <c r="AY212" s="287"/>
      <c r="AZ212" s="287"/>
      <c r="BA212" s="287"/>
      <c r="BB212" s="287"/>
      <c r="BC212" s="287"/>
    </row>
    <row r="213" ht="15.75" customHeight="1">
      <c r="A213" s="287"/>
      <c r="B213" s="287"/>
      <c r="C213" s="287"/>
      <c r="D213" s="287"/>
      <c r="E213" s="287"/>
      <c r="F213" s="287"/>
      <c r="G213" s="287"/>
      <c r="H213" s="287"/>
      <c r="I213" s="287"/>
      <c r="J213" s="287"/>
      <c r="K213" s="287"/>
      <c r="L213" s="287"/>
      <c r="M213" s="287"/>
      <c r="N213" s="287"/>
      <c r="O213" s="287"/>
      <c r="P213" s="287"/>
      <c r="Q213" s="287"/>
      <c r="R213" s="287"/>
      <c r="S213" s="287"/>
      <c r="T213" s="287"/>
      <c r="U213" s="287"/>
      <c r="V213" s="287"/>
      <c r="W213" s="287"/>
      <c r="X213" s="287"/>
      <c r="Y213" s="287"/>
      <c r="Z213" s="287"/>
      <c r="AA213" s="287"/>
      <c r="AB213" s="287"/>
      <c r="AC213" s="287"/>
      <c r="AD213" s="287"/>
      <c r="AE213" s="287"/>
      <c r="AF213" s="287"/>
      <c r="AG213" s="287"/>
      <c r="AH213" s="287"/>
      <c r="AI213" s="287"/>
      <c r="AJ213" s="287"/>
      <c r="AK213" s="287"/>
      <c r="AL213" s="287"/>
      <c r="AM213" s="287"/>
      <c r="AN213" s="287"/>
      <c r="AO213" s="287"/>
      <c r="AP213" s="287"/>
      <c r="AQ213" s="287"/>
      <c r="AR213" s="287"/>
      <c r="AS213" s="287"/>
      <c r="AT213" s="287"/>
      <c r="AU213" s="287"/>
      <c r="AV213" s="287"/>
      <c r="AW213" s="287"/>
      <c r="AX213" s="287"/>
      <c r="AY213" s="287"/>
      <c r="AZ213" s="287"/>
      <c r="BA213" s="287"/>
      <c r="BB213" s="287"/>
      <c r="BC213" s="287"/>
    </row>
    <row r="214" ht="15.75" customHeight="1">
      <c r="A214" s="287"/>
      <c r="B214" s="287"/>
      <c r="C214" s="287"/>
      <c r="D214" s="287"/>
      <c r="E214" s="287"/>
      <c r="F214" s="287"/>
      <c r="G214" s="287"/>
      <c r="H214" s="287"/>
      <c r="I214" s="287"/>
      <c r="J214" s="287"/>
      <c r="K214" s="287"/>
      <c r="L214" s="287"/>
      <c r="M214" s="287"/>
      <c r="N214" s="287"/>
      <c r="O214" s="287"/>
      <c r="P214" s="287"/>
      <c r="Q214" s="287"/>
      <c r="R214" s="287"/>
      <c r="S214" s="287"/>
      <c r="T214" s="287"/>
      <c r="U214" s="287"/>
      <c r="V214" s="287"/>
      <c r="W214" s="287"/>
      <c r="X214" s="287"/>
      <c r="Y214" s="287"/>
      <c r="Z214" s="287"/>
      <c r="AA214" s="287"/>
      <c r="AB214" s="287"/>
      <c r="AC214" s="287"/>
      <c r="AD214" s="287"/>
      <c r="AE214" s="287"/>
      <c r="AF214" s="287"/>
      <c r="AG214" s="287"/>
      <c r="AH214" s="287"/>
      <c r="AI214" s="287"/>
      <c r="AJ214" s="287"/>
      <c r="AK214" s="287"/>
      <c r="AL214" s="287"/>
      <c r="AM214" s="287"/>
      <c r="AN214" s="287"/>
      <c r="AO214" s="287"/>
      <c r="AP214" s="287"/>
      <c r="AQ214" s="287"/>
      <c r="AR214" s="287"/>
      <c r="AS214" s="287"/>
      <c r="AT214" s="287"/>
      <c r="AU214" s="287"/>
      <c r="AV214" s="287"/>
      <c r="AW214" s="287"/>
      <c r="AX214" s="287"/>
      <c r="AY214" s="287"/>
      <c r="AZ214" s="287"/>
      <c r="BA214" s="287"/>
      <c r="BB214" s="287"/>
      <c r="BC214" s="287"/>
    </row>
    <row r="215" ht="15.75" customHeight="1">
      <c r="A215" s="287"/>
      <c r="B215" s="287"/>
      <c r="C215" s="287"/>
      <c r="D215" s="287"/>
      <c r="E215" s="287"/>
      <c r="F215" s="287"/>
      <c r="G215" s="287"/>
      <c r="H215" s="287"/>
      <c r="I215" s="287"/>
      <c r="J215" s="287"/>
      <c r="K215" s="287"/>
      <c r="L215" s="287"/>
      <c r="M215" s="287"/>
      <c r="N215" s="287"/>
      <c r="O215" s="287"/>
      <c r="P215" s="287"/>
      <c r="Q215" s="287"/>
      <c r="R215" s="287"/>
      <c r="S215" s="287"/>
      <c r="T215" s="287"/>
      <c r="U215" s="287"/>
      <c r="V215" s="287"/>
      <c r="W215" s="287"/>
      <c r="X215" s="287"/>
      <c r="Y215" s="287"/>
      <c r="Z215" s="287"/>
      <c r="AA215" s="287"/>
      <c r="AB215" s="287"/>
      <c r="AC215" s="287"/>
      <c r="AD215" s="287"/>
      <c r="AE215" s="287"/>
      <c r="AF215" s="287"/>
      <c r="AG215" s="287"/>
      <c r="AH215" s="287"/>
      <c r="AI215" s="287"/>
      <c r="AJ215" s="287"/>
      <c r="AK215" s="287"/>
      <c r="AL215" s="287"/>
      <c r="AM215" s="287"/>
      <c r="AN215" s="287"/>
      <c r="AO215" s="287"/>
      <c r="AP215" s="287"/>
      <c r="AQ215" s="287"/>
      <c r="AR215" s="287"/>
      <c r="AS215" s="287"/>
      <c r="AT215" s="287"/>
      <c r="AU215" s="287"/>
      <c r="AV215" s="287"/>
      <c r="AW215" s="287"/>
      <c r="AX215" s="287"/>
      <c r="AY215" s="287"/>
      <c r="AZ215" s="287"/>
      <c r="BA215" s="287"/>
      <c r="BB215" s="287"/>
      <c r="BC215" s="287"/>
    </row>
    <row r="216" ht="15.75" customHeight="1">
      <c r="A216" s="287"/>
      <c r="B216" s="287"/>
      <c r="C216" s="287"/>
      <c r="D216" s="287"/>
      <c r="E216" s="287"/>
      <c r="F216" s="287"/>
      <c r="G216" s="287"/>
      <c r="H216" s="287"/>
      <c r="I216" s="287"/>
      <c r="J216" s="287"/>
      <c r="K216" s="287"/>
      <c r="L216" s="287"/>
      <c r="M216" s="287"/>
      <c r="N216" s="287"/>
      <c r="O216" s="287"/>
      <c r="P216" s="287"/>
      <c r="Q216" s="287"/>
      <c r="R216" s="287"/>
      <c r="S216" s="287"/>
      <c r="T216" s="287"/>
      <c r="U216" s="287"/>
      <c r="V216" s="287"/>
      <c r="W216" s="287"/>
      <c r="X216" s="287"/>
      <c r="Y216" s="287"/>
      <c r="Z216" s="287"/>
      <c r="AA216" s="287"/>
      <c r="AB216" s="287"/>
      <c r="AC216" s="287"/>
      <c r="AD216" s="287"/>
      <c r="AE216" s="287"/>
      <c r="AF216" s="287"/>
      <c r="AG216" s="287"/>
      <c r="AH216" s="287"/>
      <c r="AI216" s="287"/>
      <c r="AJ216" s="287"/>
      <c r="AK216" s="287"/>
      <c r="AL216" s="287"/>
      <c r="AM216" s="287"/>
      <c r="AN216" s="287"/>
      <c r="AO216" s="287"/>
      <c r="AP216" s="287"/>
      <c r="AQ216" s="287"/>
      <c r="AR216" s="287"/>
      <c r="AS216" s="287"/>
      <c r="AT216" s="287"/>
      <c r="AU216" s="287"/>
      <c r="AV216" s="287"/>
      <c r="AW216" s="287"/>
      <c r="AX216" s="287"/>
      <c r="AY216" s="287"/>
      <c r="AZ216" s="287"/>
      <c r="BA216" s="287"/>
      <c r="BB216" s="287"/>
      <c r="BC216" s="287"/>
    </row>
    <row r="217" ht="15.75" customHeight="1">
      <c r="A217" s="287"/>
      <c r="B217" s="287"/>
      <c r="C217" s="287"/>
      <c r="D217" s="287"/>
      <c r="E217" s="287"/>
      <c r="F217" s="287"/>
      <c r="G217" s="287"/>
      <c r="H217" s="287"/>
      <c r="I217" s="287"/>
      <c r="J217" s="287"/>
      <c r="K217" s="287"/>
      <c r="L217" s="287"/>
      <c r="M217" s="287"/>
      <c r="N217" s="287"/>
      <c r="O217" s="287"/>
      <c r="P217" s="287"/>
      <c r="Q217" s="287"/>
      <c r="R217" s="287"/>
      <c r="S217" s="287"/>
      <c r="T217" s="287"/>
      <c r="U217" s="287"/>
      <c r="V217" s="287"/>
      <c r="W217" s="287"/>
      <c r="X217" s="287"/>
      <c r="Y217" s="287"/>
      <c r="Z217" s="287"/>
      <c r="AA217" s="287"/>
      <c r="AB217" s="287"/>
      <c r="AC217" s="287"/>
      <c r="AD217" s="287"/>
      <c r="AE217" s="287"/>
      <c r="AF217" s="287"/>
      <c r="AG217" s="287"/>
      <c r="AH217" s="287"/>
      <c r="AI217" s="287"/>
      <c r="AJ217" s="287"/>
      <c r="AK217" s="287"/>
      <c r="AL217" s="287"/>
      <c r="AM217" s="287"/>
      <c r="AN217" s="287"/>
      <c r="AO217" s="287"/>
      <c r="AP217" s="287"/>
      <c r="AQ217" s="287"/>
      <c r="AR217" s="287"/>
      <c r="AS217" s="287"/>
      <c r="AT217" s="287"/>
      <c r="AU217" s="287"/>
      <c r="AV217" s="287"/>
      <c r="AW217" s="287"/>
      <c r="AX217" s="287"/>
      <c r="AY217" s="287"/>
      <c r="AZ217" s="287"/>
      <c r="BA217" s="287"/>
      <c r="BB217" s="287"/>
      <c r="BC217" s="287"/>
    </row>
    <row r="218" ht="15.75" customHeight="1">
      <c r="A218" s="287"/>
      <c r="B218" s="287"/>
      <c r="C218" s="287"/>
      <c r="D218" s="287"/>
      <c r="E218" s="287"/>
      <c r="F218" s="287"/>
      <c r="G218" s="287"/>
      <c r="H218" s="287"/>
      <c r="I218" s="287"/>
      <c r="J218" s="287"/>
      <c r="K218" s="287"/>
      <c r="L218" s="287"/>
      <c r="M218" s="287"/>
      <c r="N218" s="287"/>
      <c r="O218" s="287"/>
      <c r="P218" s="287"/>
      <c r="Q218" s="287"/>
      <c r="R218" s="287"/>
      <c r="S218" s="287"/>
      <c r="T218" s="287"/>
      <c r="U218" s="287"/>
      <c r="V218" s="287"/>
      <c r="W218" s="287"/>
      <c r="X218" s="287"/>
      <c r="Y218" s="287"/>
      <c r="Z218" s="287"/>
      <c r="AA218" s="287"/>
      <c r="AB218" s="287"/>
      <c r="AC218" s="287"/>
      <c r="AD218" s="287"/>
      <c r="AE218" s="287"/>
      <c r="AF218" s="287"/>
      <c r="AG218" s="287"/>
      <c r="AH218" s="287"/>
      <c r="AI218" s="287"/>
      <c r="AJ218" s="287"/>
      <c r="AK218" s="287"/>
      <c r="AL218" s="287"/>
      <c r="AM218" s="287"/>
      <c r="AN218" s="287"/>
      <c r="AO218" s="287"/>
      <c r="AP218" s="287"/>
      <c r="AQ218" s="287"/>
      <c r="AR218" s="287"/>
      <c r="AS218" s="287"/>
      <c r="AT218" s="287"/>
      <c r="AU218" s="287"/>
      <c r="AV218" s="287"/>
      <c r="AW218" s="287"/>
      <c r="AX218" s="287"/>
      <c r="AY218" s="287"/>
      <c r="AZ218" s="287"/>
      <c r="BA218" s="287"/>
      <c r="BB218" s="287"/>
      <c r="BC218" s="287"/>
    </row>
    <row r="219" ht="15.75" customHeight="1">
      <c r="A219" s="287"/>
      <c r="B219" s="287"/>
      <c r="C219" s="287"/>
      <c r="D219" s="287"/>
      <c r="E219" s="287"/>
      <c r="F219" s="287"/>
      <c r="G219" s="287"/>
      <c r="H219" s="287"/>
      <c r="I219" s="287"/>
      <c r="J219" s="287"/>
      <c r="K219" s="287"/>
      <c r="L219" s="287"/>
      <c r="M219" s="287"/>
      <c r="N219" s="287"/>
      <c r="O219" s="287"/>
      <c r="P219" s="287"/>
      <c r="Q219" s="287"/>
      <c r="R219" s="287"/>
      <c r="S219" s="287"/>
      <c r="T219" s="287"/>
      <c r="U219" s="287"/>
      <c r="V219" s="287"/>
      <c r="W219" s="287"/>
      <c r="X219" s="287"/>
      <c r="Y219" s="287"/>
      <c r="Z219" s="287"/>
      <c r="AA219" s="287"/>
      <c r="AB219" s="287"/>
      <c r="AC219" s="287"/>
      <c r="AD219" s="287"/>
      <c r="AE219" s="287"/>
      <c r="AF219" s="287"/>
      <c r="AG219" s="287"/>
      <c r="AH219" s="287"/>
      <c r="AI219" s="287"/>
      <c r="AJ219" s="287"/>
      <c r="AK219" s="287"/>
      <c r="AL219" s="287"/>
      <c r="AM219" s="287"/>
      <c r="AN219" s="287"/>
      <c r="AO219" s="287"/>
      <c r="AP219" s="287"/>
      <c r="AQ219" s="287"/>
      <c r="AR219" s="287"/>
      <c r="AS219" s="287"/>
      <c r="AT219" s="287"/>
      <c r="AU219" s="287"/>
      <c r="AV219" s="287"/>
      <c r="AW219" s="287"/>
      <c r="AX219" s="287"/>
      <c r="AY219" s="287"/>
      <c r="AZ219" s="287"/>
      <c r="BA219" s="287"/>
      <c r="BB219" s="287"/>
      <c r="BC219" s="287"/>
    </row>
    <row r="220" ht="15.75" customHeight="1">
      <c r="A220" s="287"/>
      <c r="B220" s="287"/>
      <c r="C220" s="287"/>
      <c r="D220" s="287"/>
      <c r="E220" s="287"/>
      <c r="F220" s="287"/>
      <c r="G220" s="287"/>
      <c r="H220" s="287"/>
      <c r="I220" s="287"/>
      <c r="J220" s="287"/>
      <c r="K220" s="287"/>
      <c r="L220" s="287"/>
      <c r="M220" s="287"/>
      <c r="N220" s="287"/>
      <c r="O220" s="287"/>
      <c r="P220" s="287"/>
      <c r="Q220" s="287"/>
      <c r="R220" s="287"/>
      <c r="S220" s="287"/>
      <c r="T220" s="287"/>
      <c r="U220" s="287"/>
      <c r="V220" s="287"/>
      <c r="W220" s="287"/>
      <c r="X220" s="287"/>
      <c r="Y220" s="287"/>
      <c r="Z220" s="287"/>
      <c r="AA220" s="287"/>
      <c r="AB220" s="287"/>
      <c r="AC220" s="287"/>
      <c r="AD220" s="287"/>
      <c r="AE220" s="287"/>
      <c r="AF220" s="287"/>
      <c r="AG220" s="287"/>
      <c r="AH220" s="287"/>
      <c r="AI220" s="287"/>
      <c r="AJ220" s="287"/>
      <c r="AK220" s="287"/>
      <c r="AL220" s="287"/>
      <c r="AM220" s="287"/>
      <c r="AN220" s="287"/>
      <c r="AO220" s="287"/>
      <c r="AP220" s="287"/>
      <c r="AQ220" s="287"/>
      <c r="AR220" s="287"/>
      <c r="AS220" s="287"/>
      <c r="AT220" s="287"/>
      <c r="AU220" s="287"/>
      <c r="AV220" s="287"/>
      <c r="AW220" s="287"/>
      <c r="AX220" s="287"/>
      <c r="AY220" s="287"/>
      <c r="AZ220" s="287"/>
      <c r="BA220" s="287"/>
      <c r="BB220" s="287"/>
      <c r="BC220" s="287"/>
    </row>
    <row r="221" ht="15.75" customHeight="1">
      <c r="A221" s="287"/>
      <c r="B221" s="287"/>
      <c r="C221" s="287"/>
      <c r="D221" s="287"/>
      <c r="E221" s="287"/>
      <c r="F221" s="287"/>
      <c r="G221" s="287"/>
      <c r="H221" s="287"/>
      <c r="I221" s="287"/>
      <c r="J221" s="287"/>
      <c r="K221" s="287"/>
      <c r="L221" s="287"/>
      <c r="M221" s="287"/>
      <c r="N221" s="287"/>
      <c r="O221" s="287"/>
      <c r="P221" s="287"/>
      <c r="Q221" s="287"/>
      <c r="R221" s="287"/>
      <c r="S221" s="287"/>
      <c r="T221" s="287"/>
      <c r="U221" s="287"/>
      <c r="V221" s="287"/>
      <c r="W221" s="287"/>
      <c r="X221" s="287"/>
      <c r="Y221" s="287"/>
      <c r="Z221" s="287"/>
      <c r="AA221" s="287"/>
      <c r="AB221" s="287"/>
      <c r="AC221" s="287"/>
      <c r="AD221" s="287"/>
      <c r="AE221" s="287"/>
      <c r="AF221" s="287"/>
      <c r="AG221" s="287"/>
      <c r="AH221" s="287"/>
      <c r="AI221" s="287"/>
      <c r="AJ221" s="287"/>
      <c r="AK221" s="287"/>
      <c r="AL221" s="287"/>
      <c r="AM221" s="287"/>
      <c r="AN221" s="287"/>
      <c r="AO221" s="287"/>
      <c r="AP221" s="287"/>
      <c r="AQ221" s="287"/>
      <c r="AR221" s="287"/>
      <c r="AS221" s="287"/>
      <c r="AT221" s="287"/>
      <c r="AU221" s="287"/>
      <c r="AV221" s="287"/>
      <c r="AW221" s="287"/>
      <c r="AX221" s="287"/>
      <c r="AY221" s="287"/>
      <c r="AZ221" s="287"/>
      <c r="BA221" s="287"/>
      <c r="BB221" s="287"/>
      <c r="BC221" s="287"/>
    </row>
    <row r="222" ht="15.75" customHeight="1">
      <c r="A222" s="287"/>
      <c r="B222" s="287"/>
      <c r="C222" s="287"/>
      <c r="D222" s="287"/>
      <c r="E222" s="287"/>
      <c r="F222" s="287"/>
      <c r="G222" s="287"/>
      <c r="H222" s="287"/>
      <c r="I222" s="287"/>
      <c r="J222" s="287"/>
      <c r="K222" s="287"/>
      <c r="L222" s="287"/>
      <c r="M222" s="287"/>
      <c r="N222" s="287"/>
      <c r="O222" s="287"/>
      <c r="P222" s="287"/>
      <c r="Q222" s="287"/>
      <c r="R222" s="287"/>
      <c r="S222" s="287"/>
      <c r="T222" s="287"/>
      <c r="U222" s="287"/>
      <c r="V222" s="287"/>
      <c r="W222" s="287"/>
      <c r="X222" s="287"/>
      <c r="Y222" s="287"/>
      <c r="Z222" s="287"/>
      <c r="AA222" s="287"/>
      <c r="AB222" s="287"/>
      <c r="AC222" s="287"/>
      <c r="AD222" s="287"/>
      <c r="AE222" s="287"/>
      <c r="AF222" s="287"/>
      <c r="AG222" s="287"/>
      <c r="AH222" s="287"/>
      <c r="AI222" s="287"/>
      <c r="AJ222" s="287"/>
      <c r="AK222" s="287"/>
      <c r="AL222" s="287"/>
      <c r="AM222" s="287"/>
      <c r="AN222" s="287"/>
      <c r="AO222" s="287"/>
      <c r="AP222" s="287"/>
      <c r="AQ222" s="287"/>
      <c r="AR222" s="287"/>
      <c r="AS222" s="287"/>
      <c r="AT222" s="287"/>
      <c r="AU222" s="287"/>
      <c r="AV222" s="287"/>
      <c r="AW222" s="287"/>
      <c r="AX222" s="287"/>
      <c r="AY222" s="287"/>
      <c r="AZ222" s="287"/>
      <c r="BA222" s="287"/>
      <c r="BB222" s="287"/>
      <c r="BC222" s="287"/>
    </row>
    <row r="223" ht="15.75" customHeight="1">
      <c r="A223" s="287"/>
      <c r="B223" s="287"/>
      <c r="C223" s="287"/>
      <c r="D223" s="287"/>
      <c r="E223" s="287"/>
      <c r="F223" s="287"/>
      <c r="G223" s="287"/>
      <c r="H223" s="287"/>
      <c r="I223" s="287"/>
      <c r="J223" s="287"/>
      <c r="K223" s="287"/>
      <c r="L223" s="287"/>
      <c r="M223" s="287"/>
      <c r="N223" s="287"/>
      <c r="O223" s="287"/>
      <c r="P223" s="287"/>
      <c r="Q223" s="287"/>
      <c r="R223" s="287"/>
      <c r="S223" s="287"/>
      <c r="T223" s="287"/>
      <c r="U223" s="287"/>
      <c r="V223" s="287"/>
      <c r="W223" s="287"/>
      <c r="X223" s="287"/>
      <c r="Y223" s="287"/>
      <c r="Z223" s="287"/>
      <c r="AA223" s="287"/>
      <c r="AB223" s="287"/>
      <c r="AC223" s="287"/>
      <c r="AD223" s="287"/>
      <c r="AE223" s="287"/>
      <c r="AF223" s="287"/>
      <c r="AG223" s="287"/>
      <c r="AH223" s="287"/>
      <c r="AI223" s="287"/>
      <c r="AJ223" s="287"/>
      <c r="AK223" s="287"/>
      <c r="AL223" s="287"/>
      <c r="AM223" s="287"/>
      <c r="AN223" s="287"/>
      <c r="AO223" s="287"/>
      <c r="AP223" s="287"/>
      <c r="AQ223" s="287"/>
      <c r="AR223" s="287"/>
      <c r="AS223" s="287"/>
      <c r="AT223" s="287"/>
      <c r="AU223" s="287"/>
      <c r="AV223" s="287"/>
      <c r="AW223" s="287"/>
      <c r="AX223" s="287"/>
      <c r="AY223" s="287"/>
      <c r="AZ223" s="287"/>
      <c r="BA223" s="287"/>
      <c r="BB223" s="287"/>
      <c r="BC223" s="287"/>
    </row>
    <row r="224" ht="15.75" customHeight="1">
      <c r="A224" s="287"/>
      <c r="B224" s="287"/>
      <c r="C224" s="287"/>
      <c r="D224" s="287"/>
      <c r="E224" s="287"/>
      <c r="F224" s="287"/>
      <c r="G224" s="287"/>
      <c r="H224" s="287"/>
      <c r="I224" s="287"/>
      <c r="J224" s="287"/>
      <c r="K224" s="287"/>
      <c r="L224" s="287"/>
      <c r="M224" s="287"/>
      <c r="N224" s="287"/>
      <c r="O224" s="287"/>
      <c r="P224" s="287"/>
      <c r="Q224" s="287"/>
      <c r="R224" s="287"/>
      <c r="S224" s="287"/>
      <c r="T224" s="287"/>
      <c r="U224" s="287"/>
      <c r="V224" s="287"/>
      <c r="W224" s="287"/>
      <c r="X224" s="287"/>
      <c r="Y224" s="287"/>
      <c r="Z224" s="287"/>
      <c r="AA224" s="287"/>
      <c r="AB224" s="287"/>
      <c r="AC224" s="287"/>
      <c r="AD224" s="287"/>
      <c r="AE224" s="287"/>
      <c r="AF224" s="287"/>
      <c r="AG224" s="287"/>
      <c r="AH224" s="287"/>
      <c r="AI224" s="287"/>
      <c r="AJ224" s="287"/>
      <c r="AK224" s="287"/>
      <c r="AL224" s="287"/>
      <c r="AM224" s="287"/>
      <c r="AN224" s="287"/>
      <c r="AO224" s="287"/>
      <c r="AP224" s="287"/>
      <c r="AQ224" s="287"/>
      <c r="AR224" s="287"/>
      <c r="AS224" s="287"/>
      <c r="AT224" s="287"/>
      <c r="AU224" s="287"/>
      <c r="AV224" s="287"/>
      <c r="AW224" s="287"/>
      <c r="AX224" s="287"/>
      <c r="AY224" s="287"/>
      <c r="AZ224" s="287"/>
      <c r="BA224" s="287"/>
      <c r="BB224" s="287"/>
      <c r="BC224" s="287"/>
    </row>
    <row r="225" ht="15.75" customHeight="1">
      <c r="A225" s="287"/>
      <c r="B225" s="287"/>
      <c r="C225" s="287"/>
      <c r="D225" s="287"/>
      <c r="E225" s="287"/>
      <c r="F225" s="287"/>
      <c r="G225" s="287"/>
      <c r="H225" s="287"/>
      <c r="I225" s="287"/>
      <c r="J225" s="287"/>
      <c r="K225" s="287"/>
      <c r="L225" s="287"/>
      <c r="M225" s="287"/>
      <c r="N225" s="287"/>
      <c r="O225" s="287"/>
      <c r="P225" s="287"/>
      <c r="Q225" s="287"/>
      <c r="R225" s="287"/>
      <c r="S225" s="287"/>
      <c r="T225" s="287"/>
      <c r="U225" s="287"/>
      <c r="V225" s="287"/>
      <c r="W225" s="287"/>
      <c r="X225" s="287"/>
      <c r="Y225" s="287"/>
      <c r="Z225" s="287"/>
      <c r="AA225" s="287"/>
      <c r="AB225" s="287"/>
      <c r="AC225" s="287"/>
      <c r="AD225" s="287"/>
      <c r="AE225" s="287"/>
      <c r="AF225" s="287"/>
      <c r="AG225" s="287"/>
      <c r="AH225" s="287"/>
      <c r="AI225" s="287"/>
      <c r="AJ225" s="287"/>
      <c r="AK225" s="287"/>
      <c r="AL225" s="287"/>
      <c r="AM225" s="287"/>
      <c r="AN225" s="287"/>
      <c r="AO225" s="287"/>
      <c r="AP225" s="287"/>
      <c r="AQ225" s="287"/>
      <c r="AR225" s="287"/>
      <c r="AS225" s="287"/>
      <c r="AT225" s="287"/>
      <c r="AU225" s="287"/>
      <c r="AV225" s="287"/>
      <c r="AW225" s="287"/>
      <c r="AX225" s="287"/>
      <c r="AY225" s="287"/>
      <c r="AZ225" s="287"/>
      <c r="BA225" s="287"/>
      <c r="BB225" s="287"/>
      <c r="BC225" s="287"/>
    </row>
    <row r="226" ht="15.75" customHeight="1">
      <c r="A226" s="287"/>
      <c r="B226" s="287"/>
      <c r="C226" s="287"/>
      <c r="D226" s="287"/>
      <c r="E226" s="287"/>
      <c r="F226" s="287"/>
      <c r="G226" s="287"/>
      <c r="H226" s="287"/>
      <c r="I226" s="287"/>
      <c r="J226" s="287"/>
      <c r="K226" s="287"/>
      <c r="L226" s="287"/>
      <c r="M226" s="287"/>
      <c r="N226" s="287"/>
      <c r="O226" s="287"/>
      <c r="P226" s="287"/>
      <c r="Q226" s="287"/>
      <c r="R226" s="287"/>
      <c r="S226" s="287"/>
      <c r="T226" s="287"/>
      <c r="U226" s="287"/>
      <c r="V226" s="287"/>
      <c r="W226" s="287"/>
      <c r="X226" s="287"/>
      <c r="Y226" s="287"/>
      <c r="Z226" s="287"/>
      <c r="AA226" s="287"/>
      <c r="AB226" s="287"/>
      <c r="AC226" s="287"/>
      <c r="AD226" s="287"/>
      <c r="AE226" s="287"/>
      <c r="AF226" s="287"/>
      <c r="AG226" s="287"/>
      <c r="AH226" s="287"/>
      <c r="AI226" s="287"/>
      <c r="AJ226" s="287"/>
      <c r="AK226" s="287"/>
      <c r="AL226" s="287"/>
      <c r="AM226" s="287"/>
      <c r="AN226" s="287"/>
      <c r="AO226" s="287"/>
      <c r="AP226" s="287"/>
      <c r="AQ226" s="287"/>
      <c r="AR226" s="287"/>
      <c r="AS226" s="287"/>
      <c r="AT226" s="287"/>
      <c r="AU226" s="287"/>
      <c r="AV226" s="287"/>
      <c r="AW226" s="287"/>
      <c r="AX226" s="287"/>
      <c r="AY226" s="287"/>
      <c r="AZ226" s="287"/>
      <c r="BA226" s="287"/>
      <c r="BB226" s="287"/>
      <c r="BC226" s="287"/>
    </row>
    <row r="227" ht="15.75" customHeight="1">
      <c r="A227" s="287"/>
      <c r="B227" s="287"/>
      <c r="C227" s="287"/>
      <c r="D227" s="287"/>
      <c r="E227" s="287"/>
      <c r="F227" s="287"/>
      <c r="G227" s="287"/>
      <c r="H227" s="287"/>
      <c r="I227" s="287"/>
      <c r="J227" s="287"/>
      <c r="K227" s="287"/>
      <c r="L227" s="287"/>
      <c r="M227" s="287"/>
      <c r="N227" s="287"/>
      <c r="O227" s="287"/>
      <c r="P227" s="287"/>
      <c r="Q227" s="287"/>
      <c r="R227" s="287"/>
      <c r="S227" s="287"/>
      <c r="T227" s="287"/>
      <c r="U227" s="287"/>
      <c r="V227" s="287"/>
      <c r="W227" s="287"/>
      <c r="X227" s="287"/>
      <c r="Y227" s="287"/>
      <c r="Z227" s="287"/>
      <c r="AA227" s="287"/>
      <c r="AB227" s="287"/>
      <c r="AC227" s="287"/>
      <c r="AD227" s="287"/>
      <c r="AE227" s="287"/>
      <c r="AF227" s="287"/>
      <c r="AG227" s="287"/>
      <c r="AH227" s="287"/>
      <c r="AI227" s="287"/>
      <c r="AJ227" s="287"/>
      <c r="AK227" s="287"/>
      <c r="AL227" s="287"/>
      <c r="AM227" s="287"/>
      <c r="AN227" s="287"/>
      <c r="AO227" s="287"/>
      <c r="AP227" s="287"/>
      <c r="AQ227" s="287"/>
      <c r="AR227" s="287"/>
      <c r="AS227" s="287"/>
      <c r="AT227" s="287"/>
      <c r="AU227" s="287"/>
      <c r="AV227" s="287"/>
      <c r="AW227" s="287"/>
      <c r="AX227" s="287"/>
      <c r="AY227" s="287"/>
      <c r="AZ227" s="287"/>
      <c r="BA227" s="287"/>
      <c r="BB227" s="287"/>
      <c r="BC227" s="287"/>
    </row>
    <row r="228" ht="15.75" customHeight="1">
      <c r="A228" s="287"/>
      <c r="B228" s="287"/>
      <c r="C228" s="287"/>
      <c r="D228" s="287"/>
      <c r="E228" s="287"/>
      <c r="F228" s="287"/>
      <c r="G228" s="287"/>
      <c r="H228" s="287"/>
      <c r="I228" s="287"/>
      <c r="J228" s="287"/>
      <c r="K228" s="287"/>
      <c r="L228" s="287"/>
      <c r="M228" s="287"/>
      <c r="N228" s="287"/>
      <c r="O228" s="287"/>
      <c r="P228" s="287"/>
      <c r="Q228" s="287"/>
      <c r="R228" s="287"/>
      <c r="S228" s="287"/>
      <c r="T228" s="287"/>
      <c r="U228" s="287"/>
      <c r="V228" s="287"/>
      <c r="W228" s="287"/>
      <c r="X228" s="287"/>
      <c r="Y228" s="287"/>
      <c r="Z228" s="287"/>
      <c r="AA228" s="287"/>
      <c r="AB228" s="287"/>
      <c r="AC228" s="287"/>
      <c r="AD228" s="287"/>
      <c r="AE228" s="287"/>
      <c r="AF228" s="287"/>
      <c r="AG228" s="287"/>
      <c r="AH228" s="287"/>
      <c r="AI228" s="287"/>
      <c r="AJ228" s="287"/>
      <c r="AK228" s="287"/>
      <c r="AL228" s="287"/>
      <c r="AM228" s="287"/>
      <c r="AN228" s="287"/>
      <c r="AO228" s="287"/>
      <c r="AP228" s="287"/>
      <c r="AQ228" s="287"/>
      <c r="AR228" s="287"/>
      <c r="AS228" s="287"/>
      <c r="AT228" s="287"/>
      <c r="AU228" s="287"/>
      <c r="AV228" s="287"/>
      <c r="AW228" s="287"/>
      <c r="AX228" s="287"/>
      <c r="AY228" s="287"/>
      <c r="AZ228" s="287"/>
      <c r="BA228" s="287"/>
      <c r="BB228" s="287"/>
      <c r="BC228" s="287"/>
    </row>
    <row r="229" ht="15.75" customHeight="1">
      <c r="A229" s="287"/>
      <c r="B229" s="287"/>
      <c r="C229" s="287"/>
      <c r="D229" s="287"/>
      <c r="E229" s="287"/>
      <c r="F229" s="287"/>
      <c r="G229" s="287"/>
      <c r="H229" s="287"/>
      <c r="I229" s="287"/>
      <c r="J229" s="287"/>
      <c r="K229" s="287"/>
      <c r="L229" s="287"/>
      <c r="M229" s="287"/>
      <c r="N229" s="287"/>
      <c r="O229" s="287"/>
      <c r="P229" s="287"/>
      <c r="Q229" s="287"/>
      <c r="R229" s="287"/>
      <c r="S229" s="287"/>
      <c r="T229" s="287"/>
      <c r="U229" s="287"/>
      <c r="V229" s="287"/>
      <c r="W229" s="287"/>
      <c r="X229" s="287"/>
      <c r="Y229" s="287"/>
      <c r="Z229" s="287"/>
      <c r="AA229" s="287"/>
      <c r="AB229" s="287"/>
      <c r="AC229" s="287"/>
      <c r="AD229" s="287"/>
      <c r="AE229" s="287"/>
      <c r="AF229" s="287"/>
      <c r="AG229" s="287"/>
      <c r="AH229" s="287"/>
      <c r="AI229" s="287"/>
      <c r="AJ229" s="287"/>
      <c r="AK229" s="287"/>
      <c r="AL229" s="287"/>
      <c r="AM229" s="287"/>
      <c r="AN229" s="287"/>
      <c r="AO229" s="287"/>
      <c r="AP229" s="287"/>
      <c r="AQ229" s="287"/>
      <c r="AR229" s="287"/>
      <c r="AS229" s="287"/>
      <c r="AT229" s="287"/>
      <c r="AU229" s="287"/>
      <c r="AV229" s="287"/>
      <c r="AW229" s="287"/>
      <c r="AX229" s="287"/>
      <c r="AY229" s="287"/>
      <c r="AZ229" s="287"/>
      <c r="BA229" s="287"/>
      <c r="BB229" s="287"/>
      <c r="BC229" s="287"/>
    </row>
    <row r="230" ht="15.75" customHeight="1">
      <c r="A230" s="287"/>
      <c r="B230" s="287"/>
      <c r="C230" s="287"/>
      <c r="D230" s="287"/>
      <c r="E230" s="287"/>
      <c r="F230" s="287"/>
      <c r="G230" s="287"/>
      <c r="H230" s="287"/>
      <c r="I230" s="287"/>
      <c r="J230" s="287"/>
      <c r="K230" s="287"/>
      <c r="L230" s="287"/>
      <c r="M230" s="287"/>
      <c r="N230" s="287"/>
      <c r="O230" s="287"/>
      <c r="P230" s="287"/>
      <c r="Q230" s="287"/>
      <c r="R230" s="287"/>
      <c r="S230" s="287"/>
      <c r="T230" s="287"/>
      <c r="U230" s="287"/>
      <c r="V230" s="287"/>
      <c r="W230" s="287"/>
      <c r="X230" s="287"/>
      <c r="Y230" s="287"/>
      <c r="Z230" s="287"/>
      <c r="AA230" s="287"/>
      <c r="AB230" s="287"/>
      <c r="AC230" s="287"/>
      <c r="AD230" s="287"/>
      <c r="AE230" s="287"/>
      <c r="AF230" s="287"/>
      <c r="AG230" s="287"/>
      <c r="AH230" s="287"/>
      <c r="AI230" s="287"/>
      <c r="AJ230" s="287"/>
      <c r="AK230" s="287"/>
      <c r="AL230" s="287"/>
      <c r="AM230" s="287"/>
      <c r="AN230" s="287"/>
      <c r="AO230" s="287"/>
      <c r="AP230" s="287"/>
      <c r="AQ230" s="287"/>
      <c r="AR230" s="287"/>
      <c r="AS230" s="287"/>
      <c r="AT230" s="287"/>
      <c r="AU230" s="287"/>
      <c r="AV230" s="287"/>
      <c r="AW230" s="287"/>
      <c r="AX230" s="287"/>
      <c r="AY230" s="287"/>
      <c r="AZ230" s="287"/>
      <c r="BA230" s="287"/>
      <c r="BB230" s="287"/>
      <c r="BC230" s="287"/>
    </row>
    <row r="231" ht="15.75" customHeight="1">
      <c r="A231" s="287"/>
      <c r="B231" s="287"/>
      <c r="C231" s="287"/>
      <c r="D231" s="287"/>
      <c r="E231" s="287"/>
      <c r="F231" s="287"/>
      <c r="G231" s="287"/>
      <c r="H231" s="287"/>
      <c r="I231" s="287"/>
      <c r="J231" s="287"/>
      <c r="K231" s="287"/>
      <c r="L231" s="287"/>
      <c r="M231" s="287"/>
      <c r="N231" s="287"/>
      <c r="O231" s="287"/>
      <c r="P231" s="287"/>
      <c r="Q231" s="287"/>
      <c r="R231" s="287"/>
      <c r="S231" s="287"/>
      <c r="T231" s="287"/>
      <c r="U231" s="287"/>
      <c r="V231" s="287"/>
      <c r="W231" s="287"/>
      <c r="X231" s="287"/>
      <c r="Y231" s="287"/>
      <c r="Z231" s="287"/>
      <c r="AA231" s="287"/>
      <c r="AB231" s="287"/>
      <c r="AC231" s="287"/>
      <c r="AD231" s="287"/>
      <c r="AE231" s="287"/>
      <c r="AF231" s="287"/>
      <c r="AG231" s="287"/>
      <c r="AH231" s="287"/>
      <c r="AI231" s="287"/>
      <c r="AJ231" s="287"/>
      <c r="AK231" s="287"/>
      <c r="AL231" s="287"/>
      <c r="AM231" s="287"/>
      <c r="AN231" s="287"/>
      <c r="AO231" s="287"/>
      <c r="AP231" s="287"/>
      <c r="AQ231" s="287"/>
      <c r="AR231" s="287"/>
      <c r="AS231" s="287"/>
      <c r="AT231" s="287"/>
      <c r="AU231" s="287"/>
      <c r="AV231" s="287"/>
      <c r="AW231" s="287"/>
      <c r="AX231" s="287"/>
      <c r="AY231" s="287"/>
      <c r="AZ231" s="287"/>
      <c r="BA231" s="287"/>
      <c r="BB231" s="287"/>
      <c r="BC231" s="287"/>
    </row>
    <row r="232" ht="15.75" customHeight="1">
      <c r="A232" s="287"/>
      <c r="B232" s="287"/>
      <c r="C232" s="287"/>
      <c r="D232" s="287"/>
      <c r="E232" s="287"/>
      <c r="F232" s="287"/>
      <c r="G232" s="287"/>
      <c r="H232" s="287"/>
      <c r="I232" s="287"/>
      <c r="J232" s="287"/>
      <c r="K232" s="287"/>
      <c r="L232" s="287"/>
      <c r="M232" s="287"/>
      <c r="N232" s="287"/>
      <c r="O232" s="287"/>
      <c r="P232" s="287"/>
      <c r="Q232" s="287"/>
      <c r="R232" s="287"/>
      <c r="S232" s="287"/>
      <c r="T232" s="287"/>
      <c r="U232" s="287"/>
      <c r="V232" s="287"/>
      <c r="W232" s="287"/>
      <c r="X232" s="287"/>
      <c r="Y232" s="287"/>
      <c r="Z232" s="287"/>
      <c r="AA232" s="287"/>
      <c r="AB232" s="287"/>
      <c r="AC232" s="287"/>
      <c r="AD232" s="287"/>
      <c r="AE232" s="287"/>
      <c r="AF232" s="287"/>
      <c r="AG232" s="287"/>
      <c r="AH232" s="287"/>
      <c r="AI232" s="287"/>
      <c r="AJ232" s="287"/>
      <c r="AK232" s="287"/>
      <c r="AL232" s="287"/>
      <c r="AM232" s="287"/>
      <c r="AN232" s="287"/>
      <c r="AO232" s="287"/>
      <c r="AP232" s="287"/>
      <c r="AQ232" s="287"/>
      <c r="AR232" s="287"/>
      <c r="AS232" s="287"/>
      <c r="AT232" s="287"/>
      <c r="AU232" s="287"/>
      <c r="AV232" s="287"/>
      <c r="AW232" s="287"/>
      <c r="AX232" s="287"/>
      <c r="AY232" s="287"/>
      <c r="AZ232" s="287"/>
      <c r="BA232" s="287"/>
      <c r="BB232" s="287"/>
      <c r="BC232" s="287"/>
    </row>
    <row r="233" ht="15.75" customHeight="1">
      <c r="A233" s="287"/>
      <c r="B233" s="287"/>
      <c r="C233" s="287"/>
      <c r="D233" s="287"/>
      <c r="E233" s="287"/>
      <c r="F233" s="287"/>
      <c r="G233" s="287"/>
      <c r="H233" s="287"/>
      <c r="I233" s="287"/>
      <c r="J233" s="287"/>
      <c r="K233" s="287"/>
      <c r="L233" s="287"/>
      <c r="M233" s="287"/>
      <c r="N233" s="287"/>
      <c r="O233" s="287"/>
      <c r="P233" s="287"/>
      <c r="Q233" s="287"/>
      <c r="R233" s="287"/>
      <c r="S233" s="287"/>
      <c r="T233" s="287"/>
      <c r="U233" s="287"/>
      <c r="V233" s="287"/>
      <c r="W233" s="287"/>
      <c r="X233" s="287"/>
      <c r="Y233" s="287"/>
      <c r="Z233" s="287"/>
      <c r="AA233" s="287"/>
      <c r="AB233" s="287"/>
      <c r="AC233" s="287"/>
      <c r="AD233" s="287"/>
      <c r="AE233" s="287"/>
      <c r="AF233" s="287"/>
      <c r="AG233" s="287"/>
      <c r="AH233" s="287"/>
      <c r="AI233" s="287"/>
      <c r="AJ233" s="287"/>
      <c r="AK233" s="287"/>
      <c r="AL233" s="287"/>
      <c r="AM233" s="287"/>
      <c r="AN233" s="287"/>
      <c r="AO233" s="287"/>
      <c r="AP233" s="287"/>
      <c r="AQ233" s="287"/>
      <c r="AR233" s="287"/>
      <c r="AS233" s="287"/>
      <c r="AT233" s="287"/>
      <c r="AU233" s="287"/>
      <c r="AV233" s="287"/>
      <c r="AW233" s="287"/>
      <c r="AX233" s="287"/>
      <c r="AY233" s="287"/>
      <c r="AZ233" s="287"/>
      <c r="BA233" s="287"/>
      <c r="BB233" s="287"/>
      <c r="BC233" s="287"/>
    </row>
    <row r="234" ht="15.75" customHeight="1">
      <c r="A234" s="287"/>
      <c r="B234" s="287"/>
      <c r="C234" s="287"/>
      <c r="D234" s="287"/>
      <c r="E234" s="287"/>
      <c r="F234" s="287"/>
      <c r="G234" s="287"/>
      <c r="H234" s="287"/>
      <c r="I234" s="287"/>
      <c r="J234" s="287"/>
      <c r="K234" s="287"/>
      <c r="L234" s="287"/>
      <c r="M234" s="287"/>
      <c r="N234" s="287"/>
      <c r="O234" s="287"/>
      <c r="P234" s="287"/>
      <c r="Q234" s="287"/>
      <c r="R234" s="287"/>
      <c r="S234" s="287"/>
      <c r="T234" s="287"/>
      <c r="U234" s="287"/>
      <c r="V234" s="287"/>
      <c r="W234" s="287"/>
      <c r="X234" s="287"/>
      <c r="Y234" s="287"/>
      <c r="Z234" s="287"/>
      <c r="AA234" s="287"/>
      <c r="AB234" s="287"/>
      <c r="AC234" s="287"/>
      <c r="AD234" s="287"/>
      <c r="AE234" s="287"/>
      <c r="AF234" s="287"/>
      <c r="AG234" s="287"/>
      <c r="AH234" s="287"/>
      <c r="AI234" s="287"/>
      <c r="AJ234" s="287"/>
      <c r="AK234" s="287"/>
      <c r="AL234" s="287"/>
      <c r="AM234" s="287"/>
      <c r="AN234" s="287"/>
      <c r="AO234" s="287"/>
      <c r="AP234" s="287"/>
      <c r="AQ234" s="287"/>
      <c r="AR234" s="287"/>
      <c r="AS234" s="287"/>
      <c r="AT234" s="287"/>
      <c r="AU234" s="287"/>
      <c r="AV234" s="287"/>
      <c r="AW234" s="287"/>
      <c r="AX234" s="287"/>
      <c r="AY234" s="287"/>
      <c r="AZ234" s="287"/>
      <c r="BA234" s="287"/>
      <c r="BB234" s="287"/>
      <c r="BC234" s="287"/>
    </row>
    <row r="235" ht="15.75" customHeight="1">
      <c r="A235" s="287"/>
      <c r="B235" s="287"/>
      <c r="C235" s="287"/>
      <c r="D235" s="287"/>
      <c r="E235" s="287"/>
      <c r="F235" s="287"/>
      <c r="G235" s="287"/>
      <c r="H235" s="287"/>
      <c r="I235" s="287"/>
      <c r="J235" s="287"/>
      <c r="K235" s="287"/>
      <c r="L235" s="287"/>
      <c r="M235" s="287"/>
      <c r="N235" s="287"/>
      <c r="O235" s="287"/>
      <c r="P235" s="287"/>
      <c r="Q235" s="287"/>
      <c r="R235" s="287"/>
      <c r="S235" s="287"/>
      <c r="T235" s="287"/>
      <c r="U235" s="287"/>
      <c r="V235" s="287"/>
      <c r="W235" s="287"/>
      <c r="X235" s="287"/>
      <c r="Y235" s="287"/>
      <c r="Z235" s="287"/>
      <c r="AA235" s="287"/>
      <c r="AB235" s="287"/>
      <c r="AC235" s="287"/>
      <c r="AD235" s="287"/>
      <c r="AE235" s="287"/>
      <c r="AF235" s="287"/>
      <c r="AG235" s="287"/>
      <c r="AH235" s="287"/>
      <c r="AI235" s="287"/>
      <c r="AJ235" s="287"/>
      <c r="AK235" s="287"/>
      <c r="AL235" s="287"/>
      <c r="AM235" s="287"/>
      <c r="AN235" s="287"/>
      <c r="AO235" s="287"/>
      <c r="AP235" s="287"/>
      <c r="AQ235" s="287"/>
      <c r="AR235" s="287"/>
      <c r="AS235" s="287"/>
      <c r="AT235" s="287"/>
      <c r="AU235" s="287"/>
      <c r="AV235" s="287"/>
      <c r="AW235" s="287"/>
      <c r="AX235" s="287"/>
      <c r="AY235" s="287"/>
      <c r="AZ235" s="287"/>
      <c r="BA235" s="287"/>
      <c r="BB235" s="287"/>
      <c r="BC235" s="287"/>
    </row>
    <row r="236" ht="15.75" customHeight="1">
      <c r="A236" s="287"/>
      <c r="B236" s="287"/>
      <c r="C236" s="287"/>
      <c r="D236" s="287"/>
      <c r="E236" s="287"/>
      <c r="F236" s="287"/>
      <c r="G236" s="287"/>
      <c r="H236" s="287"/>
      <c r="I236" s="287"/>
      <c r="J236" s="287"/>
      <c r="K236" s="287"/>
      <c r="L236" s="287"/>
      <c r="M236" s="287"/>
      <c r="N236" s="287"/>
      <c r="O236" s="287"/>
      <c r="P236" s="287"/>
      <c r="Q236" s="287"/>
      <c r="R236" s="287"/>
      <c r="S236" s="287"/>
      <c r="T236" s="287"/>
      <c r="U236" s="287"/>
      <c r="V236" s="287"/>
      <c r="W236" s="287"/>
      <c r="X236" s="287"/>
      <c r="Y236" s="287"/>
      <c r="Z236" s="287"/>
      <c r="AA236" s="287"/>
      <c r="AB236" s="287"/>
      <c r="AC236" s="287"/>
      <c r="AD236" s="287"/>
      <c r="AE236" s="287"/>
      <c r="AF236" s="287"/>
      <c r="AG236" s="287"/>
      <c r="AH236" s="287"/>
      <c r="AI236" s="287"/>
      <c r="AJ236" s="287"/>
      <c r="AK236" s="287"/>
      <c r="AL236" s="287"/>
      <c r="AM236" s="287"/>
      <c r="AN236" s="287"/>
      <c r="AO236" s="287"/>
      <c r="AP236" s="287"/>
      <c r="AQ236" s="287"/>
      <c r="AR236" s="287"/>
      <c r="AS236" s="287"/>
      <c r="AT236" s="287"/>
      <c r="AU236" s="287"/>
      <c r="AV236" s="287"/>
      <c r="AW236" s="287"/>
      <c r="AX236" s="287"/>
      <c r="AY236" s="287"/>
      <c r="AZ236" s="287"/>
      <c r="BA236" s="287"/>
      <c r="BB236" s="287"/>
      <c r="BC236" s="287"/>
    </row>
    <row r="237" ht="15.75" customHeight="1">
      <c r="A237" s="287"/>
      <c r="B237" s="287"/>
      <c r="C237" s="287"/>
      <c r="D237" s="287"/>
      <c r="E237" s="287"/>
      <c r="F237" s="287"/>
      <c r="G237" s="287"/>
      <c r="H237" s="287"/>
      <c r="I237" s="287"/>
      <c r="J237" s="287"/>
      <c r="K237" s="287"/>
      <c r="L237" s="287"/>
      <c r="M237" s="287"/>
      <c r="N237" s="287"/>
      <c r="O237" s="287"/>
      <c r="P237" s="287"/>
      <c r="Q237" s="287"/>
      <c r="R237" s="287"/>
      <c r="S237" s="287"/>
      <c r="T237" s="287"/>
      <c r="U237" s="287"/>
      <c r="V237" s="287"/>
      <c r="W237" s="287"/>
      <c r="X237" s="287"/>
      <c r="Y237" s="287"/>
      <c r="Z237" s="287"/>
      <c r="AA237" s="287"/>
      <c r="AB237" s="287"/>
      <c r="AC237" s="287"/>
      <c r="AD237" s="287"/>
      <c r="AE237" s="287"/>
      <c r="AF237" s="287"/>
      <c r="AG237" s="287"/>
      <c r="AH237" s="287"/>
      <c r="AI237" s="287"/>
      <c r="AJ237" s="287"/>
      <c r="AK237" s="287"/>
      <c r="AL237" s="287"/>
      <c r="AM237" s="287"/>
      <c r="AN237" s="287"/>
      <c r="AO237" s="287"/>
      <c r="AP237" s="287"/>
      <c r="AQ237" s="287"/>
      <c r="AR237" s="287"/>
      <c r="AS237" s="287"/>
      <c r="AT237" s="287"/>
      <c r="AU237" s="287"/>
      <c r="AV237" s="287"/>
      <c r="AW237" s="287"/>
      <c r="AX237" s="287"/>
      <c r="AY237" s="287"/>
      <c r="AZ237" s="287"/>
      <c r="BA237" s="287"/>
      <c r="BB237" s="287"/>
      <c r="BC237" s="287"/>
    </row>
    <row r="238" ht="15.75" customHeight="1">
      <c r="A238" s="287"/>
      <c r="B238" s="287"/>
      <c r="C238" s="287"/>
      <c r="D238" s="287"/>
      <c r="E238" s="287"/>
      <c r="F238" s="287"/>
      <c r="G238" s="287"/>
      <c r="H238" s="287"/>
      <c r="I238" s="287"/>
      <c r="J238" s="287"/>
      <c r="K238" s="287"/>
      <c r="L238" s="287"/>
      <c r="M238" s="287"/>
      <c r="N238" s="287"/>
      <c r="O238" s="287"/>
      <c r="P238" s="287"/>
      <c r="Q238" s="287"/>
      <c r="R238" s="287"/>
      <c r="S238" s="287"/>
      <c r="T238" s="287"/>
      <c r="U238" s="287"/>
      <c r="V238" s="287"/>
      <c r="W238" s="287"/>
      <c r="X238" s="287"/>
      <c r="Y238" s="287"/>
      <c r="Z238" s="287"/>
      <c r="AA238" s="287"/>
      <c r="AB238" s="287"/>
      <c r="AC238" s="287"/>
      <c r="AD238" s="287"/>
      <c r="AE238" s="287"/>
      <c r="AF238" s="287"/>
      <c r="AG238" s="287"/>
      <c r="AH238" s="287"/>
      <c r="AI238" s="287"/>
      <c r="AJ238" s="287"/>
      <c r="AK238" s="287"/>
      <c r="AL238" s="287"/>
      <c r="AM238" s="287"/>
      <c r="AN238" s="287"/>
      <c r="AO238" s="287"/>
      <c r="AP238" s="287"/>
      <c r="AQ238" s="287"/>
      <c r="AR238" s="287"/>
      <c r="AS238" s="287"/>
      <c r="AT238" s="287"/>
      <c r="AU238" s="287"/>
      <c r="AV238" s="287"/>
      <c r="AW238" s="287"/>
      <c r="AX238" s="287"/>
      <c r="AY238" s="287"/>
      <c r="AZ238" s="287"/>
      <c r="BA238" s="287"/>
      <c r="BB238" s="287"/>
      <c r="BC238" s="287"/>
    </row>
    <row r="239" ht="15.75" customHeight="1">
      <c r="A239" s="287"/>
      <c r="B239" s="287"/>
      <c r="C239" s="287"/>
      <c r="D239" s="287"/>
      <c r="E239" s="287"/>
      <c r="F239" s="287"/>
      <c r="G239" s="287"/>
      <c r="H239" s="287"/>
      <c r="I239" s="287"/>
      <c r="J239" s="287"/>
      <c r="K239" s="287"/>
      <c r="L239" s="287"/>
      <c r="M239" s="287"/>
      <c r="N239" s="287"/>
      <c r="O239" s="287"/>
      <c r="P239" s="287"/>
      <c r="Q239" s="287"/>
      <c r="R239" s="287"/>
      <c r="S239" s="287"/>
      <c r="T239" s="287"/>
      <c r="U239" s="287"/>
      <c r="V239" s="287"/>
      <c r="W239" s="287"/>
      <c r="X239" s="287"/>
      <c r="Y239" s="287"/>
      <c r="Z239" s="287"/>
      <c r="AA239" s="287"/>
      <c r="AB239" s="287"/>
      <c r="AC239" s="287"/>
      <c r="AD239" s="287"/>
      <c r="AE239" s="287"/>
      <c r="AF239" s="287"/>
      <c r="AG239" s="287"/>
      <c r="AH239" s="287"/>
      <c r="AI239" s="287"/>
      <c r="AJ239" s="287"/>
      <c r="AK239" s="287"/>
      <c r="AL239" s="287"/>
      <c r="AM239" s="287"/>
      <c r="AN239" s="287"/>
      <c r="AO239" s="287"/>
      <c r="AP239" s="287"/>
      <c r="AQ239" s="287"/>
      <c r="AR239" s="287"/>
      <c r="AS239" s="287"/>
      <c r="AT239" s="287"/>
      <c r="AU239" s="287"/>
      <c r="AV239" s="287"/>
      <c r="AW239" s="287"/>
      <c r="AX239" s="287"/>
      <c r="AY239" s="287"/>
      <c r="AZ239" s="287"/>
      <c r="BA239" s="287"/>
      <c r="BB239" s="287"/>
      <c r="BC239" s="287"/>
    </row>
    <row r="240" ht="15.75" customHeight="1">
      <c r="A240" s="287"/>
      <c r="B240" s="287"/>
      <c r="C240" s="287"/>
      <c r="D240" s="287"/>
      <c r="E240" s="287"/>
      <c r="F240" s="287"/>
      <c r="G240" s="287"/>
      <c r="H240" s="287"/>
      <c r="I240" s="287"/>
      <c r="J240" s="287"/>
      <c r="K240" s="287"/>
      <c r="L240" s="287"/>
      <c r="M240" s="287"/>
      <c r="N240" s="287"/>
      <c r="O240" s="287"/>
      <c r="P240" s="287"/>
      <c r="Q240" s="287"/>
      <c r="R240" s="287"/>
      <c r="S240" s="287"/>
      <c r="T240" s="287"/>
      <c r="U240" s="287"/>
      <c r="V240" s="287"/>
      <c r="W240" s="287"/>
      <c r="X240" s="287"/>
      <c r="Y240" s="287"/>
      <c r="Z240" s="287"/>
      <c r="AA240" s="287"/>
      <c r="AB240" s="287"/>
      <c r="AC240" s="287"/>
      <c r="AD240" s="287"/>
      <c r="AE240" s="287"/>
      <c r="AF240" s="287"/>
      <c r="AG240" s="287"/>
      <c r="AH240" s="287"/>
      <c r="AI240" s="287"/>
      <c r="AJ240" s="287"/>
      <c r="AK240" s="287"/>
      <c r="AL240" s="287"/>
      <c r="AM240" s="287"/>
      <c r="AN240" s="287"/>
      <c r="AO240" s="287"/>
      <c r="AP240" s="287"/>
      <c r="AQ240" s="287"/>
      <c r="AR240" s="287"/>
      <c r="AS240" s="287"/>
      <c r="AT240" s="287"/>
      <c r="AU240" s="287"/>
      <c r="AV240" s="287"/>
      <c r="AW240" s="287"/>
      <c r="AX240" s="287"/>
      <c r="AY240" s="287"/>
      <c r="AZ240" s="287"/>
      <c r="BA240" s="287"/>
      <c r="BB240" s="287"/>
      <c r="BC240" s="287"/>
    </row>
    <row r="241" ht="15.75" customHeight="1">
      <c r="A241" s="287"/>
      <c r="B241" s="287"/>
      <c r="C241" s="287"/>
      <c r="D241" s="287"/>
      <c r="E241" s="287"/>
      <c r="F241" s="287"/>
      <c r="G241" s="287"/>
      <c r="H241" s="287"/>
      <c r="I241" s="287"/>
      <c r="J241" s="287"/>
      <c r="K241" s="287"/>
      <c r="L241" s="287"/>
      <c r="M241" s="287"/>
      <c r="N241" s="287"/>
      <c r="O241" s="287"/>
      <c r="P241" s="287"/>
      <c r="Q241" s="287"/>
      <c r="R241" s="287"/>
      <c r="S241" s="287"/>
      <c r="T241" s="287"/>
      <c r="U241" s="287"/>
      <c r="V241" s="287"/>
      <c r="W241" s="287"/>
      <c r="X241" s="287"/>
      <c r="Y241" s="287"/>
      <c r="Z241" s="287"/>
      <c r="AA241" s="287"/>
      <c r="AB241" s="287"/>
      <c r="AC241" s="287"/>
      <c r="AD241" s="287"/>
      <c r="AE241" s="287"/>
      <c r="AF241" s="287"/>
      <c r="AG241" s="287"/>
      <c r="AH241" s="287"/>
      <c r="AI241" s="287"/>
      <c r="AJ241" s="287"/>
      <c r="AK241" s="287"/>
      <c r="AL241" s="287"/>
      <c r="AM241" s="287"/>
      <c r="AN241" s="287"/>
      <c r="AO241" s="287"/>
      <c r="AP241" s="287"/>
      <c r="AQ241" s="287"/>
      <c r="AR241" s="287"/>
      <c r="AS241" s="287"/>
      <c r="AT241" s="287"/>
      <c r="AU241" s="287"/>
      <c r="AV241" s="287"/>
      <c r="AW241" s="287"/>
      <c r="AX241" s="287"/>
      <c r="AY241" s="287"/>
      <c r="AZ241" s="287"/>
      <c r="BA241" s="287"/>
      <c r="BB241" s="287"/>
      <c r="BC241" s="287"/>
    </row>
    <row r="242" ht="15.75" customHeight="1">
      <c r="A242" s="287"/>
      <c r="B242" s="287"/>
      <c r="C242" s="287"/>
      <c r="D242" s="287"/>
      <c r="E242" s="287"/>
      <c r="F242" s="287"/>
      <c r="G242" s="287"/>
      <c r="H242" s="287"/>
      <c r="I242" s="287"/>
      <c r="J242" s="287"/>
      <c r="K242" s="287"/>
      <c r="L242" s="287"/>
      <c r="M242" s="287"/>
      <c r="N242" s="287"/>
      <c r="O242" s="287"/>
      <c r="P242" s="287"/>
      <c r="Q242" s="287"/>
      <c r="R242" s="287"/>
      <c r="S242" s="287"/>
      <c r="T242" s="287"/>
      <c r="U242" s="287"/>
      <c r="V242" s="287"/>
      <c r="W242" s="287"/>
      <c r="X242" s="287"/>
      <c r="Y242" s="287"/>
      <c r="Z242" s="287"/>
      <c r="AA242" s="287"/>
      <c r="AB242" s="287"/>
      <c r="AC242" s="287"/>
      <c r="AD242" s="287"/>
      <c r="AE242" s="287"/>
      <c r="AF242" s="287"/>
      <c r="AG242" s="287"/>
      <c r="AH242" s="287"/>
      <c r="AI242" s="287"/>
      <c r="AJ242" s="287"/>
      <c r="AK242" s="287"/>
      <c r="AL242" s="287"/>
      <c r="AM242" s="287"/>
      <c r="AN242" s="287"/>
      <c r="AO242" s="287"/>
      <c r="AP242" s="287"/>
      <c r="AQ242" s="287"/>
      <c r="AR242" s="287"/>
      <c r="AS242" s="287"/>
      <c r="AT242" s="287"/>
      <c r="AU242" s="287"/>
      <c r="AV242" s="287"/>
      <c r="AW242" s="287"/>
      <c r="AX242" s="287"/>
      <c r="AY242" s="287"/>
      <c r="AZ242" s="287"/>
      <c r="BA242" s="287"/>
      <c r="BB242" s="287"/>
      <c r="BC242" s="287"/>
    </row>
    <row r="243" ht="15.75" customHeight="1">
      <c r="A243" s="287"/>
      <c r="B243" s="287"/>
      <c r="C243" s="287"/>
      <c r="D243" s="287"/>
      <c r="E243" s="287"/>
      <c r="F243" s="287"/>
      <c r="G243" s="287"/>
      <c r="H243" s="287"/>
      <c r="I243" s="287"/>
      <c r="J243" s="287"/>
      <c r="K243" s="287"/>
      <c r="L243" s="287"/>
      <c r="M243" s="287"/>
      <c r="N243" s="287"/>
      <c r="O243" s="287"/>
      <c r="P243" s="287"/>
      <c r="Q243" s="287"/>
      <c r="R243" s="287"/>
      <c r="S243" s="287"/>
      <c r="T243" s="287"/>
      <c r="U243" s="287"/>
      <c r="V243" s="287"/>
      <c r="W243" s="287"/>
      <c r="X243" s="287"/>
      <c r="Y243" s="287"/>
      <c r="Z243" s="287"/>
      <c r="AA243" s="287"/>
      <c r="AB243" s="287"/>
      <c r="AC243" s="287"/>
      <c r="AD243" s="287"/>
      <c r="AE243" s="287"/>
      <c r="AF243" s="287"/>
      <c r="AG243" s="287"/>
      <c r="AH243" s="287"/>
      <c r="AI243" s="287"/>
      <c r="AJ243" s="287"/>
      <c r="AK243" s="287"/>
      <c r="AL243" s="287"/>
      <c r="AM243" s="287"/>
      <c r="AN243" s="287"/>
      <c r="AO243" s="287"/>
      <c r="AP243" s="287"/>
      <c r="AQ243" s="287"/>
      <c r="AR243" s="287"/>
      <c r="AS243" s="287"/>
      <c r="AT243" s="287"/>
      <c r="AU243" s="287"/>
      <c r="AV243" s="287"/>
      <c r="AW243" s="287"/>
      <c r="AX243" s="287"/>
      <c r="AY243" s="287"/>
      <c r="AZ243" s="287"/>
      <c r="BA243" s="287"/>
      <c r="BB243" s="287"/>
      <c r="BC243" s="287"/>
    </row>
    <row r="244" ht="15.75" customHeight="1">
      <c r="A244" s="287"/>
      <c r="B244" s="287"/>
      <c r="C244" s="287"/>
      <c r="D244" s="287"/>
      <c r="E244" s="287"/>
      <c r="F244" s="287"/>
      <c r="G244" s="287"/>
      <c r="H244" s="287"/>
      <c r="I244" s="287"/>
      <c r="J244" s="287"/>
      <c r="K244" s="287"/>
      <c r="L244" s="287"/>
      <c r="M244" s="287"/>
      <c r="N244" s="287"/>
      <c r="O244" s="287"/>
      <c r="P244" s="287"/>
      <c r="Q244" s="287"/>
      <c r="R244" s="287"/>
      <c r="S244" s="287"/>
      <c r="T244" s="287"/>
      <c r="U244" s="287"/>
      <c r="V244" s="287"/>
      <c r="W244" s="287"/>
      <c r="X244" s="287"/>
      <c r="Y244" s="287"/>
      <c r="Z244" s="287"/>
      <c r="AA244" s="287"/>
      <c r="AB244" s="287"/>
      <c r="AC244" s="287"/>
      <c r="AD244" s="287"/>
      <c r="AE244" s="287"/>
      <c r="AF244" s="287"/>
      <c r="AG244" s="287"/>
      <c r="AH244" s="287"/>
      <c r="AI244" s="287"/>
      <c r="AJ244" s="287"/>
      <c r="AK244" s="287"/>
      <c r="AL244" s="287"/>
      <c r="AM244" s="287"/>
      <c r="AN244" s="287"/>
      <c r="AO244" s="287"/>
      <c r="AP244" s="287"/>
      <c r="AQ244" s="287"/>
      <c r="AR244" s="287"/>
      <c r="AS244" s="287"/>
      <c r="AT244" s="287"/>
      <c r="AU244" s="287"/>
      <c r="AV244" s="287"/>
      <c r="AW244" s="287"/>
      <c r="AX244" s="287"/>
      <c r="AY244" s="287"/>
      <c r="AZ244" s="287"/>
      <c r="BA244" s="287"/>
      <c r="BB244" s="287"/>
      <c r="BC244" s="287"/>
    </row>
    <row r="245" ht="15.75" customHeight="1">
      <c r="A245" s="287"/>
      <c r="B245" s="287"/>
      <c r="C245" s="287"/>
      <c r="D245" s="287"/>
      <c r="E245" s="287"/>
      <c r="F245" s="287"/>
      <c r="G245" s="287"/>
      <c r="H245" s="287"/>
      <c r="I245" s="287"/>
      <c r="J245" s="287"/>
      <c r="K245" s="287"/>
      <c r="L245" s="287"/>
      <c r="M245" s="287"/>
      <c r="N245" s="287"/>
      <c r="O245" s="287"/>
      <c r="P245" s="287"/>
      <c r="Q245" s="287"/>
      <c r="R245" s="287"/>
      <c r="S245" s="287"/>
      <c r="T245" s="287"/>
      <c r="U245" s="287"/>
      <c r="V245" s="287"/>
      <c r="W245" s="287"/>
      <c r="X245" s="287"/>
      <c r="Y245" s="287"/>
      <c r="Z245" s="287"/>
      <c r="AA245" s="287"/>
      <c r="AB245" s="287"/>
      <c r="AC245" s="287"/>
      <c r="AD245" s="287"/>
      <c r="AE245" s="287"/>
      <c r="AF245" s="287"/>
      <c r="AG245" s="287"/>
      <c r="AH245" s="287"/>
      <c r="AI245" s="287"/>
      <c r="AJ245" s="287"/>
      <c r="AK245" s="287"/>
      <c r="AL245" s="287"/>
      <c r="AM245" s="287"/>
      <c r="AN245" s="287"/>
      <c r="AO245" s="287"/>
      <c r="AP245" s="287"/>
      <c r="AQ245" s="287"/>
      <c r="AR245" s="287"/>
      <c r="AS245" s="287"/>
      <c r="AT245" s="287"/>
      <c r="AU245" s="287"/>
      <c r="AV245" s="287"/>
      <c r="AW245" s="287"/>
      <c r="AX245" s="287"/>
      <c r="AY245" s="287"/>
      <c r="AZ245" s="287"/>
      <c r="BA245" s="287"/>
      <c r="BB245" s="287"/>
      <c r="BC245" s="287"/>
    </row>
    <row r="246" ht="15.75" customHeight="1">
      <c r="A246" s="287"/>
      <c r="B246" s="287"/>
      <c r="C246" s="287"/>
      <c r="D246" s="287"/>
      <c r="E246" s="287"/>
      <c r="F246" s="287"/>
      <c r="G246" s="287"/>
      <c r="H246" s="287"/>
      <c r="I246" s="287"/>
      <c r="J246" s="287"/>
      <c r="K246" s="287"/>
      <c r="L246" s="287"/>
      <c r="M246" s="287"/>
      <c r="N246" s="287"/>
      <c r="O246" s="287"/>
      <c r="P246" s="287"/>
      <c r="Q246" s="287"/>
      <c r="R246" s="287"/>
      <c r="S246" s="287"/>
      <c r="T246" s="287"/>
      <c r="U246" s="287"/>
      <c r="V246" s="287"/>
      <c r="W246" s="287"/>
      <c r="X246" s="287"/>
      <c r="Y246" s="287"/>
      <c r="Z246" s="287"/>
      <c r="AA246" s="287"/>
      <c r="AB246" s="287"/>
      <c r="AC246" s="287"/>
      <c r="AD246" s="287"/>
      <c r="AE246" s="287"/>
      <c r="AF246" s="287"/>
      <c r="AG246" s="287"/>
      <c r="AH246" s="287"/>
      <c r="AI246" s="287"/>
      <c r="AJ246" s="287"/>
      <c r="AK246" s="287"/>
      <c r="AL246" s="287"/>
      <c r="AM246" s="287"/>
      <c r="AN246" s="287"/>
      <c r="AO246" s="287"/>
      <c r="AP246" s="287"/>
      <c r="AQ246" s="287"/>
      <c r="AR246" s="287"/>
      <c r="AS246" s="287"/>
      <c r="AT246" s="287"/>
      <c r="AU246" s="287"/>
      <c r="AV246" s="287"/>
      <c r="AW246" s="287"/>
      <c r="AX246" s="287"/>
      <c r="AY246" s="287"/>
      <c r="AZ246" s="287"/>
      <c r="BA246" s="287"/>
      <c r="BB246" s="287"/>
      <c r="BC246" s="287"/>
    </row>
    <row r="247" ht="15.75" customHeight="1">
      <c r="A247" s="287"/>
      <c r="B247" s="287"/>
      <c r="C247" s="287"/>
      <c r="D247" s="287"/>
      <c r="E247" s="287"/>
      <c r="F247" s="287"/>
      <c r="G247" s="287"/>
      <c r="H247" s="287"/>
      <c r="I247" s="287"/>
      <c r="J247" s="287"/>
      <c r="K247" s="287"/>
      <c r="L247" s="287"/>
      <c r="M247" s="287"/>
      <c r="N247" s="287"/>
      <c r="O247" s="287"/>
      <c r="P247" s="287"/>
      <c r="Q247" s="287"/>
      <c r="R247" s="287"/>
      <c r="S247" s="287"/>
      <c r="T247" s="287"/>
      <c r="U247" s="287"/>
      <c r="V247" s="287"/>
      <c r="W247" s="287"/>
      <c r="X247" s="287"/>
      <c r="Y247" s="287"/>
      <c r="Z247" s="287"/>
      <c r="AA247" s="287"/>
      <c r="AB247" s="287"/>
      <c r="AC247" s="287"/>
      <c r="AD247" s="287"/>
      <c r="AE247" s="287"/>
      <c r="AF247" s="287"/>
      <c r="AG247" s="287"/>
      <c r="AH247" s="287"/>
      <c r="AI247" s="287"/>
      <c r="AJ247" s="287"/>
      <c r="AK247" s="287"/>
      <c r="AL247" s="287"/>
      <c r="AM247" s="287"/>
      <c r="AN247" s="287"/>
      <c r="AO247" s="287"/>
      <c r="AP247" s="287"/>
      <c r="AQ247" s="287"/>
      <c r="AR247" s="287"/>
      <c r="AS247" s="287"/>
      <c r="AT247" s="287"/>
      <c r="AU247" s="287"/>
      <c r="AV247" s="287"/>
      <c r="AW247" s="287"/>
      <c r="AX247" s="287"/>
      <c r="AY247" s="287"/>
      <c r="AZ247" s="287"/>
      <c r="BA247" s="287"/>
      <c r="BB247" s="287"/>
      <c r="BC247" s="287"/>
    </row>
    <row r="248" ht="15.75" customHeight="1">
      <c r="A248" s="287"/>
      <c r="B248" s="287"/>
      <c r="C248" s="287"/>
      <c r="D248" s="287"/>
      <c r="E248" s="287"/>
      <c r="F248" s="287"/>
      <c r="G248" s="287"/>
      <c r="H248" s="287"/>
      <c r="I248" s="287"/>
      <c r="J248" s="287"/>
      <c r="K248" s="287"/>
      <c r="L248" s="287"/>
      <c r="M248" s="287"/>
      <c r="N248" s="287"/>
      <c r="O248" s="287"/>
      <c r="P248" s="287"/>
      <c r="Q248" s="287"/>
      <c r="R248" s="287"/>
      <c r="S248" s="287"/>
      <c r="T248" s="287"/>
      <c r="U248" s="287"/>
      <c r="V248" s="287"/>
      <c r="W248" s="287"/>
      <c r="X248" s="287"/>
      <c r="Y248" s="287"/>
      <c r="Z248" s="287"/>
      <c r="AA248" s="287"/>
      <c r="AB248" s="287"/>
      <c r="AC248" s="287"/>
      <c r="AD248" s="287"/>
      <c r="AE248" s="287"/>
      <c r="AF248" s="287"/>
      <c r="AG248" s="287"/>
      <c r="AH248" s="287"/>
      <c r="AI248" s="287"/>
      <c r="AJ248" s="287"/>
      <c r="AK248" s="287"/>
      <c r="AL248" s="287"/>
      <c r="AM248" s="287"/>
      <c r="AN248" s="287"/>
      <c r="AO248" s="287"/>
      <c r="AP248" s="287"/>
      <c r="AQ248" s="287"/>
      <c r="AR248" s="287"/>
      <c r="AS248" s="287"/>
      <c r="AT248" s="287"/>
      <c r="AU248" s="287"/>
      <c r="AV248" s="287"/>
      <c r="AW248" s="287"/>
      <c r="AX248" s="287"/>
      <c r="AY248" s="287"/>
      <c r="AZ248" s="287"/>
      <c r="BA248" s="287"/>
      <c r="BB248" s="287"/>
      <c r="BC248" s="287"/>
    </row>
    <row r="249" ht="15.75" customHeight="1">
      <c r="A249" s="287"/>
      <c r="B249" s="287"/>
      <c r="C249" s="287"/>
      <c r="D249" s="287"/>
      <c r="E249" s="287"/>
      <c r="F249" s="287"/>
      <c r="G249" s="287"/>
      <c r="H249" s="287"/>
      <c r="I249" s="287"/>
      <c r="J249" s="287"/>
      <c r="K249" s="287"/>
      <c r="L249" s="287"/>
      <c r="M249" s="287"/>
      <c r="N249" s="287"/>
      <c r="O249" s="287"/>
      <c r="P249" s="287"/>
      <c r="Q249" s="287"/>
      <c r="R249" s="287"/>
      <c r="S249" s="287"/>
      <c r="T249" s="287"/>
      <c r="U249" s="287"/>
      <c r="V249" s="287"/>
      <c r="W249" s="287"/>
      <c r="X249" s="287"/>
      <c r="Y249" s="287"/>
      <c r="Z249" s="287"/>
      <c r="AA249" s="287"/>
      <c r="AB249" s="287"/>
      <c r="AC249" s="287"/>
      <c r="AD249" s="287"/>
      <c r="AE249" s="287"/>
      <c r="AF249" s="287"/>
      <c r="AG249" s="287"/>
      <c r="AH249" s="287"/>
      <c r="AI249" s="287"/>
      <c r="AJ249" s="287"/>
      <c r="AK249" s="287"/>
      <c r="AL249" s="287"/>
      <c r="AM249" s="287"/>
      <c r="AN249" s="287"/>
      <c r="AO249" s="287"/>
      <c r="AP249" s="287"/>
      <c r="AQ249" s="287"/>
      <c r="AR249" s="287"/>
      <c r="AS249" s="287"/>
      <c r="AT249" s="287"/>
      <c r="AU249" s="287"/>
      <c r="AV249" s="287"/>
      <c r="AW249" s="287"/>
      <c r="AX249" s="287"/>
      <c r="AY249" s="287"/>
      <c r="AZ249" s="287"/>
      <c r="BA249" s="287"/>
      <c r="BB249" s="287"/>
      <c r="BC249" s="287"/>
    </row>
    <row r="250" ht="15.75" customHeight="1">
      <c r="A250" s="287"/>
      <c r="B250" s="287"/>
      <c r="C250" s="287"/>
      <c r="D250" s="287"/>
      <c r="E250" s="287"/>
      <c r="F250" s="287"/>
      <c r="G250" s="287"/>
      <c r="H250" s="287"/>
      <c r="I250" s="287"/>
      <c r="J250" s="287"/>
      <c r="K250" s="287"/>
      <c r="L250" s="287"/>
      <c r="M250" s="287"/>
      <c r="N250" s="287"/>
      <c r="O250" s="287"/>
      <c r="P250" s="287"/>
      <c r="Q250" s="287"/>
      <c r="R250" s="287"/>
      <c r="S250" s="287"/>
      <c r="T250" s="287"/>
      <c r="U250" s="287"/>
      <c r="V250" s="287"/>
      <c r="W250" s="287"/>
      <c r="X250" s="287"/>
      <c r="Y250" s="287"/>
      <c r="Z250" s="287"/>
      <c r="AA250" s="287"/>
      <c r="AB250" s="287"/>
      <c r="AC250" s="287"/>
      <c r="AD250" s="287"/>
      <c r="AE250" s="287"/>
      <c r="AF250" s="287"/>
      <c r="AG250" s="287"/>
      <c r="AH250" s="287"/>
      <c r="AI250" s="287"/>
      <c r="AJ250" s="287"/>
      <c r="AK250" s="287"/>
      <c r="AL250" s="287"/>
      <c r="AM250" s="287"/>
      <c r="AN250" s="287"/>
      <c r="AO250" s="287"/>
      <c r="AP250" s="287"/>
      <c r="AQ250" s="287"/>
      <c r="AR250" s="287"/>
      <c r="AS250" s="287"/>
      <c r="AT250" s="287"/>
      <c r="AU250" s="287"/>
      <c r="AV250" s="287"/>
      <c r="AW250" s="287"/>
      <c r="AX250" s="287"/>
      <c r="AY250" s="287"/>
      <c r="AZ250" s="287"/>
      <c r="BA250" s="287"/>
      <c r="BB250" s="287"/>
      <c r="BC250" s="287"/>
    </row>
    <row r="251" ht="15.75" customHeight="1">
      <c r="A251" s="287"/>
      <c r="B251" s="287"/>
      <c r="C251" s="287"/>
      <c r="D251" s="287"/>
      <c r="E251" s="287"/>
      <c r="F251" s="287"/>
      <c r="G251" s="287"/>
      <c r="H251" s="287"/>
      <c r="I251" s="287"/>
      <c r="J251" s="287"/>
      <c r="K251" s="287"/>
      <c r="L251" s="287"/>
      <c r="M251" s="287"/>
      <c r="N251" s="287"/>
      <c r="O251" s="287"/>
      <c r="P251" s="287"/>
      <c r="Q251" s="287"/>
      <c r="R251" s="287"/>
      <c r="S251" s="287"/>
      <c r="T251" s="287"/>
      <c r="U251" s="287"/>
      <c r="V251" s="287"/>
      <c r="W251" s="287"/>
      <c r="X251" s="287"/>
      <c r="Y251" s="287"/>
      <c r="Z251" s="287"/>
      <c r="AA251" s="287"/>
      <c r="AB251" s="287"/>
      <c r="AC251" s="287"/>
      <c r="AD251" s="287"/>
      <c r="AE251" s="287"/>
      <c r="AF251" s="287"/>
      <c r="AG251" s="287"/>
      <c r="AH251" s="287"/>
      <c r="AI251" s="287"/>
      <c r="AJ251" s="287"/>
      <c r="AK251" s="287"/>
      <c r="AL251" s="287"/>
      <c r="AM251" s="287"/>
      <c r="AN251" s="287"/>
      <c r="AO251" s="287"/>
      <c r="AP251" s="287"/>
      <c r="AQ251" s="287"/>
      <c r="AR251" s="287"/>
      <c r="AS251" s="287"/>
      <c r="AT251" s="287"/>
      <c r="AU251" s="287"/>
      <c r="AV251" s="287"/>
      <c r="AW251" s="287"/>
      <c r="AX251" s="287"/>
      <c r="AY251" s="287"/>
      <c r="AZ251" s="287"/>
      <c r="BA251" s="287"/>
      <c r="BB251" s="287"/>
      <c r="BC251" s="287"/>
    </row>
    <row r="252" ht="15.75" customHeight="1">
      <c r="A252" s="287"/>
      <c r="B252" s="287"/>
      <c r="C252" s="287"/>
      <c r="D252" s="287"/>
      <c r="E252" s="287"/>
      <c r="F252" s="287"/>
      <c r="G252" s="287"/>
      <c r="H252" s="287"/>
      <c r="I252" s="287"/>
      <c r="J252" s="287"/>
      <c r="K252" s="287"/>
      <c r="L252" s="287"/>
      <c r="M252" s="287"/>
      <c r="N252" s="287"/>
      <c r="O252" s="287"/>
      <c r="P252" s="287"/>
      <c r="Q252" s="287"/>
      <c r="R252" s="287"/>
      <c r="S252" s="287"/>
      <c r="T252" s="287"/>
      <c r="U252" s="287"/>
      <c r="V252" s="287"/>
      <c r="W252" s="287"/>
      <c r="X252" s="287"/>
      <c r="Y252" s="287"/>
      <c r="Z252" s="287"/>
      <c r="AA252" s="287"/>
      <c r="AB252" s="287"/>
      <c r="AC252" s="287"/>
      <c r="AD252" s="287"/>
      <c r="AE252" s="287"/>
      <c r="AF252" s="287"/>
      <c r="AG252" s="287"/>
      <c r="AH252" s="287"/>
      <c r="AI252" s="287"/>
      <c r="AJ252" s="287"/>
      <c r="AK252" s="287"/>
      <c r="AL252" s="287"/>
      <c r="AM252" s="287"/>
      <c r="AN252" s="287"/>
      <c r="AO252" s="287"/>
      <c r="AP252" s="287"/>
      <c r="AQ252" s="287"/>
      <c r="AR252" s="287"/>
      <c r="AS252" s="287"/>
      <c r="AT252" s="287"/>
      <c r="AU252" s="287"/>
      <c r="AV252" s="287"/>
      <c r="AW252" s="287"/>
      <c r="AX252" s="287"/>
      <c r="AY252" s="287"/>
      <c r="AZ252" s="287"/>
      <c r="BA252" s="287"/>
      <c r="BB252" s="287"/>
      <c r="BC252" s="287"/>
    </row>
    <row r="253" ht="15.75" customHeight="1">
      <c r="A253" s="287"/>
      <c r="B253" s="287"/>
      <c r="C253" s="287"/>
      <c r="D253" s="287"/>
      <c r="E253" s="287"/>
      <c r="F253" s="287"/>
      <c r="G253" s="287"/>
      <c r="H253" s="287"/>
      <c r="I253" s="287"/>
      <c r="J253" s="287"/>
      <c r="K253" s="287"/>
      <c r="L253" s="287"/>
      <c r="M253" s="287"/>
      <c r="N253" s="287"/>
      <c r="O253" s="287"/>
      <c r="P253" s="287"/>
      <c r="Q253" s="287"/>
      <c r="R253" s="287"/>
      <c r="S253" s="287"/>
      <c r="T253" s="287"/>
      <c r="U253" s="287"/>
      <c r="V253" s="287"/>
      <c r="W253" s="287"/>
      <c r="X253" s="287"/>
      <c r="Y253" s="287"/>
      <c r="Z253" s="287"/>
      <c r="AA253" s="287"/>
      <c r="AB253" s="287"/>
      <c r="AC253" s="287"/>
      <c r="AD253" s="287"/>
      <c r="AE253" s="287"/>
      <c r="AF253" s="287"/>
      <c r="AG253" s="287"/>
      <c r="AH253" s="287"/>
      <c r="AI253" s="287"/>
      <c r="AJ253" s="287"/>
      <c r="AK253" s="287"/>
      <c r="AL253" s="287"/>
      <c r="AM253" s="287"/>
      <c r="AN253" s="287"/>
      <c r="AO253" s="287"/>
      <c r="AP253" s="287"/>
      <c r="AQ253" s="287"/>
      <c r="AR253" s="287"/>
      <c r="AS253" s="287"/>
      <c r="AT253" s="287"/>
      <c r="AU253" s="287"/>
      <c r="AV253" s="287"/>
      <c r="AW253" s="287"/>
      <c r="AX253" s="287"/>
      <c r="AY253" s="287"/>
      <c r="AZ253" s="287"/>
      <c r="BA253" s="287"/>
      <c r="BB253" s="287"/>
      <c r="BC253" s="287"/>
    </row>
    <row r="254" ht="15.75" customHeight="1">
      <c r="A254" s="287"/>
      <c r="B254" s="287"/>
      <c r="C254" s="287"/>
      <c r="D254" s="287"/>
      <c r="E254" s="287"/>
      <c r="F254" s="287"/>
      <c r="G254" s="287"/>
      <c r="H254" s="287"/>
      <c r="I254" s="287"/>
      <c r="J254" s="287"/>
      <c r="K254" s="287"/>
      <c r="L254" s="287"/>
      <c r="M254" s="287"/>
      <c r="N254" s="287"/>
      <c r="O254" s="287"/>
      <c r="P254" s="287"/>
      <c r="Q254" s="287"/>
      <c r="R254" s="287"/>
      <c r="S254" s="287"/>
      <c r="T254" s="287"/>
      <c r="U254" s="287"/>
      <c r="V254" s="287"/>
      <c r="W254" s="287"/>
      <c r="X254" s="287"/>
      <c r="Y254" s="287"/>
      <c r="Z254" s="287"/>
      <c r="AA254" s="287"/>
      <c r="AB254" s="287"/>
      <c r="AC254" s="287"/>
      <c r="AD254" s="287"/>
      <c r="AE254" s="287"/>
      <c r="AF254" s="287"/>
      <c r="AG254" s="287"/>
      <c r="AH254" s="287"/>
      <c r="AI254" s="287"/>
      <c r="AJ254" s="287"/>
      <c r="AK254" s="287"/>
      <c r="AL254" s="287"/>
      <c r="AM254" s="287"/>
      <c r="AN254" s="287"/>
      <c r="AO254" s="287"/>
      <c r="AP254" s="287"/>
      <c r="AQ254" s="287"/>
      <c r="AR254" s="287"/>
      <c r="AS254" s="287"/>
      <c r="AT254" s="287"/>
      <c r="AU254" s="287"/>
      <c r="AV254" s="287"/>
      <c r="AW254" s="287"/>
      <c r="AX254" s="287"/>
      <c r="AY254" s="287"/>
      <c r="AZ254" s="287"/>
      <c r="BA254" s="287"/>
      <c r="BB254" s="287"/>
      <c r="BC254" s="287"/>
    </row>
    <row r="255" ht="15.75" customHeight="1">
      <c r="A255" s="287"/>
      <c r="B255" s="287"/>
      <c r="C255" s="287"/>
      <c r="D255" s="287"/>
      <c r="E255" s="287"/>
      <c r="F255" s="287"/>
      <c r="G255" s="287"/>
      <c r="H255" s="287"/>
      <c r="I255" s="287"/>
      <c r="J255" s="287"/>
      <c r="K255" s="287"/>
      <c r="L255" s="287"/>
      <c r="M255" s="287"/>
      <c r="N255" s="287"/>
      <c r="O255" s="287"/>
      <c r="P255" s="287"/>
      <c r="Q255" s="287"/>
      <c r="R255" s="287"/>
      <c r="S255" s="287"/>
      <c r="T255" s="287"/>
      <c r="U255" s="287"/>
      <c r="V255" s="287"/>
      <c r="W255" s="287"/>
      <c r="X255" s="287"/>
      <c r="Y255" s="287"/>
      <c r="Z255" s="287"/>
      <c r="AA255" s="287"/>
      <c r="AB255" s="287"/>
      <c r="AC255" s="287"/>
      <c r="AD255" s="287"/>
      <c r="AE255" s="287"/>
      <c r="AF255" s="287"/>
      <c r="AG255" s="287"/>
      <c r="AH255" s="287"/>
      <c r="AI255" s="287"/>
      <c r="AJ255" s="287"/>
      <c r="AK255" s="287"/>
      <c r="AL255" s="287"/>
      <c r="AM255" s="287"/>
      <c r="AN255" s="287"/>
      <c r="AO255" s="287"/>
      <c r="AP255" s="287"/>
      <c r="AQ255" s="287"/>
      <c r="AR255" s="287"/>
      <c r="AS255" s="287"/>
      <c r="AT255" s="287"/>
      <c r="AU255" s="287"/>
      <c r="AV255" s="287"/>
      <c r="AW255" s="287"/>
      <c r="AX255" s="287"/>
      <c r="AY255" s="287"/>
      <c r="AZ255" s="287"/>
      <c r="BA255" s="287"/>
      <c r="BB255" s="287"/>
      <c r="BC255" s="287"/>
    </row>
    <row r="256" ht="15.75" customHeight="1">
      <c r="A256" s="287"/>
      <c r="B256" s="287"/>
      <c r="C256" s="287"/>
      <c r="D256" s="287"/>
      <c r="E256" s="287"/>
      <c r="F256" s="287"/>
      <c r="G256" s="287"/>
      <c r="H256" s="287"/>
      <c r="I256" s="287"/>
      <c r="J256" s="287"/>
      <c r="K256" s="287"/>
      <c r="L256" s="287"/>
      <c r="M256" s="287"/>
      <c r="N256" s="287"/>
      <c r="O256" s="287"/>
      <c r="P256" s="287"/>
      <c r="Q256" s="287"/>
      <c r="R256" s="287"/>
      <c r="S256" s="287"/>
      <c r="T256" s="287"/>
      <c r="U256" s="287"/>
      <c r="V256" s="287"/>
      <c r="W256" s="287"/>
      <c r="X256" s="287"/>
      <c r="Y256" s="287"/>
      <c r="Z256" s="287"/>
      <c r="AA256" s="287"/>
      <c r="AB256" s="287"/>
      <c r="AC256" s="287"/>
      <c r="AD256" s="287"/>
      <c r="AE256" s="287"/>
      <c r="AF256" s="287"/>
      <c r="AG256" s="287"/>
      <c r="AH256" s="287"/>
      <c r="AI256" s="287"/>
      <c r="AJ256" s="287"/>
      <c r="AK256" s="287"/>
      <c r="AL256" s="287"/>
      <c r="AM256" s="287"/>
      <c r="AN256" s="287"/>
      <c r="AO256" s="287"/>
      <c r="AP256" s="287"/>
      <c r="AQ256" s="287"/>
      <c r="AR256" s="287"/>
      <c r="AS256" s="287"/>
      <c r="AT256" s="287"/>
      <c r="AU256" s="287"/>
      <c r="AV256" s="287"/>
      <c r="AW256" s="287"/>
      <c r="AX256" s="287"/>
      <c r="AY256" s="287"/>
      <c r="AZ256" s="287"/>
      <c r="BA256" s="287"/>
      <c r="BB256" s="287"/>
      <c r="BC256" s="287"/>
    </row>
    <row r="257" ht="15.75" customHeight="1">
      <c r="A257" s="287"/>
      <c r="B257" s="287"/>
      <c r="C257" s="287"/>
      <c r="D257" s="287"/>
      <c r="E257" s="287"/>
      <c r="F257" s="287"/>
      <c r="G257" s="287"/>
      <c r="H257" s="287"/>
      <c r="I257" s="287"/>
      <c r="J257" s="287"/>
      <c r="K257" s="287"/>
      <c r="L257" s="287"/>
      <c r="M257" s="287"/>
      <c r="N257" s="287"/>
      <c r="O257" s="287"/>
      <c r="P257" s="287"/>
      <c r="Q257" s="287"/>
      <c r="R257" s="287"/>
      <c r="S257" s="287"/>
      <c r="T257" s="287"/>
      <c r="U257" s="287"/>
      <c r="V257" s="287"/>
      <c r="W257" s="287"/>
      <c r="X257" s="287"/>
      <c r="Y257" s="287"/>
      <c r="Z257" s="287"/>
      <c r="AA257" s="287"/>
      <c r="AB257" s="287"/>
      <c r="AC257" s="287"/>
      <c r="AD257" s="287"/>
      <c r="AE257" s="287"/>
      <c r="AF257" s="287"/>
      <c r="AG257" s="287"/>
      <c r="AH257" s="287"/>
      <c r="AI257" s="287"/>
      <c r="AJ257" s="287"/>
      <c r="AK257" s="287"/>
      <c r="AL257" s="287"/>
      <c r="AM257" s="287"/>
      <c r="AN257" s="287"/>
      <c r="AO257" s="287"/>
      <c r="AP257" s="287"/>
      <c r="AQ257" s="287"/>
      <c r="AR257" s="287"/>
      <c r="AS257" s="287"/>
      <c r="AT257" s="287"/>
      <c r="AU257" s="287"/>
      <c r="AV257" s="287"/>
      <c r="AW257" s="287"/>
      <c r="AX257" s="287"/>
      <c r="AY257" s="287"/>
      <c r="AZ257" s="287"/>
      <c r="BA257" s="287"/>
      <c r="BB257" s="287"/>
      <c r="BC257" s="287"/>
    </row>
    <row r="258" ht="15.75" customHeight="1">
      <c r="A258" s="287"/>
      <c r="B258" s="287"/>
      <c r="C258" s="287"/>
      <c r="D258" s="287"/>
      <c r="E258" s="287"/>
      <c r="F258" s="287"/>
      <c r="G258" s="287"/>
      <c r="H258" s="287"/>
      <c r="I258" s="287"/>
      <c r="J258" s="287"/>
      <c r="K258" s="287"/>
      <c r="L258" s="287"/>
      <c r="M258" s="287"/>
      <c r="N258" s="287"/>
      <c r="O258" s="287"/>
      <c r="P258" s="287"/>
      <c r="Q258" s="287"/>
      <c r="R258" s="287"/>
      <c r="S258" s="287"/>
      <c r="T258" s="287"/>
      <c r="U258" s="287"/>
      <c r="V258" s="287"/>
      <c r="W258" s="287"/>
      <c r="X258" s="287"/>
      <c r="Y258" s="287"/>
      <c r="Z258" s="287"/>
      <c r="AA258" s="287"/>
      <c r="AB258" s="287"/>
      <c r="AC258" s="287"/>
      <c r="AD258" s="287"/>
      <c r="AE258" s="287"/>
      <c r="AF258" s="287"/>
      <c r="AG258" s="287"/>
      <c r="AH258" s="287"/>
      <c r="AI258" s="287"/>
      <c r="AJ258" s="287"/>
      <c r="AK258" s="287"/>
      <c r="AL258" s="287"/>
      <c r="AM258" s="287"/>
      <c r="AN258" s="287"/>
      <c r="AO258" s="287"/>
      <c r="AP258" s="287"/>
      <c r="AQ258" s="287"/>
      <c r="AR258" s="287"/>
      <c r="AS258" s="287"/>
      <c r="AT258" s="287"/>
      <c r="AU258" s="287"/>
      <c r="AV258" s="287"/>
      <c r="AW258" s="287"/>
      <c r="AX258" s="287"/>
      <c r="AY258" s="287"/>
      <c r="AZ258" s="287"/>
      <c r="BA258" s="287"/>
      <c r="BB258" s="287"/>
      <c r="BC258" s="287"/>
    </row>
    <row r="259" ht="15.75" customHeight="1">
      <c r="A259" s="287"/>
      <c r="B259" s="287"/>
      <c r="C259" s="287"/>
      <c r="D259" s="287"/>
      <c r="E259" s="287"/>
      <c r="F259" s="287"/>
      <c r="G259" s="287"/>
      <c r="H259" s="287"/>
      <c r="I259" s="287"/>
      <c r="J259" s="287"/>
      <c r="K259" s="287"/>
      <c r="L259" s="287"/>
      <c r="M259" s="287"/>
      <c r="N259" s="287"/>
      <c r="O259" s="287"/>
      <c r="P259" s="287"/>
      <c r="Q259" s="287"/>
      <c r="R259" s="287"/>
      <c r="S259" s="287"/>
      <c r="T259" s="287"/>
      <c r="U259" s="287"/>
      <c r="V259" s="287"/>
      <c r="W259" s="287"/>
      <c r="X259" s="287"/>
      <c r="Y259" s="287"/>
      <c r="Z259" s="287"/>
      <c r="AA259" s="287"/>
      <c r="AB259" s="287"/>
      <c r="AC259" s="287"/>
      <c r="AD259" s="287"/>
      <c r="AE259" s="287"/>
      <c r="AF259" s="287"/>
      <c r="AG259" s="287"/>
      <c r="AH259" s="287"/>
      <c r="AI259" s="287"/>
      <c r="AJ259" s="287"/>
      <c r="AK259" s="287"/>
      <c r="AL259" s="287"/>
      <c r="AM259" s="287"/>
      <c r="AN259" s="287"/>
      <c r="AO259" s="287"/>
      <c r="AP259" s="287"/>
      <c r="AQ259" s="287"/>
      <c r="AR259" s="287"/>
      <c r="AS259" s="287"/>
      <c r="AT259" s="287"/>
      <c r="AU259" s="287"/>
      <c r="AV259" s="287"/>
      <c r="AW259" s="287"/>
      <c r="AX259" s="287"/>
      <c r="AY259" s="287"/>
      <c r="AZ259" s="287"/>
      <c r="BA259" s="287"/>
      <c r="BB259" s="287"/>
      <c r="BC259" s="287"/>
    </row>
    <row r="260" ht="15.75" customHeight="1">
      <c r="A260" s="287"/>
      <c r="B260" s="287"/>
      <c r="C260" s="287"/>
      <c r="D260" s="287"/>
      <c r="E260" s="287"/>
      <c r="F260" s="287"/>
      <c r="G260" s="287"/>
      <c r="H260" s="287"/>
      <c r="I260" s="287"/>
      <c r="J260" s="287"/>
      <c r="K260" s="287"/>
      <c r="L260" s="287"/>
      <c r="M260" s="287"/>
      <c r="N260" s="287"/>
      <c r="O260" s="287"/>
      <c r="P260" s="287"/>
      <c r="Q260" s="287"/>
      <c r="R260" s="287"/>
      <c r="S260" s="287"/>
      <c r="T260" s="287"/>
      <c r="U260" s="287"/>
      <c r="V260" s="287"/>
      <c r="W260" s="287"/>
      <c r="X260" s="287"/>
      <c r="Y260" s="287"/>
      <c r="Z260" s="287"/>
      <c r="AA260" s="287"/>
      <c r="AB260" s="287"/>
      <c r="AC260" s="287"/>
      <c r="AD260" s="287"/>
      <c r="AE260" s="287"/>
      <c r="AF260" s="287"/>
      <c r="AG260" s="287"/>
      <c r="AH260" s="287"/>
      <c r="AI260" s="287"/>
      <c r="AJ260" s="287"/>
      <c r="AK260" s="287"/>
      <c r="AL260" s="287"/>
      <c r="AM260" s="287"/>
      <c r="AN260" s="287"/>
      <c r="AO260" s="287"/>
      <c r="AP260" s="287"/>
      <c r="AQ260" s="287"/>
      <c r="AR260" s="287"/>
      <c r="AS260" s="287"/>
      <c r="AT260" s="287"/>
      <c r="AU260" s="287"/>
      <c r="AV260" s="287"/>
      <c r="AW260" s="287"/>
      <c r="AX260" s="287"/>
      <c r="AY260" s="287"/>
      <c r="AZ260" s="287"/>
      <c r="BA260" s="287"/>
      <c r="BB260" s="287"/>
      <c r="BC260" s="287"/>
    </row>
    <row r="261" ht="15.75" customHeight="1">
      <c r="A261" s="287"/>
      <c r="B261" s="287"/>
      <c r="C261" s="287"/>
      <c r="D261" s="287"/>
      <c r="E261" s="287"/>
      <c r="F261" s="287"/>
      <c r="G261" s="287"/>
      <c r="H261" s="287"/>
      <c r="I261" s="287"/>
      <c r="J261" s="287"/>
      <c r="K261" s="287"/>
      <c r="L261" s="287"/>
      <c r="M261" s="287"/>
      <c r="N261" s="287"/>
      <c r="O261" s="287"/>
      <c r="P261" s="287"/>
      <c r="Q261" s="287"/>
      <c r="R261" s="287"/>
      <c r="S261" s="287"/>
      <c r="T261" s="287"/>
      <c r="U261" s="287"/>
      <c r="V261" s="287"/>
      <c r="W261" s="287"/>
      <c r="X261" s="287"/>
      <c r="Y261" s="287"/>
      <c r="Z261" s="287"/>
      <c r="AA261" s="287"/>
      <c r="AB261" s="287"/>
      <c r="AC261" s="287"/>
      <c r="AD261" s="287"/>
      <c r="AE261" s="287"/>
      <c r="AF261" s="287"/>
      <c r="AG261" s="287"/>
      <c r="AH261" s="287"/>
      <c r="AI261" s="287"/>
      <c r="AJ261" s="287"/>
      <c r="AK261" s="287"/>
      <c r="AL261" s="287"/>
      <c r="AM261" s="287"/>
      <c r="AN261" s="287"/>
      <c r="AO261" s="287"/>
      <c r="AP261" s="287"/>
      <c r="AQ261" s="287"/>
      <c r="AR261" s="287"/>
      <c r="AS261" s="287"/>
      <c r="AT261" s="287"/>
      <c r="AU261" s="287"/>
      <c r="AV261" s="287"/>
      <c r="AW261" s="287"/>
      <c r="AX261" s="287"/>
      <c r="AY261" s="287"/>
      <c r="AZ261" s="287"/>
      <c r="BA261" s="287"/>
      <c r="BB261" s="287"/>
      <c r="BC261" s="287"/>
    </row>
    <row r="262" ht="15.75" customHeight="1">
      <c r="A262" s="287"/>
      <c r="B262" s="287"/>
      <c r="C262" s="287"/>
      <c r="D262" s="287"/>
      <c r="E262" s="287"/>
      <c r="F262" s="287"/>
      <c r="G262" s="287"/>
      <c r="H262" s="287"/>
      <c r="I262" s="287"/>
      <c r="J262" s="287"/>
      <c r="K262" s="287"/>
      <c r="L262" s="287"/>
      <c r="M262" s="287"/>
      <c r="N262" s="287"/>
      <c r="O262" s="287"/>
      <c r="P262" s="287"/>
      <c r="Q262" s="287"/>
      <c r="R262" s="287"/>
      <c r="S262" s="287"/>
      <c r="T262" s="287"/>
      <c r="U262" s="287"/>
      <c r="V262" s="287"/>
      <c r="W262" s="287"/>
      <c r="X262" s="287"/>
      <c r="Y262" s="287"/>
      <c r="Z262" s="287"/>
      <c r="AA262" s="287"/>
      <c r="AB262" s="287"/>
      <c r="AC262" s="287"/>
      <c r="AD262" s="287"/>
      <c r="AE262" s="287"/>
      <c r="AF262" s="287"/>
      <c r="AG262" s="287"/>
      <c r="AH262" s="287"/>
      <c r="AI262" s="287"/>
      <c r="AJ262" s="287"/>
      <c r="AK262" s="287"/>
      <c r="AL262" s="287"/>
      <c r="AM262" s="287"/>
      <c r="AN262" s="287"/>
      <c r="AO262" s="287"/>
      <c r="AP262" s="287"/>
      <c r="AQ262" s="287"/>
      <c r="AR262" s="287"/>
      <c r="AS262" s="287"/>
      <c r="AT262" s="287"/>
      <c r="AU262" s="287"/>
      <c r="AV262" s="287"/>
      <c r="AW262" s="287"/>
      <c r="AX262" s="287"/>
      <c r="AY262" s="287"/>
      <c r="AZ262" s="287"/>
      <c r="BA262" s="287"/>
      <c r="BB262" s="287"/>
      <c r="BC262" s="287"/>
    </row>
    <row r="263" ht="15.75" customHeight="1">
      <c r="A263" s="287"/>
      <c r="B263" s="287"/>
      <c r="C263" s="287"/>
      <c r="D263" s="287"/>
      <c r="E263" s="287"/>
      <c r="F263" s="287"/>
      <c r="G263" s="287"/>
      <c r="H263" s="287"/>
      <c r="I263" s="287"/>
      <c r="J263" s="287"/>
      <c r="K263" s="287"/>
      <c r="L263" s="287"/>
      <c r="M263" s="287"/>
      <c r="N263" s="287"/>
      <c r="O263" s="287"/>
      <c r="P263" s="287"/>
      <c r="Q263" s="287"/>
      <c r="R263" s="287"/>
      <c r="S263" s="287"/>
      <c r="T263" s="287"/>
      <c r="U263" s="287"/>
      <c r="V263" s="287"/>
      <c r="W263" s="287"/>
      <c r="X263" s="287"/>
      <c r="Y263" s="287"/>
      <c r="Z263" s="287"/>
      <c r="AA263" s="287"/>
      <c r="AB263" s="287"/>
      <c r="AC263" s="287"/>
      <c r="AD263" s="287"/>
      <c r="AE263" s="287"/>
      <c r="AF263" s="287"/>
      <c r="AG263" s="287"/>
      <c r="AH263" s="287"/>
      <c r="AI263" s="287"/>
      <c r="AJ263" s="287"/>
      <c r="AK263" s="287"/>
      <c r="AL263" s="287"/>
      <c r="AM263" s="287"/>
      <c r="AN263" s="287"/>
      <c r="AO263" s="287"/>
      <c r="AP263" s="287"/>
      <c r="AQ263" s="287"/>
      <c r="AR263" s="287"/>
      <c r="AS263" s="287"/>
      <c r="AT263" s="287"/>
      <c r="AU263" s="287"/>
      <c r="AV263" s="287"/>
      <c r="AW263" s="287"/>
      <c r="AX263" s="287"/>
      <c r="AY263" s="287"/>
      <c r="AZ263" s="287"/>
      <c r="BA263" s="287"/>
      <c r="BB263" s="287"/>
      <c r="BC263" s="287"/>
    </row>
    <row r="264" ht="15.75" customHeight="1">
      <c r="A264" s="287"/>
      <c r="B264" s="287"/>
      <c r="C264" s="287"/>
      <c r="D264" s="287"/>
      <c r="E264" s="287"/>
      <c r="F264" s="287"/>
      <c r="G264" s="287"/>
      <c r="H264" s="287"/>
      <c r="I264" s="287"/>
      <c r="J264" s="287"/>
      <c r="K264" s="287"/>
      <c r="L264" s="287"/>
      <c r="M264" s="287"/>
      <c r="N264" s="287"/>
      <c r="O264" s="287"/>
      <c r="P264" s="287"/>
      <c r="Q264" s="287"/>
      <c r="R264" s="287"/>
      <c r="S264" s="287"/>
      <c r="T264" s="287"/>
      <c r="U264" s="287"/>
      <c r="V264" s="287"/>
      <c r="W264" s="287"/>
      <c r="X264" s="287"/>
      <c r="Y264" s="287"/>
      <c r="Z264" s="287"/>
      <c r="AA264" s="287"/>
      <c r="AB264" s="287"/>
      <c r="AC264" s="287"/>
      <c r="AD264" s="287"/>
      <c r="AE264" s="287"/>
      <c r="AF264" s="287"/>
      <c r="AG264" s="287"/>
      <c r="AH264" s="287"/>
      <c r="AI264" s="287"/>
      <c r="AJ264" s="287"/>
      <c r="AK264" s="287"/>
      <c r="AL264" s="287"/>
      <c r="AM264" s="287"/>
      <c r="AN264" s="287"/>
      <c r="AO264" s="287"/>
      <c r="AP264" s="287"/>
      <c r="AQ264" s="287"/>
      <c r="AR264" s="287"/>
      <c r="AS264" s="287"/>
      <c r="AT264" s="287"/>
      <c r="AU264" s="287"/>
      <c r="AV264" s="287"/>
      <c r="AW264" s="287"/>
      <c r="AX264" s="287"/>
      <c r="AY264" s="287"/>
      <c r="AZ264" s="287"/>
      <c r="BA264" s="287"/>
      <c r="BB264" s="287"/>
      <c r="BC264" s="287"/>
    </row>
    <row r="265" ht="15.75" customHeight="1">
      <c r="A265" s="287"/>
      <c r="B265" s="287"/>
      <c r="C265" s="287"/>
      <c r="D265" s="287"/>
      <c r="E265" s="287"/>
      <c r="F265" s="287"/>
      <c r="G265" s="287"/>
      <c r="H265" s="287"/>
      <c r="I265" s="287"/>
      <c r="J265" s="287"/>
      <c r="K265" s="287"/>
      <c r="L265" s="287"/>
      <c r="M265" s="287"/>
      <c r="N265" s="287"/>
      <c r="O265" s="287"/>
      <c r="P265" s="287"/>
      <c r="Q265" s="287"/>
      <c r="R265" s="287"/>
      <c r="S265" s="287"/>
      <c r="T265" s="287"/>
      <c r="U265" s="287"/>
      <c r="V265" s="287"/>
      <c r="W265" s="287"/>
      <c r="X265" s="287"/>
      <c r="Y265" s="287"/>
      <c r="Z265" s="287"/>
      <c r="AA265" s="287"/>
      <c r="AB265" s="287"/>
      <c r="AC265" s="287"/>
      <c r="AD265" s="287"/>
      <c r="AE265" s="287"/>
      <c r="AF265" s="287"/>
      <c r="AG265" s="287"/>
      <c r="AH265" s="287"/>
      <c r="AI265" s="287"/>
      <c r="AJ265" s="287"/>
      <c r="AK265" s="287"/>
      <c r="AL265" s="287"/>
      <c r="AM265" s="287"/>
      <c r="AN265" s="287"/>
      <c r="AO265" s="287"/>
      <c r="AP265" s="287"/>
      <c r="AQ265" s="287"/>
      <c r="AR265" s="287"/>
      <c r="AS265" s="287"/>
      <c r="AT265" s="287"/>
      <c r="AU265" s="287"/>
      <c r="AV265" s="287"/>
      <c r="AW265" s="287"/>
      <c r="AX265" s="287"/>
      <c r="AY265" s="287"/>
      <c r="AZ265" s="287"/>
      <c r="BA265" s="287"/>
      <c r="BB265" s="287"/>
      <c r="BC265" s="287"/>
    </row>
    <row r="266" ht="15.75" customHeight="1">
      <c r="A266" s="287"/>
      <c r="B266" s="287"/>
      <c r="C266" s="287"/>
      <c r="D266" s="287"/>
      <c r="E266" s="287"/>
      <c r="F266" s="287"/>
      <c r="G266" s="287"/>
      <c r="H266" s="287"/>
      <c r="I266" s="287"/>
      <c r="J266" s="287"/>
      <c r="K266" s="287"/>
      <c r="L266" s="287"/>
      <c r="M266" s="287"/>
      <c r="N266" s="287"/>
      <c r="O266" s="287"/>
      <c r="P266" s="287"/>
      <c r="Q266" s="287"/>
      <c r="R266" s="287"/>
      <c r="S266" s="287"/>
      <c r="T266" s="287"/>
      <c r="U266" s="287"/>
      <c r="V266" s="287"/>
      <c r="W266" s="287"/>
      <c r="X266" s="287"/>
      <c r="Y266" s="287"/>
      <c r="Z266" s="287"/>
      <c r="AA266" s="287"/>
      <c r="AB266" s="287"/>
      <c r="AC266" s="287"/>
      <c r="AD266" s="287"/>
      <c r="AE266" s="287"/>
      <c r="AF266" s="287"/>
      <c r="AG266" s="287"/>
      <c r="AH266" s="287"/>
      <c r="AI266" s="287"/>
      <c r="AJ266" s="287"/>
      <c r="AK266" s="287"/>
      <c r="AL266" s="287"/>
      <c r="AM266" s="287"/>
      <c r="AN266" s="287"/>
      <c r="AO266" s="287"/>
      <c r="AP266" s="287"/>
      <c r="AQ266" s="287"/>
      <c r="AR266" s="287"/>
      <c r="AS266" s="287"/>
      <c r="AT266" s="287"/>
      <c r="AU266" s="287"/>
      <c r="AV266" s="287"/>
      <c r="AW266" s="287"/>
      <c r="AX266" s="287"/>
      <c r="AY266" s="287"/>
      <c r="AZ266" s="287"/>
      <c r="BA266" s="287"/>
      <c r="BB266" s="287"/>
      <c r="BC266" s="287"/>
    </row>
    <row r="267" ht="15.75" customHeight="1">
      <c r="A267" s="287"/>
      <c r="B267" s="287"/>
      <c r="C267" s="287"/>
      <c r="D267" s="287"/>
      <c r="E267" s="287"/>
      <c r="F267" s="287"/>
      <c r="G267" s="287"/>
      <c r="H267" s="287"/>
      <c r="I267" s="287"/>
      <c r="J267" s="287"/>
      <c r="K267" s="287"/>
      <c r="L267" s="287"/>
      <c r="M267" s="287"/>
      <c r="N267" s="287"/>
      <c r="O267" s="287"/>
      <c r="P267" s="287"/>
      <c r="Q267" s="287"/>
      <c r="R267" s="287"/>
      <c r="S267" s="287"/>
      <c r="T267" s="287"/>
      <c r="U267" s="287"/>
      <c r="V267" s="287"/>
      <c r="W267" s="287"/>
      <c r="X267" s="287"/>
      <c r="Y267" s="287"/>
      <c r="Z267" s="287"/>
      <c r="AA267" s="287"/>
      <c r="AB267" s="287"/>
      <c r="AC267" s="287"/>
      <c r="AD267" s="287"/>
      <c r="AE267" s="287"/>
      <c r="AF267" s="287"/>
      <c r="AG267" s="287"/>
      <c r="AH267" s="287"/>
      <c r="AI267" s="287"/>
      <c r="AJ267" s="287"/>
      <c r="AK267" s="287"/>
      <c r="AL267" s="287"/>
      <c r="AM267" s="287"/>
      <c r="AN267" s="287"/>
      <c r="AO267" s="287"/>
      <c r="AP267" s="287"/>
      <c r="AQ267" s="287"/>
      <c r="AR267" s="287"/>
      <c r="AS267" s="287"/>
      <c r="AT267" s="287"/>
      <c r="AU267" s="287"/>
      <c r="AV267" s="287"/>
      <c r="AW267" s="287"/>
      <c r="AX267" s="287"/>
      <c r="AY267" s="287"/>
      <c r="AZ267" s="287"/>
      <c r="BA267" s="287"/>
      <c r="BB267" s="287"/>
      <c r="BC267" s="287"/>
    </row>
    <row r="268" ht="15.75" customHeight="1">
      <c r="A268" s="287"/>
      <c r="B268" s="287"/>
      <c r="C268" s="287"/>
      <c r="D268" s="287"/>
      <c r="E268" s="287"/>
      <c r="F268" s="287"/>
      <c r="G268" s="287"/>
      <c r="H268" s="287"/>
      <c r="I268" s="287"/>
      <c r="J268" s="287"/>
      <c r="K268" s="287"/>
      <c r="L268" s="287"/>
      <c r="M268" s="287"/>
      <c r="N268" s="287"/>
      <c r="O268" s="287"/>
      <c r="P268" s="287"/>
      <c r="Q268" s="287"/>
      <c r="R268" s="287"/>
      <c r="S268" s="287"/>
      <c r="T268" s="287"/>
      <c r="U268" s="287"/>
      <c r="V268" s="287"/>
      <c r="W268" s="287"/>
      <c r="X268" s="287"/>
      <c r="Y268" s="287"/>
      <c r="Z268" s="287"/>
      <c r="AA268" s="287"/>
      <c r="AB268" s="287"/>
      <c r="AC268" s="287"/>
      <c r="AD268" s="287"/>
      <c r="AE268" s="287"/>
      <c r="AF268" s="287"/>
      <c r="AG268" s="287"/>
      <c r="AH268" s="287"/>
      <c r="AI268" s="287"/>
      <c r="AJ268" s="287"/>
      <c r="AK268" s="287"/>
      <c r="AL268" s="287"/>
      <c r="AM268" s="287"/>
      <c r="AN268" s="287"/>
      <c r="AO268" s="287"/>
      <c r="AP268" s="287"/>
      <c r="AQ268" s="287"/>
      <c r="AR268" s="287"/>
      <c r="AS268" s="287"/>
      <c r="AT268" s="287"/>
      <c r="AU268" s="287"/>
      <c r="AV268" s="287"/>
      <c r="AW268" s="287"/>
      <c r="AX268" s="287"/>
      <c r="AY268" s="287"/>
      <c r="AZ268" s="287"/>
      <c r="BA268" s="287"/>
      <c r="BB268" s="287"/>
      <c r="BC268" s="287"/>
    </row>
    <row r="269" ht="15.75" customHeight="1">
      <c r="A269" s="287"/>
      <c r="B269" s="287"/>
      <c r="C269" s="287"/>
      <c r="D269" s="287"/>
      <c r="E269" s="287"/>
      <c r="F269" s="287"/>
      <c r="G269" s="287"/>
      <c r="H269" s="287"/>
      <c r="I269" s="287"/>
      <c r="J269" s="287"/>
      <c r="K269" s="287"/>
      <c r="L269" s="287"/>
      <c r="M269" s="287"/>
      <c r="N269" s="287"/>
      <c r="O269" s="287"/>
      <c r="P269" s="287"/>
      <c r="Q269" s="287"/>
      <c r="R269" s="287"/>
      <c r="S269" s="287"/>
      <c r="T269" s="287"/>
      <c r="U269" s="287"/>
      <c r="V269" s="287"/>
      <c r="W269" s="287"/>
      <c r="X269" s="287"/>
      <c r="Y269" s="287"/>
      <c r="Z269" s="287"/>
      <c r="AA269" s="287"/>
      <c r="AB269" s="287"/>
      <c r="AC269" s="287"/>
      <c r="AD269" s="287"/>
      <c r="AE269" s="287"/>
      <c r="AF269" s="287"/>
      <c r="AG269" s="287"/>
      <c r="AH269" s="287"/>
      <c r="AI269" s="287"/>
      <c r="AJ269" s="287"/>
      <c r="AK269" s="287"/>
      <c r="AL269" s="287"/>
      <c r="AM269" s="287"/>
      <c r="AN269" s="287"/>
      <c r="AO269" s="287"/>
      <c r="AP269" s="287"/>
      <c r="AQ269" s="287"/>
      <c r="AR269" s="287"/>
      <c r="AS269" s="287"/>
      <c r="AT269" s="287"/>
      <c r="AU269" s="287"/>
      <c r="AV269" s="287"/>
      <c r="AW269" s="287"/>
      <c r="AX269" s="287"/>
      <c r="AY269" s="287"/>
      <c r="AZ269" s="287"/>
      <c r="BA269" s="287"/>
      <c r="BB269" s="287"/>
      <c r="BC269" s="287"/>
    </row>
    <row r="270" ht="15.75" customHeight="1">
      <c r="A270" s="287"/>
      <c r="B270" s="287"/>
      <c r="C270" s="287"/>
      <c r="D270" s="287"/>
      <c r="E270" s="287"/>
      <c r="F270" s="287"/>
      <c r="G270" s="287"/>
      <c r="H270" s="287"/>
      <c r="I270" s="287"/>
      <c r="J270" s="287"/>
      <c r="K270" s="287"/>
      <c r="L270" s="287"/>
      <c r="M270" s="287"/>
      <c r="N270" s="287"/>
      <c r="O270" s="287"/>
      <c r="P270" s="287"/>
      <c r="Q270" s="287"/>
      <c r="R270" s="287"/>
      <c r="S270" s="287"/>
      <c r="T270" s="287"/>
      <c r="U270" s="287"/>
      <c r="V270" s="287"/>
      <c r="W270" s="287"/>
      <c r="X270" s="287"/>
      <c r="Y270" s="287"/>
      <c r="Z270" s="287"/>
      <c r="AA270" s="287"/>
      <c r="AB270" s="287"/>
      <c r="AC270" s="287"/>
      <c r="AD270" s="287"/>
      <c r="AE270" s="287"/>
      <c r="AF270" s="287"/>
      <c r="AG270" s="287"/>
      <c r="AH270" s="287"/>
      <c r="AI270" s="287"/>
      <c r="AJ270" s="287"/>
      <c r="AK270" s="287"/>
      <c r="AL270" s="287"/>
      <c r="AM270" s="287"/>
      <c r="AN270" s="287"/>
      <c r="AO270" s="287"/>
      <c r="AP270" s="287"/>
      <c r="AQ270" s="287"/>
      <c r="AR270" s="287"/>
      <c r="AS270" s="287"/>
      <c r="AT270" s="287"/>
      <c r="AU270" s="287"/>
      <c r="AV270" s="287"/>
      <c r="AW270" s="287"/>
      <c r="AX270" s="287"/>
      <c r="AY270" s="287"/>
      <c r="AZ270" s="287"/>
      <c r="BA270" s="287"/>
      <c r="BB270" s="287"/>
      <c r="BC270" s="287"/>
    </row>
    <row r="271" ht="15.75" customHeight="1">
      <c r="A271" s="287"/>
      <c r="B271" s="287"/>
      <c r="C271" s="287"/>
      <c r="D271" s="287"/>
      <c r="E271" s="287"/>
      <c r="F271" s="287"/>
      <c r="G271" s="287"/>
      <c r="H271" s="287"/>
      <c r="I271" s="287"/>
      <c r="J271" s="287"/>
      <c r="K271" s="287"/>
      <c r="L271" s="287"/>
      <c r="M271" s="287"/>
      <c r="N271" s="287"/>
      <c r="O271" s="287"/>
      <c r="P271" s="287"/>
      <c r="Q271" s="287"/>
      <c r="R271" s="287"/>
      <c r="S271" s="287"/>
      <c r="T271" s="287"/>
      <c r="U271" s="287"/>
      <c r="V271" s="287"/>
      <c r="W271" s="287"/>
      <c r="X271" s="287"/>
      <c r="Y271" s="287"/>
      <c r="Z271" s="287"/>
      <c r="AA271" s="287"/>
      <c r="AB271" s="287"/>
      <c r="AC271" s="287"/>
      <c r="AD271" s="287"/>
      <c r="AE271" s="287"/>
      <c r="AF271" s="287"/>
      <c r="AG271" s="287"/>
      <c r="AH271" s="287"/>
      <c r="AI271" s="287"/>
      <c r="AJ271" s="287"/>
      <c r="AK271" s="287"/>
      <c r="AL271" s="287"/>
      <c r="AM271" s="287"/>
      <c r="AN271" s="287"/>
      <c r="AO271" s="287"/>
      <c r="AP271" s="287"/>
      <c r="AQ271" s="287"/>
      <c r="AR271" s="287"/>
      <c r="AS271" s="287"/>
      <c r="AT271" s="287"/>
      <c r="AU271" s="287"/>
      <c r="AV271" s="287"/>
      <c r="AW271" s="287"/>
      <c r="AX271" s="287"/>
      <c r="AY271" s="287"/>
      <c r="AZ271" s="287"/>
      <c r="BA271" s="287"/>
      <c r="BB271" s="287"/>
      <c r="BC271" s="287"/>
    </row>
    <row r="272" ht="15.75" customHeight="1">
      <c r="A272" s="287"/>
      <c r="B272" s="287"/>
      <c r="C272" s="287"/>
      <c r="D272" s="287"/>
      <c r="E272" s="287"/>
      <c r="F272" s="287"/>
      <c r="G272" s="287"/>
      <c r="H272" s="287"/>
      <c r="I272" s="287"/>
      <c r="J272" s="287"/>
      <c r="K272" s="287"/>
      <c r="L272" s="287"/>
      <c r="M272" s="287"/>
      <c r="N272" s="287"/>
      <c r="O272" s="287"/>
      <c r="P272" s="287"/>
      <c r="Q272" s="287"/>
      <c r="R272" s="287"/>
      <c r="S272" s="287"/>
      <c r="T272" s="287"/>
      <c r="U272" s="287"/>
      <c r="V272" s="287"/>
      <c r="W272" s="287"/>
      <c r="X272" s="287"/>
      <c r="Y272" s="287"/>
      <c r="Z272" s="287"/>
      <c r="AA272" s="287"/>
      <c r="AB272" s="287"/>
      <c r="AC272" s="287"/>
      <c r="AD272" s="287"/>
      <c r="AE272" s="287"/>
      <c r="AF272" s="287"/>
      <c r="AG272" s="287"/>
      <c r="AH272" s="287"/>
      <c r="AI272" s="287"/>
      <c r="AJ272" s="287"/>
      <c r="AK272" s="287"/>
      <c r="AL272" s="287"/>
      <c r="AM272" s="287"/>
      <c r="AN272" s="287"/>
      <c r="AO272" s="287"/>
      <c r="AP272" s="287"/>
      <c r="AQ272" s="287"/>
      <c r="AR272" s="287"/>
      <c r="AS272" s="287"/>
      <c r="AT272" s="287"/>
      <c r="AU272" s="287"/>
      <c r="AV272" s="287"/>
      <c r="AW272" s="287"/>
      <c r="AX272" s="287"/>
      <c r="AY272" s="287"/>
      <c r="AZ272" s="287"/>
      <c r="BA272" s="287"/>
      <c r="BB272" s="287"/>
      <c r="BC272" s="287"/>
    </row>
    <row r="273" ht="15.75" customHeight="1">
      <c r="A273" s="287"/>
      <c r="B273" s="287"/>
      <c r="C273" s="287"/>
      <c r="D273" s="287"/>
      <c r="E273" s="287"/>
      <c r="F273" s="287"/>
      <c r="G273" s="287"/>
      <c r="H273" s="287"/>
      <c r="I273" s="287"/>
      <c r="J273" s="287"/>
      <c r="K273" s="287"/>
      <c r="L273" s="287"/>
      <c r="M273" s="287"/>
      <c r="N273" s="287"/>
      <c r="O273" s="287"/>
      <c r="P273" s="287"/>
      <c r="Q273" s="287"/>
      <c r="R273" s="287"/>
      <c r="S273" s="287"/>
      <c r="T273" s="287"/>
      <c r="U273" s="287"/>
      <c r="V273" s="287"/>
      <c r="W273" s="287"/>
      <c r="X273" s="287"/>
      <c r="Y273" s="287"/>
      <c r="Z273" s="287"/>
      <c r="AA273" s="287"/>
      <c r="AB273" s="287"/>
      <c r="AC273" s="287"/>
      <c r="AD273" s="287"/>
      <c r="AE273" s="287"/>
      <c r="AF273" s="287"/>
      <c r="AG273" s="287"/>
      <c r="AH273" s="287"/>
      <c r="AI273" s="287"/>
      <c r="AJ273" s="287"/>
      <c r="AK273" s="287"/>
      <c r="AL273" s="287"/>
      <c r="AM273" s="287"/>
      <c r="AN273" s="287"/>
      <c r="AO273" s="287"/>
      <c r="AP273" s="287"/>
      <c r="AQ273" s="287"/>
      <c r="AR273" s="287"/>
      <c r="AS273" s="287"/>
      <c r="AT273" s="287"/>
      <c r="AU273" s="287"/>
      <c r="AV273" s="287"/>
      <c r="AW273" s="287"/>
      <c r="AX273" s="287"/>
      <c r="AY273" s="287"/>
      <c r="AZ273" s="287"/>
      <c r="BA273" s="287"/>
      <c r="BB273" s="287"/>
      <c r="BC273" s="287"/>
    </row>
    <row r="274" ht="15.75" customHeight="1">
      <c r="A274" s="287"/>
      <c r="B274" s="287"/>
      <c r="C274" s="287"/>
      <c r="D274" s="287"/>
      <c r="E274" s="287"/>
      <c r="F274" s="287"/>
      <c r="G274" s="287"/>
      <c r="H274" s="287"/>
      <c r="I274" s="287"/>
      <c r="J274" s="287"/>
      <c r="K274" s="287"/>
      <c r="L274" s="287"/>
      <c r="M274" s="287"/>
      <c r="N274" s="287"/>
      <c r="O274" s="287"/>
      <c r="P274" s="287"/>
      <c r="Q274" s="287"/>
      <c r="R274" s="287"/>
      <c r="S274" s="287"/>
      <c r="T274" s="287"/>
      <c r="U274" s="287"/>
      <c r="V274" s="287"/>
      <c r="W274" s="287"/>
      <c r="X274" s="287"/>
      <c r="Y274" s="287"/>
      <c r="Z274" s="287"/>
      <c r="AA274" s="287"/>
      <c r="AB274" s="287"/>
      <c r="AC274" s="287"/>
      <c r="AD274" s="287"/>
      <c r="AE274" s="287"/>
      <c r="AF274" s="287"/>
      <c r="AG274" s="287"/>
      <c r="AH274" s="287"/>
      <c r="AI274" s="287"/>
      <c r="AJ274" s="287"/>
      <c r="AK274" s="287"/>
      <c r="AL274" s="287"/>
      <c r="AM274" s="287"/>
      <c r="AN274" s="287"/>
      <c r="AO274" s="287"/>
      <c r="AP274" s="287"/>
      <c r="AQ274" s="287"/>
      <c r="AR274" s="287"/>
      <c r="AS274" s="287"/>
      <c r="AT274" s="287"/>
      <c r="AU274" s="287"/>
      <c r="AV274" s="287"/>
      <c r="AW274" s="287"/>
      <c r="AX274" s="287"/>
      <c r="AY274" s="287"/>
      <c r="AZ274" s="287"/>
      <c r="BA274" s="287"/>
      <c r="BB274" s="287"/>
      <c r="BC274" s="287"/>
    </row>
    <row r="275" ht="15.75" customHeight="1">
      <c r="A275" s="287"/>
      <c r="B275" s="287"/>
      <c r="C275" s="287"/>
      <c r="D275" s="287"/>
      <c r="E275" s="287"/>
      <c r="F275" s="287"/>
      <c r="G275" s="287"/>
      <c r="H275" s="287"/>
      <c r="I275" s="287"/>
      <c r="J275" s="287"/>
      <c r="K275" s="287"/>
      <c r="L275" s="287"/>
      <c r="M275" s="287"/>
      <c r="N275" s="287"/>
      <c r="O275" s="287"/>
      <c r="P275" s="287"/>
      <c r="Q275" s="287"/>
      <c r="R275" s="287"/>
      <c r="S275" s="287"/>
      <c r="T275" s="287"/>
      <c r="U275" s="287"/>
      <c r="V275" s="287"/>
      <c r="W275" s="287"/>
      <c r="X275" s="287"/>
      <c r="Y275" s="287"/>
      <c r="Z275" s="287"/>
      <c r="AA275" s="287"/>
      <c r="AB275" s="287"/>
      <c r="AC275" s="287"/>
      <c r="AD275" s="287"/>
      <c r="AE275" s="287"/>
      <c r="AF275" s="287"/>
      <c r="AG275" s="287"/>
      <c r="AH275" s="287"/>
      <c r="AI275" s="287"/>
      <c r="AJ275" s="287"/>
      <c r="AK275" s="287"/>
      <c r="AL275" s="287"/>
      <c r="AM275" s="287"/>
      <c r="AN275" s="287"/>
      <c r="AO275" s="287"/>
      <c r="AP275" s="287"/>
      <c r="AQ275" s="287"/>
      <c r="AR275" s="287"/>
      <c r="AS275" s="287"/>
      <c r="AT275" s="287"/>
      <c r="AU275" s="287"/>
      <c r="AV275" s="287"/>
      <c r="AW275" s="287"/>
      <c r="AX275" s="287"/>
      <c r="AY275" s="287"/>
      <c r="AZ275" s="287"/>
      <c r="BA275" s="287"/>
      <c r="BB275" s="287"/>
      <c r="BC275" s="287"/>
    </row>
    <row r="276" ht="15.75" customHeight="1">
      <c r="A276" s="287"/>
      <c r="B276" s="287"/>
      <c r="C276" s="287"/>
      <c r="D276" s="287"/>
      <c r="E276" s="287"/>
      <c r="F276" s="287"/>
      <c r="G276" s="287"/>
      <c r="H276" s="287"/>
      <c r="I276" s="287"/>
      <c r="J276" s="287"/>
      <c r="K276" s="287"/>
      <c r="L276" s="287"/>
      <c r="M276" s="287"/>
      <c r="N276" s="287"/>
      <c r="O276" s="287"/>
      <c r="P276" s="287"/>
      <c r="Q276" s="287"/>
      <c r="R276" s="287"/>
      <c r="S276" s="287"/>
      <c r="T276" s="287"/>
      <c r="U276" s="287"/>
      <c r="V276" s="287"/>
      <c r="W276" s="287"/>
      <c r="X276" s="287"/>
      <c r="Y276" s="287"/>
      <c r="Z276" s="287"/>
      <c r="AA276" s="287"/>
      <c r="AB276" s="287"/>
      <c r="AC276" s="287"/>
      <c r="AD276" s="287"/>
      <c r="AE276" s="287"/>
      <c r="AF276" s="287"/>
      <c r="AG276" s="287"/>
      <c r="AH276" s="287"/>
      <c r="AI276" s="287"/>
      <c r="AJ276" s="287"/>
      <c r="AK276" s="287"/>
      <c r="AL276" s="287"/>
      <c r="AM276" s="287"/>
      <c r="AN276" s="287"/>
      <c r="AO276" s="287"/>
      <c r="AP276" s="287"/>
      <c r="AQ276" s="287"/>
      <c r="AR276" s="287"/>
      <c r="AS276" s="287"/>
      <c r="AT276" s="287"/>
      <c r="AU276" s="287"/>
      <c r="AV276" s="287"/>
      <c r="AW276" s="287"/>
      <c r="AX276" s="287"/>
      <c r="AY276" s="287"/>
      <c r="AZ276" s="287"/>
      <c r="BA276" s="287"/>
      <c r="BB276" s="287"/>
      <c r="BC276" s="287"/>
    </row>
    <row r="277" ht="15.75" customHeight="1">
      <c r="A277" s="287"/>
      <c r="B277" s="287"/>
      <c r="C277" s="287"/>
      <c r="D277" s="287"/>
      <c r="E277" s="287"/>
      <c r="F277" s="287"/>
      <c r="G277" s="287"/>
      <c r="H277" s="287"/>
      <c r="I277" s="287"/>
      <c r="J277" s="287"/>
      <c r="K277" s="287"/>
      <c r="L277" s="287"/>
      <c r="M277" s="287"/>
      <c r="N277" s="287"/>
      <c r="O277" s="287"/>
      <c r="P277" s="287"/>
      <c r="Q277" s="287"/>
      <c r="R277" s="287"/>
      <c r="S277" s="287"/>
      <c r="T277" s="287"/>
      <c r="U277" s="287"/>
      <c r="V277" s="287"/>
      <c r="W277" s="287"/>
      <c r="X277" s="287"/>
      <c r="Y277" s="287"/>
      <c r="Z277" s="287"/>
      <c r="AA277" s="287"/>
      <c r="AB277" s="287"/>
      <c r="AC277" s="287"/>
      <c r="AD277" s="287"/>
      <c r="AE277" s="287"/>
      <c r="AF277" s="287"/>
      <c r="AG277" s="287"/>
      <c r="AH277" s="287"/>
      <c r="AI277" s="287"/>
      <c r="AJ277" s="287"/>
      <c r="AK277" s="287"/>
      <c r="AL277" s="287"/>
      <c r="AM277" s="287"/>
      <c r="AN277" s="287"/>
      <c r="AO277" s="287"/>
      <c r="AP277" s="287"/>
      <c r="AQ277" s="287"/>
      <c r="AR277" s="287"/>
      <c r="AS277" s="287"/>
      <c r="AT277" s="287"/>
      <c r="AU277" s="287"/>
      <c r="AV277" s="287"/>
      <c r="AW277" s="287"/>
      <c r="AX277" s="287"/>
      <c r="AY277" s="287"/>
      <c r="AZ277" s="287"/>
      <c r="BA277" s="287"/>
      <c r="BB277" s="287"/>
      <c r="BC277" s="287"/>
    </row>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sheetData>
  <mergeCells count="428">
    <mergeCell ref="M21:P21"/>
    <mergeCell ref="M22:P22"/>
    <mergeCell ref="M23:P23"/>
    <mergeCell ref="M24:P24"/>
    <mergeCell ref="M25:P25"/>
    <mergeCell ref="M26:P26"/>
    <mergeCell ref="M27:P27"/>
    <mergeCell ref="M35:P35"/>
    <mergeCell ref="M36:P36"/>
    <mergeCell ref="M28:P28"/>
    <mergeCell ref="M29:P29"/>
    <mergeCell ref="M30:P30"/>
    <mergeCell ref="M31:P31"/>
    <mergeCell ref="M32:P32"/>
    <mergeCell ref="M33:P33"/>
    <mergeCell ref="M34:P34"/>
    <mergeCell ref="B10:D10"/>
    <mergeCell ref="B11:D11"/>
    <mergeCell ref="E12:I12"/>
    <mergeCell ref="J12:K12"/>
    <mergeCell ref="L12:P12"/>
    <mergeCell ref="R12:U13"/>
    <mergeCell ref="V12:W13"/>
    <mergeCell ref="L13:P13"/>
    <mergeCell ref="J15:K15"/>
    <mergeCell ref="L15:P15"/>
    <mergeCell ref="E13:I13"/>
    <mergeCell ref="J13:K13"/>
    <mergeCell ref="E14:I14"/>
    <mergeCell ref="J14:K14"/>
    <mergeCell ref="L14:P14"/>
    <mergeCell ref="R14:U15"/>
    <mergeCell ref="V14:W15"/>
    <mergeCell ref="B15:D15"/>
    <mergeCell ref="E15:I15"/>
    <mergeCell ref="B17:N18"/>
    <mergeCell ref="O17:S18"/>
    <mergeCell ref="T17:W18"/>
    <mergeCell ref="X17:AB18"/>
    <mergeCell ref="AC17:AG18"/>
    <mergeCell ref="C19:F19"/>
    <mergeCell ref="M19:P19"/>
    <mergeCell ref="W19:Z19"/>
    <mergeCell ref="C20:F20"/>
    <mergeCell ref="M20:P20"/>
    <mergeCell ref="C21:F21"/>
    <mergeCell ref="W22:Z22"/>
    <mergeCell ref="W20:Z20"/>
    <mergeCell ref="W21:Z21"/>
    <mergeCell ref="W23:Z23"/>
    <mergeCell ref="W24:Z24"/>
    <mergeCell ref="W25:Z25"/>
    <mergeCell ref="W26:Z26"/>
    <mergeCell ref="W27:Z27"/>
    <mergeCell ref="W28:Z28"/>
    <mergeCell ref="W29:Z29"/>
    <mergeCell ref="W30:Z30"/>
    <mergeCell ref="W31:Z31"/>
    <mergeCell ref="W32:Z32"/>
    <mergeCell ref="W33:Z33"/>
    <mergeCell ref="W34:Z34"/>
    <mergeCell ref="B2:AS6"/>
    <mergeCell ref="AT2:AV3"/>
    <mergeCell ref="AW2:AY3"/>
    <mergeCell ref="AZ2:BB3"/>
    <mergeCell ref="AT4:AV6"/>
    <mergeCell ref="AW4:AY6"/>
    <mergeCell ref="AZ4:BB6"/>
    <mergeCell ref="X10:Y10"/>
    <mergeCell ref="Z10:AC11"/>
    <mergeCell ref="X11:Y11"/>
    <mergeCell ref="X12:Y12"/>
    <mergeCell ref="Z12:AC13"/>
    <mergeCell ref="X13:Y13"/>
    <mergeCell ref="AD10:AE11"/>
    <mergeCell ref="AF10:AG10"/>
    <mergeCell ref="AF11:AG11"/>
    <mergeCell ref="AD12:AE13"/>
    <mergeCell ref="AF12:AG12"/>
    <mergeCell ref="AF13:AG13"/>
    <mergeCell ref="B8:P9"/>
    <mergeCell ref="R8:AO9"/>
    <mergeCell ref="AQ8:BB9"/>
    <mergeCell ref="E10:P10"/>
    <mergeCell ref="R10:U11"/>
    <mergeCell ref="V10:W11"/>
    <mergeCell ref="AN10:AO10"/>
    <mergeCell ref="E11:P11"/>
    <mergeCell ref="B12:D12"/>
    <mergeCell ref="B13:D13"/>
    <mergeCell ref="B14:D14"/>
    <mergeCell ref="X14:Y14"/>
    <mergeCell ref="Z14:AC15"/>
    <mergeCell ref="AD14:AE15"/>
    <mergeCell ref="AF14:AG14"/>
    <mergeCell ref="X15:Y15"/>
    <mergeCell ref="AF15:AG15"/>
    <mergeCell ref="AN13:AO13"/>
    <mergeCell ref="AN14:AO14"/>
    <mergeCell ref="AY28:BB28"/>
    <mergeCell ref="AY29:BB29"/>
    <mergeCell ref="AQ26:AV26"/>
    <mergeCell ref="AW26:BB26"/>
    <mergeCell ref="AQ27:AT28"/>
    <mergeCell ref="AU27:AX28"/>
    <mergeCell ref="AY27:BB27"/>
    <mergeCell ref="AQ29:AT30"/>
    <mergeCell ref="AU29:AX30"/>
    <mergeCell ref="AY30:BB30"/>
    <mergeCell ref="C29:F29"/>
    <mergeCell ref="C30:F30"/>
    <mergeCell ref="C31:F31"/>
    <mergeCell ref="C32:F32"/>
    <mergeCell ref="C33:F33"/>
    <mergeCell ref="C34:F34"/>
    <mergeCell ref="C35:F35"/>
    <mergeCell ref="C36:F36"/>
    <mergeCell ref="C22:F22"/>
    <mergeCell ref="C23:F23"/>
    <mergeCell ref="C24:F24"/>
    <mergeCell ref="C25:F25"/>
    <mergeCell ref="C26:F26"/>
    <mergeCell ref="C27:F27"/>
    <mergeCell ref="C28:F28"/>
    <mergeCell ref="AG32:AJ32"/>
    <mergeCell ref="AG33:AJ33"/>
    <mergeCell ref="AG35:AJ35"/>
    <mergeCell ref="AG25:AJ25"/>
    <mergeCell ref="AG26:AJ26"/>
    <mergeCell ref="AG27:AJ27"/>
    <mergeCell ref="AG28:AJ28"/>
    <mergeCell ref="AG29:AJ29"/>
    <mergeCell ref="AG30:AJ30"/>
    <mergeCell ref="AG31:AJ31"/>
    <mergeCell ref="AU33:AV34"/>
    <mergeCell ref="AW33:AZ34"/>
    <mergeCell ref="AG34:AJ34"/>
    <mergeCell ref="AQ31:AT32"/>
    <mergeCell ref="AU31:AX32"/>
    <mergeCell ref="AY31:AZ31"/>
    <mergeCell ref="BA31:BB31"/>
    <mergeCell ref="AY32:AZ32"/>
    <mergeCell ref="BA32:BB32"/>
    <mergeCell ref="BA33:BB34"/>
    <mergeCell ref="AH12:AK13"/>
    <mergeCell ref="AH14:AK15"/>
    <mergeCell ref="AL14:AM15"/>
    <mergeCell ref="AH17:AK18"/>
    <mergeCell ref="AH10:AK11"/>
    <mergeCell ref="AL10:AM11"/>
    <mergeCell ref="AQ10:BB19"/>
    <mergeCell ref="AN11:AO11"/>
    <mergeCell ref="AL12:AM13"/>
    <mergeCell ref="AN12:AO12"/>
    <mergeCell ref="AN15:AO15"/>
    <mergeCell ref="AY25:AZ25"/>
    <mergeCell ref="BA25:BB25"/>
    <mergeCell ref="AL17:AO18"/>
    <mergeCell ref="AG19:AJ19"/>
    <mergeCell ref="AG20:AJ20"/>
    <mergeCell ref="AG21:AJ21"/>
    <mergeCell ref="AG22:AJ22"/>
    <mergeCell ref="AG23:AJ23"/>
    <mergeCell ref="AG24:AJ24"/>
    <mergeCell ref="AQ21:BB22"/>
    <mergeCell ref="AQ23:AV23"/>
    <mergeCell ref="AW23:BB23"/>
    <mergeCell ref="AQ24:AV24"/>
    <mergeCell ref="AW24:BB24"/>
    <mergeCell ref="AQ25:AV25"/>
    <mergeCell ref="AW25:AX25"/>
    <mergeCell ref="AQ40:BB40"/>
    <mergeCell ref="AQ41:BB41"/>
    <mergeCell ref="AQ42:BB42"/>
    <mergeCell ref="AQ43:BB43"/>
    <mergeCell ref="AQ33:AT34"/>
    <mergeCell ref="AQ35:AT36"/>
    <mergeCell ref="AU35:AV36"/>
    <mergeCell ref="AW35:AZ36"/>
    <mergeCell ref="BA35:BB36"/>
    <mergeCell ref="AG36:AJ36"/>
    <mergeCell ref="AQ38:BB39"/>
    <mergeCell ref="S40:X40"/>
    <mergeCell ref="Y40:AB40"/>
    <mergeCell ref="S41:X41"/>
    <mergeCell ref="Y41:AB41"/>
    <mergeCell ref="AC40:AG40"/>
    <mergeCell ref="AH40:AK40"/>
    <mergeCell ref="AC41:AG41"/>
    <mergeCell ref="AH41:AK41"/>
    <mergeCell ref="AL41:AO41"/>
    <mergeCell ref="W35:Z35"/>
    <mergeCell ref="W36:Z36"/>
    <mergeCell ref="B38:AO39"/>
    <mergeCell ref="J40:L40"/>
    <mergeCell ref="M40:O40"/>
    <mergeCell ref="P40:R40"/>
    <mergeCell ref="AL40:AO40"/>
    <mergeCell ref="M42:O42"/>
    <mergeCell ref="P42:R42"/>
    <mergeCell ref="S42:X42"/>
    <mergeCell ref="Y42:AB42"/>
    <mergeCell ref="AC42:AG42"/>
    <mergeCell ref="AH42:AK42"/>
    <mergeCell ref="AL42:AO42"/>
    <mergeCell ref="B40:I40"/>
    <mergeCell ref="B41:I41"/>
    <mergeCell ref="J41:L41"/>
    <mergeCell ref="M41:O41"/>
    <mergeCell ref="P41:R41"/>
    <mergeCell ref="B42:I42"/>
    <mergeCell ref="J42:L42"/>
    <mergeCell ref="AH43:AK43"/>
    <mergeCell ref="AL43:AO43"/>
    <mergeCell ref="B43:I43"/>
    <mergeCell ref="J43:L43"/>
    <mergeCell ref="M43:O43"/>
    <mergeCell ref="P43:R43"/>
    <mergeCell ref="S43:X43"/>
    <mergeCell ref="Y43:AB43"/>
    <mergeCell ref="AC43:AG43"/>
    <mergeCell ref="A137:BC137"/>
    <mergeCell ref="A138:BC138"/>
    <mergeCell ref="A139:BC139"/>
    <mergeCell ref="A140:BC140"/>
    <mergeCell ref="A141:BC141"/>
    <mergeCell ref="A142:BC142"/>
    <mergeCell ref="A143:BC143"/>
    <mergeCell ref="A144:BC144"/>
    <mergeCell ref="A145:BC145"/>
    <mergeCell ref="A146:BC146"/>
    <mergeCell ref="A147:BC147"/>
    <mergeCell ref="A148:BC148"/>
    <mergeCell ref="A149:BC149"/>
    <mergeCell ref="A150:BC150"/>
    <mergeCell ref="A151:BC151"/>
    <mergeCell ref="A152:BC152"/>
    <mergeCell ref="A153:BC153"/>
    <mergeCell ref="A154:BC154"/>
    <mergeCell ref="A155:BC155"/>
    <mergeCell ref="A156:BC156"/>
    <mergeCell ref="A157:BC157"/>
    <mergeCell ref="A165:BC165"/>
    <mergeCell ref="A166:BC166"/>
    <mergeCell ref="A167:BC167"/>
    <mergeCell ref="A168:BC168"/>
    <mergeCell ref="A169:BC169"/>
    <mergeCell ref="A170:BC170"/>
    <mergeCell ref="A158:BC158"/>
    <mergeCell ref="A159:BC159"/>
    <mergeCell ref="A160:BC160"/>
    <mergeCell ref="A161:BC161"/>
    <mergeCell ref="A162:BC162"/>
    <mergeCell ref="A163:BC163"/>
    <mergeCell ref="A164:BC164"/>
    <mergeCell ref="A88:BC88"/>
    <mergeCell ref="A89:BC89"/>
    <mergeCell ref="A90:BC90"/>
    <mergeCell ref="A91:BC91"/>
    <mergeCell ref="A92:BC92"/>
    <mergeCell ref="A93:BC93"/>
    <mergeCell ref="A94:BC94"/>
    <mergeCell ref="A95:BC95"/>
    <mergeCell ref="A96:BC96"/>
    <mergeCell ref="A97:BC97"/>
    <mergeCell ref="A98:BC98"/>
    <mergeCell ref="A99:BC99"/>
    <mergeCell ref="A100:BC100"/>
    <mergeCell ref="A101:BC101"/>
    <mergeCell ref="A102:BC102"/>
    <mergeCell ref="A103:BC103"/>
    <mergeCell ref="A104:BC104"/>
    <mergeCell ref="A105:BC105"/>
    <mergeCell ref="A106:BC106"/>
    <mergeCell ref="A107:BC107"/>
    <mergeCell ref="A108:BC108"/>
    <mergeCell ref="A109:BC109"/>
    <mergeCell ref="A110:BC110"/>
    <mergeCell ref="A111:BC111"/>
    <mergeCell ref="A112:BC112"/>
    <mergeCell ref="A113:BC113"/>
    <mergeCell ref="A114:BC114"/>
    <mergeCell ref="A115:BC115"/>
    <mergeCell ref="A116:BC116"/>
    <mergeCell ref="A117:BC117"/>
    <mergeCell ref="A118:BC118"/>
    <mergeCell ref="A119:BC119"/>
    <mergeCell ref="A120:BC120"/>
    <mergeCell ref="A121:BC121"/>
    <mergeCell ref="A122:BC122"/>
    <mergeCell ref="A123:BC123"/>
    <mergeCell ref="A124:BC124"/>
    <mergeCell ref="A125:BC125"/>
    <mergeCell ref="A126:BC126"/>
    <mergeCell ref="A127:BC127"/>
    <mergeCell ref="A128:BC128"/>
    <mergeCell ref="A129:BC129"/>
    <mergeCell ref="A130:BC130"/>
    <mergeCell ref="A131:BC131"/>
    <mergeCell ref="A132:BC132"/>
    <mergeCell ref="A133:BC133"/>
    <mergeCell ref="A134:BC134"/>
    <mergeCell ref="A135:BC135"/>
    <mergeCell ref="A136:BC136"/>
    <mergeCell ref="AH47:AK47"/>
    <mergeCell ref="AL47:AO47"/>
    <mergeCell ref="AQ47:BB47"/>
    <mergeCell ref="B47:I47"/>
    <mergeCell ref="J47:L47"/>
    <mergeCell ref="M47:O47"/>
    <mergeCell ref="P47:R47"/>
    <mergeCell ref="S47:X47"/>
    <mergeCell ref="Y47:AB47"/>
    <mergeCell ref="AC47:AG47"/>
    <mergeCell ref="AA50:AE51"/>
    <mergeCell ref="AF50:AJ51"/>
    <mergeCell ref="AQ49:BA49"/>
    <mergeCell ref="AQ50:BB50"/>
    <mergeCell ref="B48:T49"/>
    <mergeCell ref="V48:AN49"/>
    <mergeCell ref="AQ48:BB48"/>
    <mergeCell ref="B50:F51"/>
    <mergeCell ref="G50:K51"/>
    <mergeCell ref="L50:P51"/>
    <mergeCell ref="AK50:AO51"/>
    <mergeCell ref="AQ51:BA51"/>
    <mergeCell ref="V52:AN52"/>
    <mergeCell ref="V53:AO53"/>
    <mergeCell ref="Q50:U51"/>
    <mergeCell ref="V50:Z51"/>
    <mergeCell ref="B52:F53"/>
    <mergeCell ref="G52:K53"/>
    <mergeCell ref="L52:P53"/>
    <mergeCell ref="Q52:U53"/>
    <mergeCell ref="AQ52:BB52"/>
    <mergeCell ref="AH44:AK44"/>
    <mergeCell ref="AL44:AO44"/>
    <mergeCell ref="AQ44:BB44"/>
    <mergeCell ref="B44:I44"/>
    <mergeCell ref="J44:L44"/>
    <mergeCell ref="M44:O44"/>
    <mergeCell ref="P44:R44"/>
    <mergeCell ref="S44:X44"/>
    <mergeCell ref="Y44:AB44"/>
    <mergeCell ref="AC44:AG44"/>
    <mergeCell ref="AH45:AK45"/>
    <mergeCell ref="AL45:AO45"/>
    <mergeCell ref="AQ45:BB45"/>
    <mergeCell ref="B45:I45"/>
    <mergeCell ref="J45:L45"/>
    <mergeCell ref="M45:O45"/>
    <mergeCell ref="P45:R45"/>
    <mergeCell ref="S45:X45"/>
    <mergeCell ref="Y45:AB45"/>
    <mergeCell ref="AC45:AG45"/>
    <mergeCell ref="AH46:AK46"/>
    <mergeCell ref="AL46:AO46"/>
    <mergeCell ref="AQ46:BB46"/>
    <mergeCell ref="B46:I46"/>
    <mergeCell ref="J46:L46"/>
    <mergeCell ref="M46:O46"/>
    <mergeCell ref="P46:R46"/>
    <mergeCell ref="S46:X46"/>
    <mergeCell ref="Y46:AB46"/>
    <mergeCell ref="AC46:AG46"/>
    <mergeCell ref="B63:Q64"/>
    <mergeCell ref="S63:V64"/>
    <mergeCell ref="AD74:AG75"/>
    <mergeCell ref="AH74:AK75"/>
    <mergeCell ref="AL74:AO75"/>
    <mergeCell ref="AP74:AS75"/>
    <mergeCell ref="AT74:AW75"/>
    <mergeCell ref="AX74:BB75"/>
    <mergeCell ref="B74:E75"/>
    <mergeCell ref="F74:I75"/>
    <mergeCell ref="J74:M75"/>
    <mergeCell ref="N74:Q75"/>
    <mergeCell ref="R74:U75"/>
    <mergeCell ref="V74:Y75"/>
    <mergeCell ref="Z74:AC75"/>
    <mergeCell ref="B76:E79"/>
    <mergeCell ref="F76:I79"/>
    <mergeCell ref="J76:M79"/>
    <mergeCell ref="N76:Q79"/>
    <mergeCell ref="R76:U79"/>
    <mergeCell ref="V76:Y79"/>
    <mergeCell ref="Z76:AC79"/>
    <mergeCell ref="AD76:AG79"/>
    <mergeCell ref="AH76:AK79"/>
    <mergeCell ref="AL76:AO79"/>
    <mergeCell ref="AP76:AS79"/>
    <mergeCell ref="AT76:AW79"/>
    <mergeCell ref="AX76:BB79"/>
    <mergeCell ref="AX80:BB80"/>
    <mergeCell ref="AJ57:BB57"/>
    <mergeCell ref="AJ58:BB65"/>
    <mergeCell ref="AQ53:AX53"/>
    <mergeCell ref="AY53:BB53"/>
    <mergeCell ref="B55:BB56"/>
    <mergeCell ref="B57:R57"/>
    <mergeCell ref="S57:AI57"/>
    <mergeCell ref="B58:R62"/>
    <mergeCell ref="S58:AI62"/>
    <mergeCell ref="W63:Z64"/>
    <mergeCell ref="AA63:AD64"/>
    <mergeCell ref="AE63:AI64"/>
    <mergeCell ref="S65:V65"/>
    <mergeCell ref="W65:Z65"/>
    <mergeCell ref="AA65:AD65"/>
    <mergeCell ref="AE65:AI65"/>
    <mergeCell ref="N69:Y72"/>
    <mergeCell ref="Z69:AK72"/>
    <mergeCell ref="AY67:BB68"/>
    <mergeCell ref="AY69:BB72"/>
    <mergeCell ref="B65:R65"/>
    <mergeCell ref="B67:M68"/>
    <mergeCell ref="N67:Y68"/>
    <mergeCell ref="Z67:AK68"/>
    <mergeCell ref="AL67:AW68"/>
    <mergeCell ref="B69:M72"/>
    <mergeCell ref="AL69:AW72"/>
    <mergeCell ref="A81:BC81"/>
    <mergeCell ref="A82:BC82"/>
    <mergeCell ref="A83:BC83"/>
    <mergeCell ref="A84:BC84"/>
    <mergeCell ref="A85:BC85"/>
    <mergeCell ref="A86:BC86"/>
    <mergeCell ref="A87:BC87"/>
  </mergeCells>
  <conditionalFormatting sqref="B19:B36 L19:L36 V19:V36 AF19:AF36">
    <cfRule type="containsText" dxfId="0" priority="1" operator="containsText" text="✖">
      <formula>NOT(ISERROR(SEARCH(("✖"),(B19))))</formula>
    </cfRule>
  </conditionalFormatting>
  <conditionalFormatting sqref="B19:B36 L19:L36 V19:V36 AF19:AF36">
    <cfRule type="containsText" dxfId="1" priority="2" operator="containsText" text="✔">
      <formula>NOT(ISERROR(SEARCH(("✔"),(B19))))</formula>
    </cfRule>
  </conditionalFormatting>
  <conditionalFormatting sqref="C19:F19">
    <cfRule type="expression" dxfId="2" priority="3">
      <formula>H19&gt;0</formula>
    </cfRule>
  </conditionalFormatting>
  <conditionalFormatting sqref="C20:F20">
    <cfRule type="expression" dxfId="2" priority="4">
      <formula>H20&gt;0</formula>
    </cfRule>
  </conditionalFormatting>
  <conditionalFormatting sqref="C21:F21">
    <cfRule type="expression" dxfId="2" priority="5">
      <formula>H21&gt;0</formula>
    </cfRule>
  </conditionalFormatting>
  <conditionalFormatting sqref="C22:F22">
    <cfRule type="expression" dxfId="2" priority="6">
      <formula>H22&gt;0</formula>
    </cfRule>
  </conditionalFormatting>
  <conditionalFormatting sqref="C23:F23">
    <cfRule type="expression" dxfId="2" priority="7">
      <formula>H23&gt;0</formula>
    </cfRule>
  </conditionalFormatting>
  <conditionalFormatting sqref="C24:F24">
    <cfRule type="expression" dxfId="2" priority="8">
      <formula>H24&gt;0</formula>
    </cfRule>
  </conditionalFormatting>
  <conditionalFormatting sqref="C25:F25">
    <cfRule type="expression" dxfId="2" priority="9">
      <formula>H25&gt;0</formula>
    </cfRule>
  </conditionalFormatting>
  <conditionalFormatting sqref="C26:F26">
    <cfRule type="expression" dxfId="2" priority="10">
      <formula>H26&gt;0</formula>
    </cfRule>
  </conditionalFormatting>
  <conditionalFormatting sqref="C27:F27">
    <cfRule type="expression" dxfId="2" priority="11">
      <formula>H27&gt;0</formula>
    </cfRule>
  </conditionalFormatting>
  <conditionalFormatting sqref="C28:F28">
    <cfRule type="expression" dxfId="2" priority="12">
      <formula>H28&gt;0</formula>
    </cfRule>
  </conditionalFormatting>
  <conditionalFormatting sqref="C29:F29">
    <cfRule type="expression" dxfId="2" priority="13">
      <formula>H29&gt;0</formula>
    </cfRule>
  </conditionalFormatting>
  <conditionalFormatting sqref="C30:F30">
    <cfRule type="expression" dxfId="2" priority="14">
      <formula>H30&gt;0</formula>
    </cfRule>
  </conditionalFormatting>
  <conditionalFormatting sqref="C31:F31">
    <cfRule type="expression" dxfId="2" priority="15">
      <formula>H31&gt;0</formula>
    </cfRule>
  </conditionalFormatting>
  <conditionalFormatting sqref="C32:F32">
    <cfRule type="expression" dxfId="2" priority="16">
      <formula>H32&gt;0</formula>
    </cfRule>
  </conditionalFormatting>
  <conditionalFormatting sqref="C33:F33">
    <cfRule type="expression" dxfId="2" priority="17">
      <formula>H33&gt;0</formula>
    </cfRule>
  </conditionalFormatting>
  <conditionalFormatting sqref="C34:F34">
    <cfRule type="expression" dxfId="2" priority="18">
      <formula>H34&gt;0</formula>
    </cfRule>
  </conditionalFormatting>
  <conditionalFormatting sqref="C35:F35">
    <cfRule type="expression" dxfId="2" priority="19">
      <formula>H35&gt;0</formula>
    </cfRule>
  </conditionalFormatting>
  <conditionalFormatting sqref="C36:F36">
    <cfRule type="expression" dxfId="2" priority="20">
      <formula>H36&gt;0</formula>
    </cfRule>
  </conditionalFormatting>
  <conditionalFormatting sqref="M19:P19">
    <cfRule type="expression" dxfId="2" priority="21">
      <formula>R19&gt;0</formula>
    </cfRule>
  </conditionalFormatting>
  <conditionalFormatting sqref="M20:P20">
    <cfRule type="expression" dxfId="2" priority="22">
      <formula>R20&gt;0</formula>
    </cfRule>
  </conditionalFormatting>
  <conditionalFormatting sqref="M21:P21">
    <cfRule type="expression" dxfId="2" priority="23">
      <formula>R21&gt;0</formula>
    </cfRule>
  </conditionalFormatting>
  <conditionalFormatting sqref="M22:P22">
    <cfRule type="expression" dxfId="2" priority="24">
      <formula>R22&gt;0</formula>
    </cfRule>
  </conditionalFormatting>
  <conditionalFormatting sqref="M23:P23">
    <cfRule type="expression" dxfId="2" priority="25">
      <formula>R23&gt;0</formula>
    </cfRule>
  </conditionalFormatting>
  <conditionalFormatting sqref="M24:P24">
    <cfRule type="expression" dxfId="2" priority="26">
      <formula>R24&gt;0</formula>
    </cfRule>
  </conditionalFormatting>
  <conditionalFormatting sqref="M25:P25">
    <cfRule type="expression" dxfId="2" priority="27">
      <formula>R25&gt;0</formula>
    </cfRule>
  </conditionalFormatting>
  <conditionalFormatting sqref="M26:P26">
    <cfRule type="expression" dxfId="2" priority="28">
      <formula>R26&gt;0</formula>
    </cfRule>
  </conditionalFormatting>
  <conditionalFormatting sqref="M27:P27">
    <cfRule type="expression" dxfId="2" priority="29">
      <formula>R27&gt;0</formula>
    </cfRule>
  </conditionalFormatting>
  <conditionalFormatting sqref="M28:P28">
    <cfRule type="expression" dxfId="2" priority="30">
      <formula>R28&gt;0</formula>
    </cfRule>
  </conditionalFormatting>
  <conditionalFormatting sqref="M29:P29">
    <cfRule type="expression" dxfId="2" priority="31">
      <formula>R29&gt;0</formula>
    </cfRule>
  </conditionalFormatting>
  <conditionalFormatting sqref="M30:P30">
    <cfRule type="expression" dxfId="2" priority="32">
      <formula>R30&gt;0</formula>
    </cfRule>
  </conditionalFormatting>
  <conditionalFormatting sqref="M31:P31">
    <cfRule type="expression" dxfId="2" priority="33">
      <formula>R31&gt;0</formula>
    </cfRule>
  </conditionalFormatting>
  <conditionalFormatting sqref="M32:P32">
    <cfRule type="expression" dxfId="2" priority="34">
      <formula>R32&gt;0</formula>
    </cfRule>
  </conditionalFormatting>
  <conditionalFormatting sqref="M33:P33">
    <cfRule type="expression" dxfId="2" priority="35">
      <formula>R33&gt;0</formula>
    </cfRule>
  </conditionalFormatting>
  <conditionalFormatting sqref="M34:P34">
    <cfRule type="expression" dxfId="2" priority="36">
      <formula>R34&gt;0</formula>
    </cfRule>
  </conditionalFormatting>
  <conditionalFormatting sqref="M35:P35">
    <cfRule type="expression" dxfId="2" priority="37">
      <formula>R35&gt;0</formula>
    </cfRule>
  </conditionalFormatting>
  <conditionalFormatting sqref="M36:P36">
    <cfRule type="expression" dxfId="2" priority="38">
      <formula>R36&gt;0</formula>
    </cfRule>
  </conditionalFormatting>
  <conditionalFormatting sqref="W19:Z19">
    <cfRule type="expression" dxfId="2" priority="39">
      <formula>AB19&gt;0</formula>
    </cfRule>
  </conditionalFormatting>
  <conditionalFormatting sqref="W20:Z20">
    <cfRule type="expression" dxfId="2" priority="40">
      <formula>AB20&gt;0</formula>
    </cfRule>
  </conditionalFormatting>
  <conditionalFormatting sqref="W21:Z21">
    <cfRule type="expression" dxfId="2" priority="41">
      <formula>AB21&gt;0</formula>
    </cfRule>
  </conditionalFormatting>
  <conditionalFormatting sqref="W22:Z22">
    <cfRule type="expression" dxfId="2" priority="42">
      <formula>AB22&gt;0</formula>
    </cfRule>
  </conditionalFormatting>
  <conditionalFormatting sqref="W23:Z23">
    <cfRule type="expression" dxfId="2" priority="43">
      <formula>AB23&gt;0</formula>
    </cfRule>
  </conditionalFormatting>
  <conditionalFormatting sqref="W24:Z24">
    <cfRule type="expression" dxfId="2" priority="44">
      <formula>AB24&gt;0</formula>
    </cfRule>
  </conditionalFormatting>
  <conditionalFormatting sqref="W25:Z25">
    <cfRule type="expression" dxfId="2" priority="45">
      <formula>AB25&gt;0</formula>
    </cfRule>
  </conditionalFormatting>
  <conditionalFormatting sqref="W26:Z26">
    <cfRule type="expression" dxfId="2" priority="46">
      <formula>AB26&gt;0</formula>
    </cfRule>
  </conditionalFormatting>
  <conditionalFormatting sqref="W27:Z27">
    <cfRule type="expression" dxfId="2" priority="47">
      <formula>AB27&gt;0</formula>
    </cfRule>
  </conditionalFormatting>
  <conditionalFormatting sqref="W28:Z28">
    <cfRule type="expression" dxfId="2" priority="48">
      <formula>AB28&gt;0</formula>
    </cfRule>
  </conditionalFormatting>
  <conditionalFormatting sqref="W29:Z29">
    <cfRule type="expression" dxfId="2" priority="49">
      <formula>AB29&gt;0</formula>
    </cfRule>
  </conditionalFormatting>
  <conditionalFormatting sqref="W30:Z30">
    <cfRule type="expression" dxfId="2" priority="50">
      <formula>AB30&gt;0</formula>
    </cfRule>
  </conditionalFormatting>
  <conditionalFormatting sqref="W31:Z31">
    <cfRule type="expression" dxfId="2" priority="51">
      <formula>AB31&gt;0</formula>
    </cfRule>
  </conditionalFormatting>
  <conditionalFormatting sqref="W32:Z32">
    <cfRule type="expression" dxfId="2" priority="52">
      <formula>AB32&gt;0</formula>
    </cfRule>
  </conditionalFormatting>
  <conditionalFormatting sqref="W33:Z33">
    <cfRule type="expression" dxfId="2" priority="53">
      <formula>AB33&gt;0</formula>
    </cfRule>
  </conditionalFormatting>
  <conditionalFormatting sqref="W34:Z34">
    <cfRule type="expression" dxfId="2" priority="54">
      <formula>AB34&gt;0</formula>
    </cfRule>
  </conditionalFormatting>
  <conditionalFormatting sqref="W35:Z35">
    <cfRule type="expression" dxfId="2" priority="55">
      <formula>AB35&gt;0</formula>
    </cfRule>
  </conditionalFormatting>
  <conditionalFormatting sqref="W36:Z36">
    <cfRule type="expression" dxfId="2" priority="56">
      <formula>AB36&gt;0</formula>
    </cfRule>
  </conditionalFormatting>
  <conditionalFormatting sqref="AG19:AJ19">
    <cfRule type="expression" dxfId="2" priority="57">
      <formula>AL19&gt;0</formula>
    </cfRule>
  </conditionalFormatting>
  <conditionalFormatting sqref="AG20:AJ20">
    <cfRule type="expression" dxfId="2" priority="58">
      <formula>AL20&gt;0</formula>
    </cfRule>
  </conditionalFormatting>
  <conditionalFormatting sqref="AG21:AJ21">
    <cfRule type="expression" dxfId="2" priority="59">
      <formula>AL21&gt;0</formula>
    </cfRule>
  </conditionalFormatting>
  <conditionalFormatting sqref="AG22:AJ22">
    <cfRule type="expression" dxfId="2" priority="60">
      <formula>AL22&gt;0</formula>
    </cfRule>
  </conditionalFormatting>
  <conditionalFormatting sqref="AG23:AJ23">
    <cfRule type="expression" dxfId="2" priority="61">
      <formula>AL23&gt;0</formula>
    </cfRule>
  </conditionalFormatting>
  <conditionalFormatting sqref="AG24:AJ24">
    <cfRule type="expression" dxfId="2" priority="62">
      <formula>AL24&gt;0</formula>
    </cfRule>
  </conditionalFormatting>
  <conditionalFormatting sqref="AG25:AJ25">
    <cfRule type="expression" dxfId="2" priority="63">
      <formula>AL25&gt;0</formula>
    </cfRule>
  </conditionalFormatting>
  <conditionalFormatting sqref="AG26:AJ26">
    <cfRule type="expression" dxfId="2" priority="64">
      <formula>AL26&gt;0</formula>
    </cfRule>
  </conditionalFormatting>
  <conditionalFormatting sqref="AG27:AJ27">
    <cfRule type="expression" dxfId="2" priority="65">
      <formula>AL27&gt;0</formula>
    </cfRule>
  </conditionalFormatting>
  <conditionalFormatting sqref="AG28:AJ28">
    <cfRule type="expression" dxfId="2" priority="66">
      <formula>AL28&gt;0</formula>
    </cfRule>
  </conditionalFormatting>
  <conditionalFormatting sqref="AG29:AJ29">
    <cfRule type="expression" dxfId="2" priority="67">
      <formula>AL29&gt;0</formula>
    </cfRule>
  </conditionalFormatting>
  <conditionalFormatting sqref="AG30:AJ30">
    <cfRule type="expression" dxfId="2" priority="68">
      <formula>AL30&gt;0</formula>
    </cfRule>
  </conditionalFormatting>
  <conditionalFormatting sqref="AG31:AJ31">
    <cfRule type="expression" dxfId="2" priority="69">
      <formula>AL31&gt;0</formula>
    </cfRule>
  </conditionalFormatting>
  <conditionalFormatting sqref="AG32:AJ32">
    <cfRule type="expression" dxfId="2" priority="70">
      <formula>AL32&gt;0</formula>
    </cfRule>
  </conditionalFormatting>
  <conditionalFormatting sqref="AG33:AJ33">
    <cfRule type="expression" dxfId="2" priority="71">
      <formula>AL33&gt;0</formula>
    </cfRule>
  </conditionalFormatting>
  <conditionalFormatting sqref="AG34:AJ34">
    <cfRule type="expression" dxfId="2" priority="72">
      <formula>AL34&gt;0</formula>
    </cfRule>
  </conditionalFormatting>
  <conditionalFormatting sqref="AG35:AJ35">
    <cfRule type="expression" dxfId="2" priority="73">
      <formula>AL35&gt;0</formula>
    </cfRule>
  </conditionalFormatting>
  <conditionalFormatting sqref="AG36:AJ36">
    <cfRule type="expression" dxfId="2" priority="74">
      <formula>AL36&gt;0</formula>
    </cfRule>
  </conditionalFormatting>
  <dataValidations>
    <dataValidation type="list" allowBlank="1" sqref="U49 AO49 BB49 BB51 AO52 R64">
      <formula1>"1,2,3,4,5,6,7,8,9,10"</formula1>
    </dataValidation>
    <dataValidation type="list" allowBlank="1" sqref="AU33 BA33 AU35 BA35 B19:B36 L19:L36 V19:V36 AF19:AF36">
      <formula1>"✖,✔"</formula1>
    </dataValidation>
    <dataValidation type="list" allowBlank="1" sqref="E12">
      <formula1>"간호사,갱 보스,건달,건 몰,건축가,경관,고고학자,곡예사,골동품상,골동품 연구가,과학자,광부,광신자,교수,교주,기술자,기자,깡패,노조 활동가,농부,단독 범죄자,대학생,도둑,도박사,등반가,디자이너,디프로그래머,딜레탕트,떠돌이,리포터,매춘부,맹수사냥꾼,미술가,밀수꾼,밀주업자,바텐더,박물관 큐레이터,배우,벌목꾼,법의학자,변호사,병사,병원 보조원,복서/레슬러,부랑자,부족민,부하 조직원,비서,비행사,사기꾼,사립탐정,사무원,사서,사육사,사진가,사진기자,서적상,선교"&amp;"사,선원,선출직 공무원,성직자,소방관,수병,스턴트맨,스턴트우먼,스파이,신비학자,신사/숙녀,심령학자,심리학자,약사,엔지니어,연구실 조수,연구자,연방 요원,연예인,연주자,외신 기자,운동선수,운전사,웨이터,웨이트리스,위조업자,은행강도,의사,인턴,자객,자연 애호가,작가,잠수부,장교,장물아비,장의사,장인,전속 기사,점장,정신감정사,정신과 의사,정신병원 직원,정신분석가,조련사,조종사,중상급 관리자,집사,카우걸/카우보이,컴퓨터 테크니션,탐광인,탐험가,택시 운전사,판"&amp;"매원,판사,편집자,폭력배,프로그래머,하녀,하인,해커,현상금 사냥꾼,형사,회계사,회사 탐정,기타"</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55" width="2.5"/>
  </cols>
  <sheetData>
    <row r="1" ht="11.25" customHeight="1">
      <c r="A1" s="560">
        <v>35.0</v>
      </c>
      <c r="B1" s="2"/>
      <c r="C1" s="2"/>
      <c r="D1" s="2"/>
      <c r="E1" s="2"/>
      <c r="F1" s="2"/>
      <c r="G1" s="2"/>
      <c r="H1" s="2"/>
      <c r="I1" s="2"/>
      <c r="J1" s="2"/>
      <c r="K1" s="2"/>
      <c r="L1" s="2"/>
      <c r="M1" s="2"/>
      <c r="N1" s="2"/>
      <c r="O1" s="2"/>
      <c r="P1" s="2"/>
      <c r="Q1" s="2"/>
      <c r="R1" s="2"/>
      <c r="S1" s="2"/>
      <c r="T1" s="2"/>
      <c r="U1" s="2"/>
      <c r="V1" s="2"/>
      <c r="W1" s="2"/>
      <c r="X1" s="2"/>
      <c r="Y1" s="2"/>
      <c r="Z1" s="2"/>
      <c r="AA1" s="2"/>
      <c r="AB1" s="2"/>
      <c r="AC1" s="3"/>
      <c r="AD1" s="3"/>
      <c r="AE1" s="3"/>
      <c r="AF1" s="3"/>
      <c r="AG1" s="3"/>
      <c r="AH1" s="3"/>
      <c r="AI1" s="3"/>
      <c r="AJ1" s="3"/>
      <c r="AK1" s="3"/>
      <c r="AL1" s="3"/>
      <c r="AM1" s="3"/>
      <c r="AN1" s="3"/>
      <c r="AO1" s="3"/>
      <c r="AP1" s="3"/>
      <c r="AQ1" s="3"/>
      <c r="AR1" s="3"/>
      <c r="AS1" s="3"/>
      <c r="AT1" s="3"/>
      <c r="AU1" s="3"/>
      <c r="AV1" s="3"/>
      <c r="AW1" s="3"/>
      <c r="AX1" s="3"/>
      <c r="AY1" s="3"/>
      <c r="AZ1" s="3"/>
      <c r="BA1" s="3"/>
      <c r="BB1" s="3"/>
      <c r="BC1" s="561"/>
    </row>
    <row r="2" ht="9.0" customHeight="1">
      <c r="A2" s="562"/>
      <c r="B2" s="563" t="s">
        <v>0</v>
      </c>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64" t="s">
        <v>1</v>
      </c>
      <c r="AU2" s="5"/>
      <c r="AV2" s="7"/>
      <c r="AW2" s="564" t="s">
        <v>2</v>
      </c>
      <c r="AX2" s="5"/>
      <c r="AY2" s="7"/>
      <c r="AZ2" s="564" t="s">
        <v>3</v>
      </c>
      <c r="BA2" s="5"/>
      <c r="BB2" s="7"/>
      <c r="BC2" s="561"/>
    </row>
    <row r="3" ht="9.0" customHeight="1">
      <c r="A3" s="565"/>
      <c r="B3" s="9"/>
      <c r="AT3" s="10"/>
      <c r="AU3" s="11"/>
      <c r="AV3" s="12"/>
      <c r="AW3" s="10"/>
      <c r="AX3" s="11"/>
      <c r="AY3" s="12"/>
      <c r="AZ3" s="10"/>
      <c r="BA3" s="11"/>
      <c r="BB3" s="12"/>
      <c r="BC3" s="561"/>
    </row>
    <row r="4" ht="9.0" customHeight="1">
      <c r="A4" s="565"/>
      <c r="B4" s="9"/>
      <c r="AT4" s="13"/>
      <c r="AU4" s="5"/>
      <c r="AV4" s="7"/>
      <c r="AW4" s="564" t="s">
        <v>4</v>
      </c>
      <c r="AX4" s="5"/>
      <c r="AY4" s="7"/>
      <c r="AZ4" s="566" t="s">
        <v>5</v>
      </c>
      <c r="BA4" s="5"/>
      <c r="BB4" s="7"/>
      <c r="BC4" s="561"/>
    </row>
    <row r="5" ht="9.0" customHeight="1">
      <c r="A5" s="565"/>
      <c r="B5" s="9"/>
      <c r="AT5" s="9"/>
      <c r="AV5" s="15"/>
      <c r="AW5" s="9"/>
      <c r="AY5" s="15"/>
      <c r="AZ5" s="9"/>
      <c r="BB5" s="15"/>
      <c r="BC5" s="561"/>
    </row>
    <row r="6" ht="9.0" customHeight="1">
      <c r="A6" s="562"/>
      <c r="B6" s="9"/>
      <c r="AT6" s="10"/>
      <c r="AU6" s="11"/>
      <c r="AV6" s="12"/>
      <c r="AW6" s="10"/>
      <c r="AX6" s="11"/>
      <c r="AY6" s="12"/>
      <c r="AZ6" s="10"/>
      <c r="BA6" s="11"/>
      <c r="BB6" s="12"/>
      <c r="BC6" s="562"/>
    </row>
    <row r="7" ht="13.5" customHeight="1">
      <c r="A7" s="567"/>
      <c r="B7" s="17"/>
      <c r="C7" s="17"/>
      <c r="D7" s="17"/>
      <c r="E7" s="17"/>
      <c r="F7" s="17"/>
      <c r="G7" s="17"/>
      <c r="H7" s="17"/>
      <c r="I7" s="17"/>
      <c r="J7" s="17"/>
      <c r="K7" s="17"/>
      <c r="L7" s="17"/>
      <c r="M7" s="17"/>
      <c r="N7" s="17"/>
      <c r="O7" s="18"/>
      <c r="P7" s="18"/>
      <c r="Q7" s="19"/>
      <c r="R7" s="18"/>
      <c r="S7" s="18"/>
      <c r="T7" s="18"/>
      <c r="U7" s="18"/>
      <c r="V7" s="18"/>
      <c r="W7" s="18"/>
      <c r="X7" s="18"/>
      <c r="Y7" s="18"/>
      <c r="Z7" s="18"/>
      <c r="AA7" s="18"/>
      <c r="AB7" s="18"/>
      <c r="AC7" s="18"/>
      <c r="AD7" s="18"/>
      <c r="AE7" s="18"/>
      <c r="AF7" s="18"/>
      <c r="AG7" s="18"/>
      <c r="AH7" s="18"/>
      <c r="AI7" s="18"/>
      <c r="AJ7" s="18"/>
      <c r="AK7" s="18"/>
      <c r="AL7" s="18"/>
      <c r="AM7" s="18"/>
      <c r="AN7" s="18"/>
      <c r="AO7" s="18"/>
      <c r="AP7" s="20"/>
      <c r="AQ7" s="17"/>
      <c r="AR7" s="17"/>
      <c r="AS7" s="17"/>
      <c r="AT7" s="17"/>
      <c r="AU7" s="17"/>
      <c r="AV7" s="17"/>
      <c r="AW7" s="17"/>
      <c r="AX7" s="17"/>
      <c r="AY7" s="17"/>
      <c r="AZ7" s="17"/>
      <c r="BA7" s="17"/>
      <c r="BB7" s="17"/>
      <c r="BC7" s="568"/>
    </row>
    <row r="8" ht="13.5" customHeight="1">
      <c r="A8" s="569"/>
      <c r="B8" s="570" t="s">
        <v>6</v>
      </c>
      <c r="C8" s="24"/>
      <c r="D8" s="24"/>
      <c r="E8" s="24"/>
      <c r="F8" s="24"/>
      <c r="G8" s="24"/>
      <c r="H8" s="24"/>
      <c r="I8" s="24"/>
      <c r="J8" s="24"/>
      <c r="K8" s="24"/>
      <c r="L8" s="24"/>
      <c r="M8" s="24"/>
      <c r="N8" s="24"/>
      <c r="O8" s="24"/>
      <c r="P8" s="25"/>
      <c r="Q8" s="26"/>
      <c r="R8" s="571" t="s">
        <v>7</v>
      </c>
      <c r="S8" s="24"/>
      <c r="T8" s="24"/>
      <c r="U8" s="24"/>
      <c r="V8" s="24"/>
      <c r="W8" s="24"/>
      <c r="X8" s="24"/>
      <c r="Y8" s="24"/>
      <c r="Z8" s="24"/>
      <c r="AA8" s="24"/>
      <c r="AB8" s="24"/>
      <c r="AC8" s="24"/>
      <c r="AD8" s="24"/>
      <c r="AE8" s="24"/>
      <c r="AF8" s="24"/>
      <c r="AG8" s="24"/>
      <c r="AH8" s="24"/>
      <c r="AI8" s="24"/>
      <c r="AJ8" s="24"/>
      <c r="AK8" s="24"/>
      <c r="AL8" s="24"/>
      <c r="AM8" s="24"/>
      <c r="AN8" s="24"/>
      <c r="AO8" s="25"/>
      <c r="AP8" s="27"/>
      <c r="AQ8" s="572" t="s">
        <v>172</v>
      </c>
      <c r="AR8" s="24"/>
      <c r="AS8" s="24"/>
      <c r="AT8" s="24"/>
      <c r="AU8" s="24"/>
      <c r="AV8" s="24"/>
      <c r="AW8" s="24"/>
      <c r="AX8" s="24"/>
      <c r="AY8" s="24"/>
      <c r="AZ8" s="24"/>
      <c r="BA8" s="24"/>
      <c r="BB8" s="25"/>
      <c r="BC8" s="573"/>
    </row>
    <row r="9" ht="13.5" customHeight="1">
      <c r="A9" s="574"/>
      <c r="B9" s="30"/>
      <c r="C9" s="31"/>
      <c r="D9" s="31"/>
      <c r="E9" s="31"/>
      <c r="F9" s="31"/>
      <c r="G9" s="31"/>
      <c r="H9" s="31"/>
      <c r="I9" s="31"/>
      <c r="J9" s="31"/>
      <c r="K9" s="31"/>
      <c r="L9" s="31"/>
      <c r="M9" s="31"/>
      <c r="N9" s="31"/>
      <c r="O9" s="31"/>
      <c r="P9" s="32"/>
      <c r="Q9" s="26"/>
      <c r="R9" s="30"/>
      <c r="S9" s="31"/>
      <c r="T9" s="31"/>
      <c r="U9" s="31"/>
      <c r="V9" s="31"/>
      <c r="W9" s="31"/>
      <c r="X9" s="31"/>
      <c r="Y9" s="31"/>
      <c r="Z9" s="31"/>
      <c r="AA9" s="31"/>
      <c r="AB9" s="31"/>
      <c r="AC9" s="31"/>
      <c r="AD9" s="31"/>
      <c r="AE9" s="31"/>
      <c r="AF9" s="31"/>
      <c r="AG9" s="31"/>
      <c r="AH9" s="31"/>
      <c r="AI9" s="31"/>
      <c r="AJ9" s="31"/>
      <c r="AK9" s="31"/>
      <c r="AL9" s="31"/>
      <c r="AM9" s="31"/>
      <c r="AN9" s="31"/>
      <c r="AO9" s="32"/>
      <c r="AP9" s="27"/>
      <c r="AQ9" s="30"/>
      <c r="AR9" s="31"/>
      <c r="AS9" s="31"/>
      <c r="AT9" s="31"/>
      <c r="AU9" s="31"/>
      <c r="AV9" s="31"/>
      <c r="AW9" s="31"/>
      <c r="AX9" s="31"/>
      <c r="AY9" s="31"/>
      <c r="AZ9" s="31"/>
      <c r="BA9" s="31"/>
      <c r="BB9" s="32"/>
      <c r="BC9" s="573"/>
    </row>
    <row r="10" ht="13.5" customHeight="1">
      <c r="A10" s="569"/>
      <c r="B10" s="575" t="s">
        <v>9</v>
      </c>
      <c r="C10" s="34"/>
      <c r="D10" s="35"/>
      <c r="E10" s="576"/>
      <c r="F10" s="34"/>
      <c r="G10" s="34"/>
      <c r="H10" s="34"/>
      <c r="I10" s="34"/>
      <c r="J10" s="34"/>
      <c r="K10" s="34"/>
      <c r="L10" s="34"/>
      <c r="M10" s="34"/>
      <c r="N10" s="34"/>
      <c r="O10" s="34"/>
      <c r="P10" s="35"/>
      <c r="Q10" s="26"/>
      <c r="R10" s="577" t="s">
        <v>10</v>
      </c>
      <c r="S10" s="24"/>
      <c r="T10" s="24"/>
      <c r="U10" s="25"/>
      <c r="V10" s="578"/>
      <c r="W10" s="25"/>
      <c r="X10" s="579">
        <f>Int(DIVIDE(V10,2))</f>
        <v>0</v>
      </c>
      <c r="Y10" s="35"/>
      <c r="Z10" s="580" t="s">
        <v>11</v>
      </c>
      <c r="AA10" s="24"/>
      <c r="AB10" s="24"/>
      <c r="AC10" s="25"/>
      <c r="AD10" s="578"/>
      <c r="AE10" s="25"/>
      <c r="AF10" s="579">
        <f>Int(DIVIDE(AD10,2))</f>
        <v>0</v>
      </c>
      <c r="AG10" s="35"/>
      <c r="AH10" s="580" t="s">
        <v>12</v>
      </c>
      <c r="AI10" s="24"/>
      <c r="AJ10" s="24"/>
      <c r="AK10" s="25"/>
      <c r="AL10" s="578"/>
      <c r="AM10" s="25"/>
      <c r="AN10" s="579">
        <f>Int(DIVIDE(AL10,2))</f>
        <v>0</v>
      </c>
      <c r="AO10" s="35"/>
      <c r="AP10" s="28"/>
      <c r="AQ10" s="290"/>
      <c r="BB10" s="15"/>
      <c r="BC10" s="561"/>
    </row>
    <row r="11" ht="13.5" customHeight="1">
      <c r="A11" s="569"/>
      <c r="B11" s="575" t="s">
        <v>13</v>
      </c>
      <c r="C11" s="34"/>
      <c r="D11" s="35"/>
      <c r="E11" s="581"/>
      <c r="F11" s="34"/>
      <c r="G11" s="34"/>
      <c r="H11" s="34"/>
      <c r="I11" s="34"/>
      <c r="J11" s="34"/>
      <c r="K11" s="34"/>
      <c r="L11" s="34"/>
      <c r="M11" s="34"/>
      <c r="N11" s="34"/>
      <c r="O11" s="34"/>
      <c r="P11" s="35"/>
      <c r="Q11" s="26"/>
      <c r="R11" s="30"/>
      <c r="S11" s="31"/>
      <c r="T11" s="31"/>
      <c r="U11" s="32"/>
      <c r="V11" s="30"/>
      <c r="W11" s="32"/>
      <c r="X11" s="582">
        <f>int(DIVIDE(V10,5))</f>
        <v>0</v>
      </c>
      <c r="Y11" s="35"/>
      <c r="Z11" s="30"/>
      <c r="AA11" s="31"/>
      <c r="AB11" s="31"/>
      <c r="AC11" s="32"/>
      <c r="AD11" s="30"/>
      <c r="AE11" s="32"/>
      <c r="AF11" s="582">
        <f>int(DIVIDE(AD10,5))</f>
        <v>0</v>
      </c>
      <c r="AG11" s="35"/>
      <c r="AH11" s="30"/>
      <c r="AI11" s="31"/>
      <c r="AJ11" s="31"/>
      <c r="AK11" s="32"/>
      <c r="AL11" s="30"/>
      <c r="AM11" s="32"/>
      <c r="AN11" s="582">
        <f>int(DIVIDE(AL10,5))</f>
        <v>0</v>
      </c>
      <c r="AO11" s="35"/>
      <c r="AP11" s="28"/>
      <c r="AQ11" s="9"/>
      <c r="BB11" s="15"/>
      <c r="BC11" s="562"/>
    </row>
    <row r="12" ht="13.5" customHeight="1">
      <c r="A12" s="569"/>
      <c r="B12" s="583" t="s">
        <v>14</v>
      </c>
      <c r="C12" s="34"/>
      <c r="D12" s="35"/>
      <c r="E12" s="584" t="s">
        <v>164</v>
      </c>
      <c r="J12" s="585" t="s">
        <v>16</v>
      </c>
      <c r="K12" s="35"/>
      <c r="L12" s="576"/>
      <c r="M12" s="34"/>
      <c r="N12" s="34"/>
      <c r="O12" s="34"/>
      <c r="P12" s="35"/>
      <c r="Q12" s="26"/>
      <c r="R12" s="577" t="s">
        <v>17</v>
      </c>
      <c r="S12" s="24"/>
      <c r="T12" s="24"/>
      <c r="U12" s="25"/>
      <c r="V12" s="578"/>
      <c r="W12" s="25"/>
      <c r="X12" s="579">
        <f>Int(DIVIDE(V12,2))</f>
        <v>0</v>
      </c>
      <c r="Y12" s="35"/>
      <c r="Z12" s="577" t="s">
        <v>18</v>
      </c>
      <c r="AA12" s="24"/>
      <c r="AB12" s="24"/>
      <c r="AC12" s="25"/>
      <c r="AD12" s="578"/>
      <c r="AE12" s="25"/>
      <c r="AF12" s="579">
        <f>Int(DIVIDE(AD12,2))</f>
        <v>0</v>
      </c>
      <c r="AG12" s="35"/>
      <c r="AH12" s="580" t="s">
        <v>19</v>
      </c>
      <c r="AI12" s="24"/>
      <c r="AJ12" s="24"/>
      <c r="AK12" s="25"/>
      <c r="AL12" s="578"/>
      <c r="AM12" s="25"/>
      <c r="AN12" s="579">
        <f>Int(DIVIDE(AL12,2))</f>
        <v>0</v>
      </c>
      <c r="AO12" s="35"/>
      <c r="AP12" s="28"/>
      <c r="AQ12" s="9"/>
      <c r="BB12" s="15"/>
      <c r="BC12" s="561"/>
    </row>
    <row r="13" ht="13.5" customHeight="1">
      <c r="A13" s="569"/>
      <c r="B13" s="575" t="s">
        <v>20</v>
      </c>
      <c r="C13" s="34"/>
      <c r="D13" s="35"/>
      <c r="E13" s="586"/>
      <c r="F13" s="34"/>
      <c r="G13" s="34"/>
      <c r="H13" s="34"/>
      <c r="I13" s="35"/>
      <c r="J13" s="587" t="s">
        <v>21</v>
      </c>
      <c r="K13" s="35"/>
      <c r="L13" s="576"/>
      <c r="M13" s="34"/>
      <c r="N13" s="34"/>
      <c r="O13" s="34"/>
      <c r="P13" s="35"/>
      <c r="Q13" s="26"/>
      <c r="R13" s="30"/>
      <c r="S13" s="31"/>
      <c r="T13" s="31"/>
      <c r="U13" s="32"/>
      <c r="V13" s="30"/>
      <c r="W13" s="32"/>
      <c r="X13" s="582">
        <f>int(DIVIDE(V12,5))</f>
        <v>0</v>
      </c>
      <c r="Y13" s="35"/>
      <c r="Z13" s="30"/>
      <c r="AA13" s="31"/>
      <c r="AB13" s="31"/>
      <c r="AC13" s="32"/>
      <c r="AD13" s="30"/>
      <c r="AE13" s="32"/>
      <c r="AF13" s="582">
        <f>int(DIVIDE(AD12,5))</f>
        <v>0</v>
      </c>
      <c r="AG13" s="35"/>
      <c r="AH13" s="30"/>
      <c r="AI13" s="31"/>
      <c r="AJ13" s="31"/>
      <c r="AK13" s="32"/>
      <c r="AL13" s="30"/>
      <c r="AM13" s="32"/>
      <c r="AN13" s="582">
        <f>int(DIVIDE(AL12,5))</f>
        <v>0</v>
      </c>
      <c r="AO13" s="35"/>
      <c r="AP13" s="28"/>
      <c r="AQ13" s="9"/>
      <c r="BB13" s="15"/>
      <c r="BC13" s="561"/>
    </row>
    <row r="14" ht="13.5" customHeight="1">
      <c r="A14" s="569"/>
      <c r="B14" s="575" t="s">
        <v>22</v>
      </c>
      <c r="C14" s="34"/>
      <c r="D14" s="35"/>
      <c r="E14" s="586"/>
      <c r="F14" s="34"/>
      <c r="G14" s="34"/>
      <c r="H14" s="34"/>
      <c r="I14" s="35"/>
      <c r="J14" s="587" t="s">
        <v>23</v>
      </c>
      <c r="K14" s="35"/>
      <c r="L14" s="576"/>
      <c r="M14" s="34"/>
      <c r="N14" s="34"/>
      <c r="O14" s="34"/>
      <c r="P14" s="35"/>
      <c r="Q14" s="26"/>
      <c r="R14" s="577" t="s">
        <v>24</v>
      </c>
      <c r="S14" s="24"/>
      <c r="T14" s="24"/>
      <c r="U14" s="25"/>
      <c r="V14" s="578"/>
      <c r="W14" s="25"/>
      <c r="X14" s="579">
        <f>Int(DIVIDE(V14,2))</f>
        <v>0</v>
      </c>
      <c r="Y14" s="35"/>
      <c r="Z14" s="580" t="s">
        <v>25</v>
      </c>
      <c r="AA14" s="24"/>
      <c r="AB14" s="24"/>
      <c r="AC14" s="25"/>
      <c r="AD14" s="578"/>
      <c r="AE14" s="25"/>
      <c r="AF14" s="579">
        <f>Int(DIVIDE(AD14,2))</f>
        <v>0</v>
      </c>
      <c r="AG14" s="35"/>
      <c r="AH14" s="577" t="s">
        <v>26</v>
      </c>
      <c r="AI14" s="24"/>
      <c r="AJ14" s="24"/>
      <c r="AK14" s="25"/>
      <c r="AL14" s="578"/>
      <c r="AM14" s="25"/>
      <c r="AN14" s="579">
        <f>Int(DIVIDE(AL14,2))</f>
        <v>0</v>
      </c>
      <c r="AO14" s="35"/>
      <c r="AP14" s="28"/>
      <c r="AQ14" s="9"/>
      <c r="BB14" s="15"/>
      <c r="BC14" s="561"/>
    </row>
    <row r="15" ht="13.5" customHeight="1">
      <c r="A15" s="569"/>
      <c r="B15" s="575" t="s">
        <v>27</v>
      </c>
      <c r="C15" s="34"/>
      <c r="D15" s="35"/>
      <c r="E15" s="586"/>
      <c r="F15" s="34"/>
      <c r="G15" s="34"/>
      <c r="H15" s="34"/>
      <c r="I15" s="35"/>
      <c r="J15" s="587" t="s">
        <v>28</v>
      </c>
      <c r="K15" s="35"/>
      <c r="L15" s="576"/>
      <c r="M15" s="34"/>
      <c r="N15" s="34"/>
      <c r="O15" s="34"/>
      <c r="P15" s="35"/>
      <c r="Q15" s="26"/>
      <c r="R15" s="30"/>
      <c r="S15" s="31"/>
      <c r="T15" s="31"/>
      <c r="U15" s="32"/>
      <c r="V15" s="30"/>
      <c r="W15" s="32"/>
      <c r="X15" s="582">
        <f>int(DIVIDE(V14,5))</f>
        <v>0</v>
      </c>
      <c r="Y15" s="35"/>
      <c r="Z15" s="30"/>
      <c r="AA15" s="31"/>
      <c r="AB15" s="31"/>
      <c r="AC15" s="32"/>
      <c r="AD15" s="30"/>
      <c r="AE15" s="32"/>
      <c r="AF15" s="582">
        <f>int(DIVIDE(AD14,5))</f>
        <v>0</v>
      </c>
      <c r="AG15" s="35"/>
      <c r="AH15" s="30"/>
      <c r="AI15" s="31"/>
      <c r="AJ15" s="31"/>
      <c r="AK15" s="32"/>
      <c r="AL15" s="30"/>
      <c r="AM15" s="32"/>
      <c r="AN15" s="582">
        <f>int(DIVIDE(AL14,5))</f>
        <v>0</v>
      </c>
      <c r="AO15" s="35"/>
      <c r="AP15" s="28"/>
      <c r="AQ15" s="9"/>
      <c r="BB15" s="15"/>
      <c r="BC15" s="561"/>
    </row>
    <row r="16" ht="13.5" customHeight="1">
      <c r="A16" s="562"/>
      <c r="B16" s="51"/>
      <c r="C16" s="51"/>
      <c r="D16" s="51"/>
      <c r="E16" s="51"/>
      <c r="F16" s="51"/>
      <c r="G16" s="51"/>
      <c r="H16" s="51"/>
      <c r="I16" s="51"/>
      <c r="J16" s="51"/>
      <c r="K16" s="51"/>
      <c r="L16" s="51"/>
      <c r="M16" s="51"/>
      <c r="N16" s="51"/>
      <c r="O16" s="51"/>
      <c r="P16" s="51"/>
      <c r="Q16" s="52"/>
      <c r="R16" s="51"/>
      <c r="S16" s="51"/>
      <c r="T16" s="51"/>
      <c r="U16" s="51"/>
      <c r="V16" s="51"/>
      <c r="W16" s="51"/>
      <c r="X16" s="51"/>
      <c r="Y16" s="51"/>
      <c r="Z16" s="51"/>
      <c r="AA16" s="51"/>
      <c r="AB16" s="51"/>
      <c r="AC16" s="53"/>
      <c r="AD16" s="53"/>
      <c r="AE16" s="53"/>
      <c r="AF16" s="53"/>
      <c r="AG16" s="53"/>
      <c r="AH16" s="53"/>
      <c r="AI16" s="53"/>
      <c r="AJ16" s="53"/>
      <c r="AK16" s="53"/>
      <c r="AL16" s="53"/>
      <c r="AM16" s="53"/>
      <c r="AN16" s="53"/>
      <c r="AO16" s="53"/>
      <c r="AP16" s="3"/>
      <c r="AQ16" s="9"/>
      <c r="BB16" s="15"/>
      <c r="BC16" s="561"/>
    </row>
    <row r="17" ht="13.5" customHeight="1">
      <c r="A17" s="569"/>
      <c r="B17" s="588" t="s">
        <v>29</v>
      </c>
      <c r="C17" s="5"/>
      <c r="D17" s="5"/>
      <c r="E17" s="5"/>
      <c r="F17" s="5"/>
      <c r="G17" s="5"/>
      <c r="H17" s="5"/>
      <c r="I17" s="5"/>
      <c r="J17" s="5"/>
      <c r="K17" s="5"/>
      <c r="L17" s="5"/>
      <c r="M17" s="5"/>
      <c r="N17" s="55"/>
      <c r="O17" s="589" t="s">
        <v>30</v>
      </c>
      <c r="P17" s="5"/>
      <c r="Q17" s="5"/>
      <c r="R17" s="5"/>
      <c r="S17" s="5"/>
      <c r="T17" s="590">
        <f>IF(E12="간호사", AL12*4,
IF(E12="갱 보스", AL12*2+AD12*2,
IF(E12="건달", AL12*2+MAX(V10*2,AD10*2),
IF(E12="건 몰", AL12*2+AD12*2,
IF(E12="건축가", AL12*4,
IF(E12="경관", AL12*2+MAX(V10*2,AD10*2),
IF(E12="고고학자", AL12*4,
IF(E12="곡예사", AL12*2+AD10*2,
IF(E12="골동품상", AL12*4,
IF(E12="골동품 연구가", AL12*4,
IF(E12="과학자", AL12*4,
IF(E12="광부", AL12*2+MAX(V10*2,AD10*2),
IF(E12="광신자", AL12*2+MAX(AD12*2,AL10*2),
IF(E12="교수", AL12*4,
IF(E12="교주", AL12*2+AD12*2,
IF(E12="기술자", AL12*4,
IF(E12="기자", AL12*4,
IF(E12="깡패", AL12*2+V10*2,
IF(E12="노조 활동가", AL12*4,
IF(E12="농부", AL12*2+MAX(V10*2,AD10*2),
IF(E12="단독 범죄자", AL12*2+MAX(AD10*2,AD12*2),
IF(E12="대학생", AL12*4,
IF(E12="도둑", AL12*2+AD10*2,
IF(E12="도박사", AL12*2+MAX(AD10*2,AD12*2),
IF(E12="등반가", AL12*2+MAX(V10*2,AD10*2),
IF(E12="디자이너", AL12*4,
IF(E12="디프로그래머", AL12*4,
IF(E12="딜레탕트", AL12*2+AD12*2,
IF(E12="떠돌이", AL12*2+MAX(AD10*2,AD12*2),
IF(E12="리포터", AL12*4,
IF(E12="매춘부", AL12*2+AD12*2,
IF(E12="맹수사냥꾼", AL12*2+MAX(V10*2,AD10*2),
IF(E12="미술가", AL12*2+MAX(AD10*2,AL10*2),
IF(E12="밀수꾼", AL12*2+MAX(AD10*2,AD12*2),
IF(E12="밀주업자", AL12*2+V10*2,
IF(E12="바텐더", AL12*2+AD12*2,
IF(E12="박물관 큐레이터", AL12*4,
IF(E12="배우", AL12*2+AD12*2,
IF(E12="벌목꾼", AL12*2+MAX(V10*2,AD10*2),
IF(E12="법의학자", AL12*4,
IF(E12="변호사", AL12*4,
IF(E12="병사", AL12*2+MAX(V10*2,AD10*2),
IF(E12="병원 보조원", AL12*2+V10*2,
IF(E12="복서/레슬러", AL12*2+V10*2,
IF(E12="부랑자", AL12*2+MAX(AD12*2,V10*2,AD10*2),
IF(E12="부족민", AL12*2+MAX(V10*2,AD10*2),
IF(E12="부하 조직원", AL12*2+MAX(V10*2,AD10*2),
IF(E12="비서", AL12*2+MAX(AD10*2,AD12*2),
IF(E12="비숙련공", AL12*2+MAX(V10*2,AD10*2),
IF(E12="비행사", AL12*4,
IF(E12="사립탐정", AL12*2+MAX(V10*2,AD10*2),
IF(E12="사무원", AL12*4,
IF(E12="사서", AL12*4,
IF(E12="사육사", AL12*4,
IF(E12="사진가", AL12*4,
IF(E12="사진기자", AL12*4,
IF(E12="서적상", AL12*4,
IF(E12="선교사", AL12*2+AD12*2,
IF(E12="선원", AL12*2+MAX(V10*2,AD10*2),
IF(E12="선출직 공무원", AL12*2+AD12*2,
IF(E12="성직자", AL12*4,
IF(E12="소방관", AL12*2+MAX(V10*2,AD10*2),
IF(E12="수병", AL12*2+MAX(V10*2,AD10*2),
IF(E12="스턴트맨", AL12*2+MAX(V10*2,AD10*2),
IF(E12="스턴트우먼", AL12*2+MAX(V10*2,AD10*2),
IF(E12="스파이", AL12*2+MAX(AD10*2,AD12*2),
IF(E12="신비학자", AL12*4,
IF(E12="신사/숙녀", AL12*2+AD12*2,
IF(E12="심령학자", AL12*4,
IF(E12="심리학자", AL12*4,
IF(E12="약사", AL12*4,
IF(E12="엔지니어", AL12*4,
IF(E12="연구실 조수", AL12*4,
IF(E12="연구자", AL12*4,
IF(E12="연방 요원", AL12*4,
IF(E12="연예인", AL12*2+AD12*2,
IF(E12="연주자", AL12*2+MAX(AD10*2,AD12*2),
IF(E12="외신 기자", AL12*4,
IF(E12="운동선수", AL12*2+MAX(V10*2,AD10*2),
IF(E12="운전사", AL12*2+MAX(V10*2,AD10*2),
IF(E12="웨이터", AL12*2+MAX(AD10*2,AD12*2),
IF(E12="웨이트리스", AL12*2+MAX(AD10*2,AD12*2),
IF(E12="위조업자", AL12*4,
IF(E12="은행강도", AL12*2+MAX(V10*2,AD10*2),
IF(E12="의사", AL12*4,
IF(E12="인턴", AL12*4,
IF(E12="자객", AL12*2+MAX(V10*2,AD10*2),
IF(E12="자연 애호가", ,
IF(E12="작가", AL12*4,
IF(E12="잠수부", AL12*2+AD10*2,
IF(E12="장교", AL12*2+MAX(V10*2,AD10*2),
IF(E12="장물아비", AL12*2+AD12*2,
IF(E12="장의사", AL12*4,
IF(E12="장인", AL12*2+AD10*2,
IF(E12="전속 기사", AL12*2+AD10*2,
IF(E12="점장", AL12*2+MAX(AD10*2,AD12*2),
IF(E12="정신감정사", AL12*4,
IF(E12="정신과 의사", AL12*4,
IF(E12="정신병원 직원", AL12*2+MAX(V10*2,AD10*2),
IF(E12="정신분석가", AL12*4,
IF(E12="조련사", AL12*2+MAX(AD12*2,AL10*2),
IF(E12="조종사", AL12*2+AD10*2,
IF(E12="중상급 관리자", AL12*4,
IF(E12="집사", AL12*4,
IF(E12="카우걸/카우보이", AL12*2+MAX(V10*2,AD10*2),
IF(E12="컴퓨터 테크니션", AL12*4,
IF(E12="탐광인", AL12*2+MAX(V10*2,AD10*2),
IF(E12="탐험가", AL12*2+MAX(AD12*2,V10*2,AD10*2),
IF(E12="택시 운전사", AL12*2+AD10*2,
IF(E12="판매원", AL12*2+AD12*2,
IF(E12="판사", AL12*4,
IF(E12="편집자", AL12*4,
IF(E12="폭력배", AL12*2+V10*2,
IF(E12="프로그래머", AL12*4,
IF(E12="하녀", AL12*4,
IF(E12="하인", AL12*4,
IF(E12="해커", AL12*4,
IF(E12="현상금 사냥꾼", AL12*2+MAX(V10*2,AD10*2),
IF(E12="형사", AL12*2+MAX(V10*2,AD10*2),
IF(E12="회계사", AL12*4,
IF(E12="ETC", AL12*4,
IF(E12="회사 탐정", AL12*2+MAX(V10*2,AD10*2),"0"))))))))))))))))))))))))))))))))))))))))))))))))))))))))))))))))))))))))))))))))))))))))))))))))))))))))))))))))))))))))))</f>
        <v>0</v>
      </c>
      <c r="U17" s="5"/>
      <c r="V17" s="5"/>
      <c r="W17" s="7"/>
      <c r="X17" s="589" t="s">
        <v>31</v>
      </c>
      <c r="Y17" s="5"/>
      <c r="Z17" s="5"/>
      <c r="AA17" s="5"/>
      <c r="AB17" s="5"/>
      <c r="AC17" s="590">
        <f>(AD14*2)</f>
        <v>0</v>
      </c>
      <c r="AD17" s="5"/>
      <c r="AE17" s="5"/>
      <c r="AF17" s="5"/>
      <c r="AG17" s="7"/>
      <c r="AH17" s="589" t="s">
        <v>32</v>
      </c>
      <c r="AI17" s="5"/>
      <c r="AJ17" s="5"/>
      <c r="AK17" s="5"/>
      <c r="AL17" s="590">
        <f>(SUM(T17,AC17))-(SUM(H19:H36,R19:R36,AB19:AB36,AL19:AL36))+AY61+AB19</f>
        <v>0</v>
      </c>
      <c r="AM17" s="5"/>
      <c r="AN17" s="5"/>
      <c r="AO17" s="7"/>
      <c r="AP17" s="28"/>
      <c r="AQ17" s="9"/>
      <c r="BB17" s="15"/>
      <c r="BC17" s="561"/>
    </row>
    <row r="18" ht="13.5" customHeight="1">
      <c r="A18" s="569"/>
      <c r="B18" s="10"/>
      <c r="C18" s="11"/>
      <c r="D18" s="11"/>
      <c r="E18" s="11"/>
      <c r="F18" s="11"/>
      <c r="G18" s="11"/>
      <c r="H18" s="11"/>
      <c r="I18" s="11"/>
      <c r="J18" s="11"/>
      <c r="K18" s="11"/>
      <c r="L18" s="11"/>
      <c r="M18" s="11"/>
      <c r="N18" s="58"/>
      <c r="O18" s="10"/>
      <c r="P18" s="11"/>
      <c r="Q18" s="11"/>
      <c r="R18" s="11"/>
      <c r="S18" s="11"/>
      <c r="T18" s="59"/>
      <c r="U18" s="11"/>
      <c r="V18" s="11"/>
      <c r="W18" s="12"/>
      <c r="X18" s="10"/>
      <c r="Y18" s="11"/>
      <c r="Z18" s="11"/>
      <c r="AA18" s="11"/>
      <c r="AB18" s="11"/>
      <c r="AC18" s="59"/>
      <c r="AD18" s="11"/>
      <c r="AE18" s="11"/>
      <c r="AF18" s="11"/>
      <c r="AG18" s="12"/>
      <c r="AH18" s="10"/>
      <c r="AI18" s="11"/>
      <c r="AJ18" s="11"/>
      <c r="AK18" s="11"/>
      <c r="AL18" s="59"/>
      <c r="AM18" s="11"/>
      <c r="AN18" s="11"/>
      <c r="AO18" s="12"/>
      <c r="AP18" s="60"/>
      <c r="AQ18" s="9"/>
      <c r="BB18" s="15"/>
      <c r="BC18" s="561"/>
    </row>
    <row r="19" ht="16.5" customHeight="1">
      <c r="A19" s="569"/>
      <c r="B19" s="591" t="s">
        <v>33</v>
      </c>
      <c r="C19" s="592" t="s">
        <v>34</v>
      </c>
      <c r="D19" s="63"/>
      <c r="E19" s="63"/>
      <c r="F19" s="64"/>
      <c r="G19" s="593">
        <v>25.0</v>
      </c>
      <c r="H19" s="66"/>
      <c r="I19" s="594">
        <f t="shared" ref="I19:I36" si="1">SUM(G19,H19)</f>
        <v>25</v>
      </c>
      <c r="J19" s="595">
        <f>int(DIVIDE(I19,2))</f>
        <v>12</v>
      </c>
      <c r="K19" s="596">
        <f t="shared" ref="K19:K36" si="2">int(DIVIDE(I19,5))</f>
        <v>5</v>
      </c>
      <c r="L19" s="597" t="s">
        <v>33</v>
      </c>
      <c r="M19" s="598" t="s">
        <v>35</v>
      </c>
      <c r="N19" s="63"/>
      <c r="O19" s="63"/>
      <c r="P19" s="64"/>
      <c r="Q19" s="593">
        <v>0.0</v>
      </c>
      <c r="R19" s="72"/>
      <c r="S19" s="594">
        <f t="shared" ref="S19:S36" si="3">SUM(Q19,R19)</f>
        <v>0</v>
      </c>
      <c r="T19" s="599">
        <f t="shared" ref="T19:T36" si="4">Int(DIVIDE(S19,2))</f>
        <v>0</v>
      </c>
      <c r="U19" s="600">
        <f t="shared" ref="U19:U36" si="5">int(DIVIDE(S19,5))</f>
        <v>0</v>
      </c>
      <c r="V19" s="597" t="s">
        <v>33</v>
      </c>
      <c r="W19" s="598" t="s">
        <v>36</v>
      </c>
      <c r="X19" s="63"/>
      <c r="Y19" s="63"/>
      <c r="Z19" s="64"/>
      <c r="AA19" s="593">
        <v>0.0</v>
      </c>
      <c r="AB19" s="292"/>
      <c r="AC19" s="594">
        <f t="shared" ref="AC19:AC36" si="6">SUM(AA19,AB19)</f>
        <v>0</v>
      </c>
      <c r="AD19" s="599">
        <f t="shared" ref="AD19:AD36" si="7">Int(DIVIDE(AC19,2))</f>
        <v>0</v>
      </c>
      <c r="AE19" s="600">
        <f t="shared" ref="AE19:AE36" si="8">int(DIVIDE(AC19,5))</f>
        <v>0</v>
      </c>
      <c r="AF19" s="597" t="s">
        <v>33</v>
      </c>
      <c r="AG19" s="598" t="s">
        <v>37</v>
      </c>
      <c r="AH19" s="63"/>
      <c r="AI19" s="63"/>
      <c r="AJ19" s="64"/>
      <c r="AK19" s="601">
        <v>1.0</v>
      </c>
      <c r="AL19" s="77"/>
      <c r="AM19" s="602">
        <f t="shared" ref="AM19:AM36" si="9">SUM(AK19,AL19)</f>
        <v>1</v>
      </c>
      <c r="AN19" s="595">
        <f t="shared" ref="AN19:AN36" si="10">Int(DIVIDE(AM19,2))</f>
        <v>0</v>
      </c>
      <c r="AO19" s="603">
        <f t="shared" ref="AO19:AO36" si="11">int(DIVIDE(AM19,5))</f>
        <v>0</v>
      </c>
      <c r="AP19" s="60"/>
      <c r="AQ19" s="10"/>
      <c r="AR19" s="11"/>
      <c r="AS19" s="11"/>
      <c r="AT19" s="11"/>
      <c r="AU19" s="11"/>
      <c r="AV19" s="11"/>
      <c r="AW19" s="11"/>
      <c r="AX19" s="11"/>
      <c r="AY19" s="11"/>
      <c r="AZ19" s="11"/>
      <c r="BA19" s="11"/>
      <c r="BB19" s="12"/>
      <c r="BC19" s="561"/>
    </row>
    <row r="20" ht="16.5" customHeight="1">
      <c r="A20" s="569"/>
      <c r="B20" s="604" t="s">
        <v>33</v>
      </c>
      <c r="C20" s="605" t="s">
        <v>38</v>
      </c>
      <c r="D20" s="82"/>
      <c r="E20" s="82"/>
      <c r="F20" s="83"/>
      <c r="G20" s="606">
        <v>20.0</v>
      </c>
      <c r="H20" s="85"/>
      <c r="I20" s="607">
        <f t="shared" si="1"/>
        <v>20</v>
      </c>
      <c r="J20" s="608">
        <f t="shared" ref="J20:J22" si="12">Int(DIVIDE(I20,2))</f>
        <v>10</v>
      </c>
      <c r="K20" s="609">
        <f t="shared" si="2"/>
        <v>4</v>
      </c>
      <c r="L20" s="610" t="s">
        <v>33</v>
      </c>
      <c r="M20" s="611" t="s">
        <v>39</v>
      </c>
      <c r="N20" s="82"/>
      <c r="O20" s="82"/>
      <c r="P20" s="83"/>
      <c r="Q20" s="606">
        <v>5.0</v>
      </c>
      <c r="R20" s="91"/>
      <c r="S20" s="607">
        <f t="shared" si="3"/>
        <v>5</v>
      </c>
      <c r="T20" s="612">
        <f t="shared" si="4"/>
        <v>2</v>
      </c>
      <c r="U20" s="613">
        <f t="shared" si="5"/>
        <v>1</v>
      </c>
      <c r="V20" s="614" t="s">
        <v>33</v>
      </c>
      <c r="W20" s="611" t="s">
        <v>40</v>
      </c>
      <c r="X20" s="82"/>
      <c r="Y20" s="82"/>
      <c r="Z20" s="83"/>
      <c r="AA20" s="606">
        <v>5.0</v>
      </c>
      <c r="AB20" s="85"/>
      <c r="AC20" s="607">
        <f t="shared" si="6"/>
        <v>5</v>
      </c>
      <c r="AD20" s="612">
        <f t="shared" si="7"/>
        <v>2</v>
      </c>
      <c r="AE20" s="613">
        <f t="shared" si="8"/>
        <v>1</v>
      </c>
      <c r="AF20" s="610" t="s">
        <v>33</v>
      </c>
      <c r="AG20" s="611" t="s">
        <v>41</v>
      </c>
      <c r="AH20" s="82"/>
      <c r="AI20" s="82"/>
      <c r="AJ20" s="83"/>
      <c r="AK20" s="615">
        <v>30.0</v>
      </c>
      <c r="AL20" s="85"/>
      <c r="AM20" s="616">
        <f t="shared" si="9"/>
        <v>30</v>
      </c>
      <c r="AN20" s="608">
        <f t="shared" si="10"/>
        <v>15</v>
      </c>
      <c r="AO20" s="617">
        <f t="shared" si="11"/>
        <v>6</v>
      </c>
      <c r="AP20" s="28"/>
      <c r="AQ20" s="98"/>
      <c r="AR20" s="98"/>
      <c r="AS20" s="98"/>
      <c r="AT20" s="98"/>
      <c r="AU20" s="98"/>
      <c r="AV20" s="98"/>
      <c r="AW20" s="98"/>
      <c r="AX20" s="98"/>
      <c r="AY20" s="98"/>
      <c r="AZ20" s="98"/>
      <c r="BA20" s="98"/>
      <c r="BB20" s="98"/>
      <c r="BC20" s="561"/>
    </row>
    <row r="21" ht="16.5" customHeight="1">
      <c r="A21" s="569"/>
      <c r="B21" s="604" t="s">
        <v>33</v>
      </c>
      <c r="C21" s="605" t="s">
        <v>42</v>
      </c>
      <c r="D21" s="82"/>
      <c r="E21" s="82"/>
      <c r="F21" s="83"/>
      <c r="G21" s="606">
        <v>20.0</v>
      </c>
      <c r="H21" s="85"/>
      <c r="I21" s="607">
        <f t="shared" si="1"/>
        <v>20</v>
      </c>
      <c r="J21" s="608">
        <f t="shared" si="12"/>
        <v>10</v>
      </c>
      <c r="K21" s="609">
        <f t="shared" si="2"/>
        <v>4</v>
      </c>
      <c r="L21" s="610" t="s">
        <v>33</v>
      </c>
      <c r="M21" s="611" t="s">
        <v>43</v>
      </c>
      <c r="N21" s="82"/>
      <c r="O21" s="82"/>
      <c r="P21" s="83"/>
      <c r="Q21" s="606">
        <v>10.0</v>
      </c>
      <c r="R21" s="85"/>
      <c r="S21" s="607">
        <f t="shared" si="3"/>
        <v>10</v>
      </c>
      <c r="T21" s="612">
        <f t="shared" si="4"/>
        <v>5</v>
      </c>
      <c r="U21" s="613">
        <f t="shared" si="5"/>
        <v>2</v>
      </c>
      <c r="V21" s="610" t="s">
        <v>33</v>
      </c>
      <c r="W21" s="611" t="s">
        <v>44</v>
      </c>
      <c r="X21" s="82"/>
      <c r="Y21" s="82"/>
      <c r="Z21" s="83"/>
      <c r="AA21" s="606">
        <v>1.0</v>
      </c>
      <c r="AB21" s="91"/>
      <c r="AC21" s="607">
        <f t="shared" si="6"/>
        <v>1</v>
      </c>
      <c r="AD21" s="612">
        <f t="shared" si="7"/>
        <v>0</v>
      </c>
      <c r="AE21" s="613">
        <f t="shared" si="8"/>
        <v>0</v>
      </c>
      <c r="AF21" s="610" t="s">
        <v>33</v>
      </c>
      <c r="AG21" s="611" t="s">
        <v>45</v>
      </c>
      <c r="AH21" s="82"/>
      <c r="AI21" s="82"/>
      <c r="AJ21" s="83"/>
      <c r="AK21" s="615">
        <v>10.0</v>
      </c>
      <c r="AL21" s="91"/>
      <c r="AM21" s="616">
        <f t="shared" si="9"/>
        <v>10</v>
      </c>
      <c r="AN21" s="608">
        <f t="shared" si="10"/>
        <v>5</v>
      </c>
      <c r="AO21" s="617">
        <f t="shared" si="11"/>
        <v>2</v>
      </c>
      <c r="AP21" s="99"/>
      <c r="AQ21" s="618" t="s">
        <v>46</v>
      </c>
      <c r="AR21" s="5"/>
      <c r="AS21" s="5"/>
      <c r="AT21" s="5"/>
      <c r="AU21" s="5"/>
      <c r="AV21" s="5"/>
      <c r="AW21" s="5"/>
      <c r="AX21" s="5"/>
      <c r="AY21" s="5"/>
      <c r="AZ21" s="5"/>
      <c r="BA21" s="5"/>
      <c r="BB21" s="7"/>
      <c r="BC21" s="561"/>
    </row>
    <row r="22" ht="16.5" customHeight="1">
      <c r="A22" s="569"/>
      <c r="B22" s="604" t="s">
        <v>33</v>
      </c>
      <c r="C22" s="605" t="s">
        <v>47</v>
      </c>
      <c r="D22" s="82"/>
      <c r="E22" s="82"/>
      <c r="F22" s="83"/>
      <c r="G22" s="606">
        <v>5.0</v>
      </c>
      <c r="H22" s="85"/>
      <c r="I22" s="607">
        <f t="shared" si="1"/>
        <v>5</v>
      </c>
      <c r="J22" s="608">
        <f t="shared" si="12"/>
        <v>2</v>
      </c>
      <c r="K22" s="609">
        <f t="shared" si="2"/>
        <v>1</v>
      </c>
      <c r="L22" s="610" t="s">
        <v>33</v>
      </c>
      <c r="M22" s="619" t="s">
        <v>48</v>
      </c>
      <c r="N22" s="82"/>
      <c r="O22" s="82"/>
      <c r="P22" s="83"/>
      <c r="Q22" s="606">
        <v>1.0</v>
      </c>
      <c r="R22" s="85"/>
      <c r="S22" s="607">
        <f t="shared" si="3"/>
        <v>1</v>
      </c>
      <c r="T22" s="612">
        <f t="shared" si="4"/>
        <v>0</v>
      </c>
      <c r="U22" s="613">
        <f t="shared" si="5"/>
        <v>0</v>
      </c>
      <c r="V22" s="610" t="s">
        <v>33</v>
      </c>
      <c r="W22" s="611" t="s">
        <v>49</v>
      </c>
      <c r="X22" s="82"/>
      <c r="Y22" s="82"/>
      <c r="Z22" s="83"/>
      <c r="AA22" s="606">
        <v>10.0</v>
      </c>
      <c r="AB22" s="85"/>
      <c r="AC22" s="607">
        <f t="shared" si="6"/>
        <v>10</v>
      </c>
      <c r="AD22" s="612">
        <f t="shared" si="7"/>
        <v>5</v>
      </c>
      <c r="AE22" s="613">
        <f t="shared" si="8"/>
        <v>2</v>
      </c>
      <c r="AF22" s="610" t="s">
        <v>33</v>
      </c>
      <c r="AG22" s="611" t="s">
        <v>50</v>
      </c>
      <c r="AH22" s="82"/>
      <c r="AI22" s="82"/>
      <c r="AJ22" s="83"/>
      <c r="AK22" s="615">
        <v>20.0</v>
      </c>
      <c r="AL22" s="85"/>
      <c r="AM22" s="616">
        <f t="shared" si="9"/>
        <v>20</v>
      </c>
      <c r="AN22" s="608">
        <f t="shared" si="10"/>
        <v>10</v>
      </c>
      <c r="AO22" s="617">
        <f t="shared" si="11"/>
        <v>4</v>
      </c>
      <c r="AP22" s="28"/>
      <c r="AQ22" s="10"/>
      <c r="AR22" s="11"/>
      <c r="AS22" s="11"/>
      <c r="AT22" s="11"/>
      <c r="AU22" s="11"/>
      <c r="AV22" s="11"/>
      <c r="AW22" s="11"/>
      <c r="AX22" s="11"/>
      <c r="AY22" s="11"/>
      <c r="AZ22" s="11"/>
      <c r="BA22" s="11"/>
      <c r="BB22" s="12"/>
      <c r="BC22" s="561"/>
    </row>
    <row r="23" ht="16.5" customHeight="1">
      <c r="A23" s="569"/>
      <c r="B23" s="604" t="s">
        <v>33</v>
      </c>
      <c r="C23" s="605" t="s">
        <v>51</v>
      </c>
      <c r="D23" s="82"/>
      <c r="E23" s="82"/>
      <c r="F23" s="83"/>
      <c r="G23" s="606">
        <v>1.0</v>
      </c>
      <c r="H23" s="85"/>
      <c r="I23" s="607">
        <f t="shared" si="1"/>
        <v>1</v>
      </c>
      <c r="J23" s="608">
        <f>int(DIVIDE(I23,2))</f>
        <v>0</v>
      </c>
      <c r="K23" s="609">
        <f t="shared" si="2"/>
        <v>0</v>
      </c>
      <c r="L23" s="610" t="s">
        <v>33</v>
      </c>
      <c r="M23" s="620"/>
      <c r="N23" s="82"/>
      <c r="O23" s="82"/>
      <c r="P23" s="83"/>
      <c r="Q23" s="606"/>
      <c r="R23" s="91"/>
      <c r="S23" s="607">
        <f t="shared" si="3"/>
        <v>0</v>
      </c>
      <c r="T23" s="612">
        <f t="shared" si="4"/>
        <v>0</v>
      </c>
      <c r="U23" s="613">
        <f t="shared" si="5"/>
        <v>0</v>
      </c>
      <c r="V23" s="610" t="s">
        <v>33</v>
      </c>
      <c r="W23" s="611" t="s">
        <v>52</v>
      </c>
      <c r="X23" s="82"/>
      <c r="Y23" s="82"/>
      <c r="Z23" s="83"/>
      <c r="AA23" s="606">
        <v>15.0</v>
      </c>
      <c r="AB23" s="91"/>
      <c r="AC23" s="607">
        <f t="shared" si="6"/>
        <v>15</v>
      </c>
      <c r="AD23" s="612">
        <f t="shared" si="7"/>
        <v>7</v>
      </c>
      <c r="AE23" s="613">
        <f t="shared" si="8"/>
        <v>3</v>
      </c>
      <c r="AF23" s="610" t="s">
        <v>33</v>
      </c>
      <c r="AG23" s="611" t="s">
        <v>53</v>
      </c>
      <c r="AH23" s="82"/>
      <c r="AI23" s="82"/>
      <c r="AJ23" s="83"/>
      <c r="AK23" s="615">
        <v>20.0</v>
      </c>
      <c r="AL23" s="85"/>
      <c r="AM23" s="616">
        <f t="shared" si="9"/>
        <v>20</v>
      </c>
      <c r="AN23" s="608">
        <f t="shared" si="10"/>
        <v>10</v>
      </c>
      <c r="AO23" s="617">
        <f t="shared" si="11"/>
        <v>4</v>
      </c>
      <c r="AP23" s="28"/>
      <c r="AQ23" s="621" t="s">
        <v>54</v>
      </c>
      <c r="AR23" s="105"/>
      <c r="AS23" s="105"/>
      <c r="AT23" s="105"/>
      <c r="AU23" s="105"/>
      <c r="AV23" s="105"/>
      <c r="AW23" s="622">
        <f>if((V10+V14)&lt;=64,-2,if((V10+V14)&lt;=84,-1,if((V10+V14)&lt;=124,0,if((V10+V14)&lt;=164,"+1D4",if((V10+V14)&lt;=204,"+1D6",if((V10+V14)&lt;=284,"+2D6",if((V10+V14)&lt;=20364,"+3D6",if((V10+V14)&lt;=444,"+4D6",if((V10+V14)&lt;=524,"+5D6")))))))))
</f>
        <v>-2</v>
      </c>
      <c r="AX23" s="105"/>
      <c r="AY23" s="105"/>
      <c r="AZ23" s="105"/>
      <c r="BA23" s="105"/>
      <c r="BB23" s="107"/>
      <c r="BC23" s="561"/>
    </row>
    <row r="24" ht="16.5" customHeight="1">
      <c r="A24" s="569"/>
      <c r="B24" s="604" t="s">
        <v>33</v>
      </c>
      <c r="C24" s="605" t="s">
        <v>55</v>
      </c>
      <c r="D24" s="82"/>
      <c r="E24" s="82"/>
      <c r="F24" s="83"/>
      <c r="G24" s="606">
        <v>10.0</v>
      </c>
      <c r="H24" s="85"/>
      <c r="I24" s="607">
        <f t="shared" si="1"/>
        <v>10</v>
      </c>
      <c r="J24" s="608">
        <f t="shared" ref="J24:J26" si="13">Int(DIVIDE(I24,2))</f>
        <v>5</v>
      </c>
      <c r="K24" s="609">
        <f t="shared" si="2"/>
        <v>2</v>
      </c>
      <c r="L24" s="610" t="s">
        <v>33</v>
      </c>
      <c r="M24" s="620"/>
      <c r="N24" s="82"/>
      <c r="O24" s="82"/>
      <c r="P24" s="83"/>
      <c r="Q24" s="606"/>
      <c r="R24" s="91"/>
      <c r="S24" s="607">
        <f t="shared" si="3"/>
        <v>0</v>
      </c>
      <c r="T24" s="612">
        <f t="shared" si="4"/>
        <v>0</v>
      </c>
      <c r="U24" s="613">
        <f t="shared" si="5"/>
        <v>0</v>
      </c>
      <c r="V24" s="610" t="s">
        <v>33</v>
      </c>
      <c r="W24" s="611" t="s">
        <v>56</v>
      </c>
      <c r="X24" s="82"/>
      <c r="Y24" s="82"/>
      <c r="Z24" s="83"/>
      <c r="AA24" s="606">
        <v>15.0</v>
      </c>
      <c r="AB24" s="85"/>
      <c r="AC24" s="607">
        <f t="shared" si="6"/>
        <v>15</v>
      </c>
      <c r="AD24" s="612">
        <f t="shared" si="7"/>
        <v>7</v>
      </c>
      <c r="AE24" s="613">
        <f t="shared" si="8"/>
        <v>3</v>
      </c>
      <c r="AF24" s="610" t="s">
        <v>33</v>
      </c>
      <c r="AG24" s="611" t="s">
        <v>57</v>
      </c>
      <c r="AH24" s="82"/>
      <c r="AI24" s="82"/>
      <c r="AJ24" s="83"/>
      <c r="AK24" s="615">
        <v>20.0</v>
      </c>
      <c r="AL24" s="85"/>
      <c r="AM24" s="616">
        <f t="shared" si="9"/>
        <v>20</v>
      </c>
      <c r="AN24" s="608">
        <f t="shared" si="10"/>
        <v>10</v>
      </c>
      <c r="AO24" s="617">
        <f t="shared" si="11"/>
        <v>4</v>
      </c>
      <c r="AP24" s="28"/>
      <c r="AQ24" s="621" t="s">
        <v>58</v>
      </c>
      <c r="AR24" s="105"/>
      <c r="AS24" s="105"/>
      <c r="AT24" s="105"/>
      <c r="AU24" s="105"/>
      <c r="AV24" s="105"/>
      <c r="AW24" s="622">
        <f>if((V10+V14)&lt;=64,-2,if((V10+V14)&lt;=84,-1,if((V10+V14)&lt;=124,0,if((V10+V14)&lt;=164,"+1",if((V10+V14)&lt;=204,"+2",if((V10+V14)&lt;=284,"+3",if((V10+V14)&lt;=20364,"+4",if((V10+V14)&lt;=444,"+5",if((V10+V14)&lt;=524,"+6")))))))))</f>
        <v>-2</v>
      </c>
      <c r="AX24" s="105"/>
      <c r="AY24" s="105"/>
      <c r="AZ24" s="105"/>
      <c r="BA24" s="105"/>
      <c r="BB24" s="107"/>
      <c r="BC24" s="561"/>
    </row>
    <row r="25" ht="16.5" customHeight="1">
      <c r="A25" s="569"/>
      <c r="B25" s="604" t="s">
        <v>33</v>
      </c>
      <c r="C25" s="605" t="s">
        <v>59</v>
      </c>
      <c r="D25" s="82"/>
      <c r="E25" s="82"/>
      <c r="F25" s="83"/>
      <c r="G25" s="606">
        <v>10.0</v>
      </c>
      <c r="H25" s="91"/>
      <c r="I25" s="607">
        <f t="shared" si="1"/>
        <v>10</v>
      </c>
      <c r="J25" s="608">
        <f t="shared" si="13"/>
        <v>5</v>
      </c>
      <c r="K25" s="609">
        <f t="shared" si="2"/>
        <v>2</v>
      </c>
      <c r="L25" s="610" t="s">
        <v>33</v>
      </c>
      <c r="M25" s="611" t="s">
        <v>60</v>
      </c>
      <c r="N25" s="82"/>
      <c r="O25" s="82"/>
      <c r="P25" s="83"/>
      <c r="Q25" s="606">
        <v>5.0</v>
      </c>
      <c r="R25" s="85"/>
      <c r="S25" s="607">
        <f t="shared" si="3"/>
        <v>5</v>
      </c>
      <c r="T25" s="612">
        <f t="shared" si="4"/>
        <v>2</v>
      </c>
      <c r="U25" s="613">
        <f t="shared" si="5"/>
        <v>1</v>
      </c>
      <c r="V25" s="610" t="s">
        <v>33</v>
      </c>
      <c r="W25" s="611" t="s">
        <v>61</v>
      </c>
      <c r="X25" s="82"/>
      <c r="Y25" s="82"/>
      <c r="Z25" s="83"/>
      <c r="AA25" s="606">
        <v>5.0</v>
      </c>
      <c r="AB25" s="85"/>
      <c r="AC25" s="607">
        <f t="shared" si="6"/>
        <v>5</v>
      </c>
      <c r="AD25" s="612">
        <f t="shared" si="7"/>
        <v>2</v>
      </c>
      <c r="AE25" s="613">
        <f t="shared" si="8"/>
        <v>1</v>
      </c>
      <c r="AF25" s="610" t="s">
        <v>33</v>
      </c>
      <c r="AG25" s="611" t="s">
        <v>62</v>
      </c>
      <c r="AH25" s="82"/>
      <c r="AI25" s="82"/>
      <c r="AJ25" s="83"/>
      <c r="AK25" s="615">
        <f>Int(DIVIDE(AD10,2))</f>
        <v>0</v>
      </c>
      <c r="AL25" s="91"/>
      <c r="AM25" s="616">
        <f t="shared" si="9"/>
        <v>0</v>
      </c>
      <c r="AN25" s="608">
        <f t="shared" si="10"/>
        <v>0</v>
      </c>
      <c r="AO25" s="617">
        <f t="shared" si="11"/>
        <v>0</v>
      </c>
      <c r="AP25" s="60"/>
      <c r="AQ25" s="621" t="s">
        <v>62</v>
      </c>
      <c r="AR25" s="105"/>
      <c r="AS25" s="105"/>
      <c r="AT25" s="105"/>
      <c r="AU25" s="105"/>
      <c r="AV25" s="105"/>
      <c r="AW25" s="622">
        <f>Int(DIVIDE(AD10,2))</f>
        <v>0</v>
      </c>
      <c r="AX25" s="105"/>
      <c r="AY25" s="623">
        <f>int(AW25/2)</f>
        <v>0</v>
      </c>
      <c r="AZ25" s="105"/>
      <c r="BA25" s="624">
        <f>int(AW25/5)</f>
        <v>0</v>
      </c>
      <c r="BB25" s="107"/>
      <c r="BC25" s="561"/>
    </row>
    <row r="26" ht="16.5" customHeight="1">
      <c r="A26" s="569"/>
      <c r="B26" s="604" t="s">
        <v>33</v>
      </c>
      <c r="C26" s="605" t="s">
        <v>63</v>
      </c>
      <c r="D26" s="82"/>
      <c r="E26" s="82"/>
      <c r="F26" s="83"/>
      <c r="G26" s="606">
        <v>20.0</v>
      </c>
      <c r="H26" s="85"/>
      <c r="I26" s="607">
        <f t="shared" si="1"/>
        <v>20</v>
      </c>
      <c r="J26" s="608">
        <f t="shared" si="13"/>
        <v>10</v>
      </c>
      <c r="K26" s="609">
        <f t="shared" si="2"/>
        <v>4</v>
      </c>
      <c r="L26" s="610" t="s">
        <v>33</v>
      </c>
      <c r="M26" s="611" t="s">
        <v>64</v>
      </c>
      <c r="N26" s="82"/>
      <c r="O26" s="82"/>
      <c r="P26" s="83"/>
      <c r="Q26" s="606">
        <v>1.0</v>
      </c>
      <c r="R26" s="91"/>
      <c r="S26" s="607">
        <f t="shared" si="3"/>
        <v>1</v>
      </c>
      <c r="T26" s="612">
        <f t="shared" si="4"/>
        <v>0</v>
      </c>
      <c r="U26" s="613">
        <f t="shared" si="5"/>
        <v>0</v>
      </c>
      <c r="V26" s="610" t="s">
        <v>33</v>
      </c>
      <c r="W26" s="611" t="s">
        <v>65</v>
      </c>
      <c r="X26" s="82"/>
      <c r="Y26" s="82"/>
      <c r="Z26" s="83"/>
      <c r="AA26" s="606">
        <v>10.0</v>
      </c>
      <c r="AB26" s="91"/>
      <c r="AC26" s="607">
        <f t="shared" si="6"/>
        <v>10</v>
      </c>
      <c r="AD26" s="612">
        <f t="shared" si="7"/>
        <v>5</v>
      </c>
      <c r="AE26" s="613">
        <f t="shared" si="8"/>
        <v>2</v>
      </c>
      <c r="AF26" s="610" t="s">
        <v>33</v>
      </c>
      <c r="AG26" s="611" t="s">
        <v>66</v>
      </c>
      <c r="AH26" s="82"/>
      <c r="AI26" s="82"/>
      <c r="AJ26" s="83"/>
      <c r="AK26" s="615">
        <v>5.0</v>
      </c>
      <c r="AL26" s="85"/>
      <c r="AM26" s="616">
        <f t="shared" si="9"/>
        <v>5</v>
      </c>
      <c r="AN26" s="608">
        <f t="shared" si="10"/>
        <v>2</v>
      </c>
      <c r="AO26" s="617">
        <f t="shared" si="11"/>
        <v>1</v>
      </c>
      <c r="AP26" s="60"/>
      <c r="AQ26" s="621" t="s">
        <v>67</v>
      </c>
      <c r="AR26" s="105"/>
      <c r="AS26" s="105"/>
      <c r="AT26" s="105"/>
      <c r="AU26" s="105"/>
      <c r="AV26" s="107"/>
      <c r="AW26" s="622">
        <f>IF(AND(V10&gt;V14,AD10&gt;V14),if(int(divide(L13,10))&gt;=4,12-int(divide(L13,10)),9),if(and(V10&lt;V14,AD10&lt;V14),if(int(divide(L13,10))&gt;=4,10-int(divide(L13,10)),7),if(int(divide(L13,10))&gt;=4,11-int(divide(L13,10)),8)))</f>
        <v>8</v>
      </c>
      <c r="AX26" s="105"/>
      <c r="AY26" s="105"/>
      <c r="AZ26" s="105"/>
      <c r="BA26" s="105"/>
      <c r="BB26" s="107"/>
      <c r="BC26" s="561"/>
    </row>
    <row r="27" ht="16.5" customHeight="1">
      <c r="A27" s="569"/>
      <c r="B27" s="604" t="s">
        <v>33</v>
      </c>
      <c r="C27" s="605" t="s">
        <v>68</v>
      </c>
      <c r="D27" s="82"/>
      <c r="E27" s="82"/>
      <c r="F27" s="83"/>
      <c r="G27" s="606">
        <v>1.0</v>
      </c>
      <c r="H27" s="91"/>
      <c r="I27" s="607">
        <f t="shared" si="1"/>
        <v>1</v>
      </c>
      <c r="J27" s="608">
        <f>int(DIVIDE(I27,2))</f>
        <v>0</v>
      </c>
      <c r="K27" s="609">
        <f t="shared" si="2"/>
        <v>0</v>
      </c>
      <c r="L27" s="610" t="s">
        <v>33</v>
      </c>
      <c r="M27" s="611" t="s">
        <v>69</v>
      </c>
      <c r="N27" s="82"/>
      <c r="O27" s="82"/>
      <c r="P27" s="83"/>
      <c r="Q27" s="606">
        <v>5.0</v>
      </c>
      <c r="R27" s="91"/>
      <c r="S27" s="607">
        <f t="shared" si="3"/>
        <v>5</v>
      </c>
      <c r="T27" s="612">
        <f t="shared" si="4"/>
        <v>2</v>
      </c>
      <c r="U27" s="613">
        <f t="shared" si="5"/>
        <v>1</v>
      </c>
      <c r="V27" s="610" t="s">
        <v>33</v>
      </c>
      <c r="W27" s="620" t="str">
        <f>"모국어"&amp;IF(ISBLANK(L14),"",":"&amp;L14)</f>
        <v>모국어</v>
      </c>
      <c r="X27" s="82"/>
      <c r="Y27" s="82"/>
      <c r="Z27" s="83"/>
      <c r="AA27" s="606">
        <f>(AL12*1)</f>
        <v>0</v>
      </c>
      <c r="AB27" s="91"/>
      <c r="AC27" s="607">
        <f t="shared" si="6"/>
        <v>0</v>
      </c>
      <c r="AD27" s="612">
        <f t="shared" si="7"/>
        <v>0</v>
      </c>
      <c r="AE27" s="613">
        <f t="shared" si="8"/>
        <v>0</v>
      </c>
      <c r="AF27" s="610" t="s">
        <v>33</v>
      </c>
      <c r="AG27" s="611" t="s">
        <v>70</v>
      </c>
      <c r="AH27" s="82"/>
      <c r="AI27" s="82"/>
      <c r="AJ27" s="83"/>
      <c r="AK27" s="615">
        <v>20.0</v>
      </c>
      <c r="AL27" s="91"/>
      <c r="AM27" s="616">
        <f t="shared" si="9"/>
        <v>20</v>
      </c>
      <c r="AN27" s="608">
        <f t="shared" si="10"/>
        <v>10</v>
      </c>
      <c r="AO27" s="617">
        <f t="shared" si="11"/>
        <v>4</v>
      </c>
      <c r="AP27" s="60"/>
      <c r="AQ27" s="625" t="s">
        <v>71</v>
      </c>
      <c r="AR27" s="5"/>
      <c r="AS27" s="5"/>
      <c r="AT27" s="7"/>
      <c r="AU27" s="113"/>
      <c r="AV27" s="5"/>
      <c r="AW27" s="5"/>
      <c r="AX27" s="7"/>
      <c r="AY27" s="626" t="s">
        <v>72</v>
      </c>
      <c r="AZ27" s="105"/>
      <c r="BA27" s="105"/>
      <c r="BB27" s="107"/>
      <c r="BC27" s="561"/>
    </row>
    <row r="28" ht="16.5" customHeight="1">
      <c r="A28" s="569"/>
      <c r="B28" s="604" t="s">
        <v>33</v>
      </c>
      <c r="C28" s="627" t="s">
        <v>73</v>
      </c>
      <c r="D28" s="82"/>
      <c r="E28" s="82"/>
      <c r="F28" s="83"/>
      <c r="G28" s="606">
        <v>1.0</v>
      </c>
      <c r="H28" s="91"/>
      <c r="I28" s="607">
        <f t="shared" si="1"/>
        <v>1</v>
      </c>
      <c r="J28" s="608">
        <f t="shared" ref="J28:J29" si="14">Int(DIVIDE(I28,2))</f>
        <v>0</v>
      </c>
      <c r="K28" s="609">
        <f t="shared" si="2"/>
        <v>0</v>
      </c>
      <c r="L28" s="610" t="s">
        <v>33</v>
      </c>
      <c r="M28" s="611" t="s">
        <v>74</v>
      </c>
      <c r="N28" s="82"/>
      <c r="O28" s="82"/>
      <c r="P28" s="83"/>
      <c r="Q28" s="606">
        <v>1.0</v>
      </c>
      <c r="R28" s="91"/>
      <c r="S28" s="607">
        <f t="shared" si="3"/>
        <v>1</v>
      </c>
      <c r="T28" s="612">
        <f t="shared" si="4"/>
        <v>0</v>
      </c>
      <c r="U28" s="613">
        <f t="shared" si="5"/>
        <v>0</v>
      </c>
      <c r="V28" s="610" t="s">
        <v>33</v>
      </c>
      <c r="W28" s="620" t="s">
        <v>75</v>
      </c>
      <c r="X28" s="82"/>
      <c r="Y28" s="82"/>
      <c r="Z28" s="83"/>
      <c r="AA28" s="606">
        <v>1.0</v>
      </c>
      <c r="AB28" s="91"/>
      <c r="AC28" s="607">
        <f t="shared" si="6"/>
        <v>1</v>
      </c>
      <c r="AD28" s="612">
        <f t="shared" si="7"/>
        <v>0</v>
      </c>
      <c r="AE28" s="613">
        <f t="shared" si="8"/>
        <v>0</v>
      </c>
      <c r="AF28" s="610" t="s">
        <v>33</v>
      </c>
      <c r="AG28" s="611" t="s">
        <v>76</v>
      </c>
      <c r="AH28" s="82"/>
      <c r="AI28" s="82"/>
      <c r="AJ28" s="83"/>
      <c r="AK28" s="615">
        <v>10.0</v>
      </c>
      <c r="AL28" s="85"/>
      <c r="AM28" s="616">
        <f t="shared" si="9"/>
        <v>10</v>
      </c>
      <c r="AN28" s="608">
        <f t="shared" si="10"/>
        <v>5</v>
      </c>
      <c r="AO28" s="617">
        <f t="shared" si="11"/>
        <v>2</v>
      </c>
      <c r="AP28" s="60"/>
      <c r="AQ28" s="10"/>
      <c r="AR28" s="11"/>
      <c r="AS28" s="11"/>
      <c r="AT28" s="12"/>
      <c r="AU28" s="10"/>
      <c r="AV28" s="11"/>
      <c r="AW28" s="11"/>
      <c r="AX28" s="12"/>
      <c r="AY28" s="628">
        <f>Int((V14+V12)/10)</f>
        <v>0</v>
      </c>
      <c r="AZ28" s="105"/>
      <c r="BA28" s="105"/>
      <c r="BB28" s="107"/>
      <c r="BC28" s="561"/>
    </row>
    <row r="29" ht="16.5" customHeight="1">
      <c r="A29" s="569"/>
      <c r="B29" s="629" t="s">
        <v>33</v>
      </c>
      <c r="C29" s="630"/>
      <c r="D29" s="82"/>
      <c r="E29" s="82"/>
      <c r="F29" s="83"/>
      <c r="G29" s="631"/>
      <c r="H29" s="85"/>
      <c r="I29" s="607">
        <f t="shared" si="1"/>
        <v>0</v>
      </c>
      <c r="J29" s="608">
        <f t="shared" si="14"/>
        <v>0</v>
      </c>
      <c r="K29" s="609">
        <f t="shared" si="2"/>
        <v>0</v>
      </c>
      <c r="L29" s="610" t="s">
        <v>33</v>
      </c>
      <c r="M29" s="611" t="s">
        <v>77</v>
      </c>
      <c r="N29" s="82"/>
      <c r="O29" s="82"/>
      <c r="P29" s="83"/>
      <c r="Q29" s="606">
        <v>5.0</v>
      </c>
      <c r="R29" s="91"/>
      <c r="S29" s="607">
        <f t="shared" si="3"/>
        <v>5</v>
      </c>
      <c r="T29" s="612">
        <f t="shared" si="4"/>
        <v>2</v>
      </c>
      <c r="U29" s="613">
        <f t="shared" si="5"/>
        <v>1</v>
      </c>
      <c r="V29" s="610" t="s">
        <v>33</v>
      </c>
      <c r="W29" s="620"/>
      <c r="X29" s="82"/>
      <c r="Y29" s="82"/>
      <c r="Z29" s="83"/>
      <c r="AA29" s="606"/>
      <c r="AB29" s="91"/>
      <c r="AC29" s="607">
        <f t="shared" si="6"/>
        <v>0</v>
      </c>
      <c r="AD29" s="612">
        <f t="shared" si="7"/>
        <v>0</v>
      </c>
      <c r="AE29" s="613">
        <f t="shared" si="8"/>
        <v>0</v>
      </c>
      <c r="AF29" s="610" t="s">
        <v>33</v>
      </c>
      <c r="AG29" s="611" t="s">
        <v>78</v>
      </c>
      <c r="AH29" s="82"/>
      <c r="AI29" s="82"/>
      <c r="AJ29" s="83"/>
      <c r="AK29" s="615">
        <v>1.0</v>
      </c>
      <c r="AL29" s="91"/>
      <c r="AM29" s="616">
        <f t="shared" si="9"/>
        <v>1</v>
      </c>
      <c r="AN29" s="608">
        <f t="shared" si="10"/>
        <v>0</v>
      </c>
      <c r="AO29" s="617">
        <f t="shared" si="11"/>
        <v>0</v>
      </c>
      <c r="AP29" s="28"/>
      <c r="AQ29" s="632" t="s">
        <v>79</v>
      </c>
      <c r="AR29" s="5"/>
      <c r="AS29" s="5"/>
      <c r="AT29" s="7"/>
      <c r="AU29" s="113"/>
      <c r="AV29" s="5"/>
      <c r="AW29" s="5"/>
      <c r="AX29" s="7"/>
      <c r="AY29" s="633" t="s">
        <v>80</v>
      </c>
      <c r="AZ29" s="105"/>
      <c r="BA29" s="105"/>
      <c r="BB29" s="107"/>
      <c r="BC29" s="561"/>
    </row>
    <row r="30" ht="16.5" customHeight="1">
      <c r="A30" s="569"/>
      <c r="B30" s="604" t="s">
        <v>33</v>
      </c>
      <c r="C30" s="605" t="s">
        <v>81</v>
      </c>
      <c r="D30" s="82"/>
      <c r="E30" s="82"/>
      <c r="F30" s="83"/>
      <c r="G30" s="615">
        <v>10.0</v>
      </c>
      <c r="H30" s="91"/>
      <c r="I30" s="607">
        <f t="shared" si="1"/>
        <v>10</v>
      </c>
      <c r="J30" s="608">
        <f>int(DIVIDE(I30,2))</f>
        <v>5</v>
      </c>
      <c r="K30" s="609">
        <f t="shared" si="2"/>
        <v>2</v>
      </c>
      <c r="L30" s="610" t="s">
        <v>33</v>
      </c>
      <c r="M30" s="611" t="s">
        <v>82</v>
      </c>
      <c r="N30" s="82"/>
      <c r="O30" s="82"/>
      <c r="P30" s="83"/>
      <c r="Q30" s="606">
        <v>5.0</v>
      </c>
      <c r="R30" s="85"/>
      <c r="S30" s="607">
        <f t="shared" si="3"/>
        <v>5</v>
      </c>
      <c r="T30" s="612">
        <f t="shared" si="4"/>
        <v>2</v>
      </c>
      <c r="U30" s="613">
        <f t="shared" si="5"/>
        <v>1</v>
      </c>
      <c r="V30" s="610" t="s">
        <v>33</v>
      </c>
      <c r="W30" s="611" t="s">
        <v>83</v>
      </c>
      <c r="X30" s="82"/>
      <c r="Y30" s="82"/>
      <c r="Z30" s="83"/>
      <c r="AA30" s="615">
        <v>20.0</v>
      </c>
      <c r="AB30" s="85"/>
      <c r="AC30" s="616">
        <f t="shared" si="6"/>
        <v>20</v>
      </c>
      <c r="AD30" s="608">
        <f t="shared" si="7"/>
        <v>10</v>
      </c>
      <c r="AE30" s="609">
        <f t="shared" si="8"/>
        <v>4</v>
      </c>
      <c r="AF30" s="610" t="s">
        <v>33</v>
      </c>
      <c r="AG30" s="620" t="s">
        <v>84</v>
      </c>
      <c r="AH30" s="82"/>
      <c r="AI30" s="82"/>
      <c r="AJ30" s="83"/>
      <c r="AK30" s="615">
        <v>20.0</v>
      </c>
      <c r="AL30" s="91"/>
      <c r="AM30" s="607">
        <f t="shared" si="9"/>
        <v>20</v>
      </c>
      <c r="AN30" s="612">
        <f t="shared" si="10"/>
        <v>10</v>
      </c>
      <c r="AO30" s="634">
        <f t="shared" si="11"/>
        <v>4</v>
      </c>
      <c r="AP30" s="28"/>
      <c r="AQ30" s="10"/>
      <c r="AR30" s="11"/>
      <c r="AS30" s="11"/>
      <c r="AT30" s="12"/>
      <c r="AU30" s="10"/>
      <c r="AV30" s="11"/>
      <c r="AW30" s="11"/>
      <c r="AX30" s="12"/>
      <c r="AY30" s="635">
        <f>int(AL10/5)</f>
        <v>0</v>
      </c>
      <c r="AZ30" s="105"/>
      <c r="BA30" s="105"/>
      <c r="BB30" s="107"/>
      <c r="BC30" s="561"/>
    </row>
    <row r="31" ht="16.5" customHeight="1">
      <c r="A31" s="569"/>
      <c r="B31" s="604" t="s">
        <v>33</v>
      </c>
      <c r="C31" s="605" t="s">
        <v>85</v>
      </c>
      <c r="D31" s="82"/>
      <c r="E31" s="82"/>
      <c r="F31" s="83"/>
      <c r="G31" s="615">
        <v>10.0</v>
      </c>
      <c r="H31" s="91"/>
      <c r="I31" s="607">
        <f t="shared" si="1"/>
        <v>10</v>
      </c>
      <c r="J31" s="608">
        <f t="shared" ref="J31:J36" si="15">Int(DIVIDE(I31,2))</f>
        <v>5</v>
      </c>
      <c r="K31" s="609">
        <f t="shared" si="2"/>
        <v>2</v>
      </c>
      <c r="L31" s="610" t="s">
        <v>33</v>
      </c>
      <c r="M31" s="611"/>
      <c r="N31" s="82"/>
      <c r="O31" s="82"/>
      <c r="P31" s="83"/>
      <c r="Q31" s="606"/>
      <c r="R31" s="91"/>
      <c r="S31" s="607">
        <f t="shared" si="3"/>
        <v>0</v>
      </c>
      <c r="T31" s="612">
        <f t="shared" si="4"/>
        <v>0</v>
      </c>
      <c r="U31" s="613">
        <f t="shared" si="5"/>
        <v>0</v>
      </c>
      <c r="V31" s="610" t="s">
        <v>33</v>
      </c>
      <c r="W31" s="620" t="s">
        <v>86</v>
      </c>
      <c r="X31" s="82"/>
      <c r="Y31" s="82"/>
      <c r="Z31" s="83"/>
      <c r="AA31" s="615">
        <v>25.0</v>
      </c>
      <c r="AB31" s="85"/>
      <c r="AC31" s="616">
        <f t="shared" si="6"/>
        <v>25</v>
      </c>
      <c r="AD31" s="608">
        <f t="shared" si="7"/>
        <v>12</v>
      </c>
      <c r="AE31" s="609">
        <f t="shared" si="8"/>
        <v>5</v>
      </c>
      <c r="AF31" s="610" t="s">
        <v>33</v>
      </c>
      <c r="AG31" s="620" t="s">
        <v>87</v>
      </c>
      <c r="AH31" s="82"/>
      <c r="AI31" s="82"/>
      <c r="AJ31" s="83"/>
      <c r="AK31" s="615">
        <v>25.0</v>
      </c>
      <c r="AL31" s="91"/>
      <c r="AM31" s="607">
        <f t="shared" si="9"/>
        <v>25</v>
      </c>
      <c r="AN31" s="612">
        <f t="shared" si="10"/>
        <v>12</v>
      </c>
      <c r="AO31" s="634">
        <f t="shared" si="11"/>
        <v>5</v>
      </c>
      <c r="AP31" s="28"/>
      <c r="AQ31" s="636" t="s">
        <v>88</v>
      </c>
      <c r="AR31" s="5"/>
      <c r="AS31" s="5"/>
      <c r="AT31" s="7"/>
      <c r="AU31" s="113"/>
      <c r="AV31" s="5"/>
      <c r="AW31" s="5"/>
      <c r="AX31" s="7"/>
      <c r="AY31" s="637" t="s">
        <v>89</v>
      </c>
      <c r="AZ31" s="107"/>
      <c r="BA31" s="637" t="s">
        <v>90</v>
      </c>
      <c r="BB31" s="107"/>
      <c r="BC31" s="561"/>
    </row>
    <row r="32" ht="16.5" customHeight="1">
      <c r="A32" s="569"/>
      <c r="B32" s="604" t="s">
        <v>33</v>
      </c>
      <c r="C32" s="605" t="s">
        <v>91</v>
      </c>
      <c r="D32" s="82"/>
      <c r="E32" s="82"/>
      <c r="F32" s="83"/>
      <c r="G32" s="615">
        <v>5.0</v>
      </c>
      <c r="H32" s="85"/>
      <c r="I32" s="607">
        <f t="shared" si="1"/>
        <v>5</v>
      </c>
      <c r="J32" s="608">
        <f t="shared" si="15"/>
        <v>2</v>
      </c>
      <c r="K32" s="609">
        <f t="shared" si="2"/>
        <v>1</v>
      </c>
      <c r="L32" s="610" t="s">
        <v>33</v>
      </c>
      <c r="M32" s="638" t="s">
        <v>92</v>
      </c>
      <c r="N32" s="82"/>
      <c r="O32" s="82"/>
      <c r="P32" s="83"/>
      <c r="Q32" s="615">
        <v>1.0</v>
      </c>
      <c r="R32" s="91"/>
      <c r="S32" s="607">
        <f t="shared" si="3"/>
        <v>1</v>
      </c>
      <c r="T32" s="612">
        <f t="shared" si="4"/>
        <v>0</v>
      </c>
      <c r="U32" s="613">
        <f t="shared" si="5"/>
        <v>0</v>
      </c>
      <c r="V32" s="610" t="s">
        <v>33</v>
      </c>
      <c r="W32" s="620" t="s">
        <v>93</v>
      </c>
      <c r="X32" s="82"/>
      <c r="Y32" s="82"/>
      <c r="Z32" s="83"/>
      <c r="AA32" s="615">
        <v>20.0</v>
      </c>
      <c r="AB32" s="91"/>
      <c r="AC32" s="616">
        <f t="shared" si="6"/>
        <v>20</v>
      </c>
      <c r="AD32" s="608">
        <f t="shared" si="7"/>
        <v>10</v>
      </c>
      <c r="AE32" s="609">
        <f t="shared" si="8"/>
        <v>4</v>
      </c>
      <c r="AF32" s="610" t="s">
        <v>33</v>
      </c>
      <c r="AG32" s="620" t="s">
        <v>94</v>
      </c>
      <c r="AH32" s="82"/>
      <c r="AI32" s="82"/>
      <c r="AJ32" s="83"/>
      <c r="AK32" s="615">
        <v>15.0</v>
      </c>
      <c r="AL32" s="91"/>
      <c r="AM32" s="607">
        <f t="shared" si="9"/>
        <v>15</v>
      </c>
      <c r="AN32" s="612">
        <f t="shared" si="10"/>
        <v>7</v>
      </c>
      <c r="AO32" s="634">
        <f t="shared" si="11"/>
        <v>3</v>
      </c>
      <c r="AP32" s="28"/>
      <c r="AQ32" s="10"/>
      <c r="AR32" s="11"/>
      <c r="AS32" s="11"/>
      <c r="AT32" s="12"/>
      <c r="AU32" s="10"/>
      <c r="AV32" s="11"/>
      <c r="AW32" s="11"/>
      <c r="AX32" s="12"/>
      <c r="AY32" s="639" t="str">
        <f>IF(AL10=0,"자동",MIN(AL10,BA32))</f>
        <v>자동</v>
      </c>
      <c r="AZ32" s="107"/>
      <c r="BA32" s="639">
        <f>99-AB19</f>
        <v>99</v>
      </c>
      <c r="BB32" s="107"/>
      <c r="BC32" s="561"/>
    </row>
    <row r="33" ht="16.5" customHeight="1">
      <c r="A33" s="569"/>
      <c r="B33" s="604" t="s">
        <v>33</v>
      </c>
      <c r="C33" s="605" t="s">
        <v>165</v>
      </c>
      <c r="D33" s="82"/>
      <c r="E33" s="82"/>
      <c r="F33" s="83"/>
      <c r="G33" s="606">
        <v>5.0</v>
      </c>
      <c r="H33" s="91"/>
      <c r="I33" s="607">
        <f t="shared" si="1"/>
        <v>5</v>
      </c>
      <c r="J33" s="608">
        <f t="shared" si="15"/>
        <v>2</v>
      </c>
      <c r="K33" s="609">
        <f t="shared" si="2"/>
        <v>1</v>
      </c>
      <c r="L33" s="610" t="s">
        <v>33</v>
      </c>
      <c r="M33" s="638" t="s">
        <v>95</v>
      </c>
      <c r="N33" s="82"/>
      <c r="O33" s="82"/>
      <c r="P33" s="83"/>
      <c r="Q33" s="615">
        <v>5.0</v>
      </c>
      <c r="R33" s="91"/>
      <c r="S33" s="607">
        <f t="shared" si="3"/>
        <v>5</v>
      </c>
      <c r="T33" s="612">
        <f t="shared" si="4"/>
        <v>2</v>
      </c>
      <c r="U33" s="613">
        <f t="shared" si="5"/>
        <v>1</v>
      </c>
      <c r="V33" s="610" t="s">
        <v>33</v>
      </c>
      <c r="W33" s="620" t="s">
        <v>96</v>
      </c>
      <c r="X33" s="82"/>
      <c r="Y33" s="82"/>
      <c r="Z33" s="83"/>
      <c r="AA33" s="615">
        <v>15.0</v>
      </c>
      <c r="AB33" s="91"/>
      <c r="AC33" s="616">
        <f t="shared" si="6"/>
        <v>15</v>
      </c>
      <c r="AD33" s="608">
        <f t="shared" si="7"/>
        <v>7</v>
      </c>
      <c r="AE33" s="609">
        <f t="shared" si="8"/>
        <v>3</v>
      </c>
      <c r="AF33" s="610" t="s">
        <v>33</v>
      </c>
      <c r="AG33" s="620" t="s">
        <v>97</v>
      </c>
      <c r="AH33" s="82"/>
      <c r="AI33" s="82"/>
      <c r="AJ33" s="83"/>
      <c r="AK33" s="615">
        <v>10.0</v>
      </c>
      <c r="AL33" s="91"/>
      <c r="AM33" s="607">
        <f t="shared" si="9"/>
        <v>10</v>
      </c>
      <c r="AN33" s="612">
        <f t="shared" si="10"/>
        <v>5</v>
      </c>
      <c r="AO33" s="634">
        <f t="shared" si="11"/>
        <v>2</v>
      </c>
      <c r="AP33" s="28"/>
      <c r="AQ33" s="640" t="s">
        <v>98</v>
      </c>
      <c r="AR33" s="5"/>
      <c r="AS33" s="5"/>
      <c r="AT33" s="7"/>
      <c r="AU33" s="641" t="s">
        <v>33</v>
      </c>
      <c r="AV33" s="7"/>
      <c r="AW33" s="642" t="s">
        <v>99</v>
      </c>
      <c r="AX33" s="5"/>
      <c r="AY33" s="5"/>
      <c r="AZ33" s="7"/>
      <c r="BA33" s="643" t="s">
        <v>33</v>
      </c>
      <c r="BB33" s="7"/>
      <c r="BC33" s="561"/>
    </row>
    <row r="34" ht="16.5" customHeight="1">
      <c r="A34" s="569"/>
      <c r="B34" s="604" t="s">
        <v>33</v>
      </c>
      <c r="C34" s="605"/>
      <c r="D34" s="82"/>
      <c r="E34" s="82"/>
      <c r="F34" s="83"/>
      <c r="G34" s="606"/>
      <c r="H34" s="91"/>
      <c r="I34" s="607">
        <f t="shared" si="1"/>
        <v>0</v>
      </c>
      <c r="J34" s="608">
        <f t="shared" si="15"/>
        <v>0</v>
      </c>
      <c r="K34" s="609">
        <f t="shared" si="2"/>
        <v>0</v>
      </c>
      <c r="L34" s="610" t="s">
        <v>33</v>
      </c>
      <c r="M34" s="638" t="s">
        <v>100</v>
      </c>
      <c r="N34" s="82"/>
      <c r="O34" s="82"/>
      <c r="P34" s="83"/>
      <c r="Q34" s="615">
        <v>1.0</v>
      </c>
      <c r="R34" s="91"/>
      <c r="S34" s="607">
        <f t="shared" si="3"/>
        <v>1</v>
      </c>
      <c r="T34" s="612">
        <f t="shared" si="4"/>
        <v>0</v>
      </c>
      <c r="U34" s="613">
        <f t="shared" si="5"/>
        <v>0</v>
      </c>
      <c r="V34" s="610" t="s">
        <v>33</v>
      </c>
      <c r="W34" s="620" t="s">
        <v>101</v>
      </c>
      <c r="X34" s="82"/>
      <c r="Y34" s="82"/>
      <c r="Z34" s="83"/>
      <c r="AA34" s="615">
        <v>20.0</v>
      </c>
      <c r="AB34" s="91"/>
      <c r="AC34" s="616">
        <f t="shared" si="6"/>
        <v>20</v>
      </c>
      <c r="AD34" s="608">
        <f t="shared" si="7"/>
        <v>10</v>
      </c>
      <c r="AE34" s="609">
        <f t="shared" si="8"/>
        <v>4</v>
      </c>
      <c r="AF34" s="610" t="s">
        <v>33</v>
      </c>
      <c r="AG34" s="620" t="s">
        <v>102</v>
      </c>
      <c r="AH34" s="82"/>
      <c r="AI34" s="82"/>
      <c r="AJ34" s="83"/>
      <c r="AK34" s="615">
        <v>15.0</v>
      </c>
      <c r="AL34" s="91"/>
      <c r="AM34" s="607">
        <f t="shared" si="9"/>
        <v>15</v>
      </c>
      <c r="AN34" s="612">
        <f t="shared" si="10"/>
        <v>7</v>
      </c>
      <c r="AO34" s="634">
        <f t="shared" si="11"/>
        <v>3</v>
      </c>
      <c r="AP34" s="28"/>
      <c r="AQ34" s="10"/>
      <c r="AR34" s="11"/>
      <c r="AS34" s="11"/>
      <c r="AT34" s="12"/>
      <c r="AU34" s="10"/>
      <c r="AV34" s="12"/>
      <c r="AW34" s="10"/>
      <c r="AX34" s="11"/>
      <c r="AY34" s="11"/>
      <c r="AZ34" s="12"/>
      <c r="BA34" s="10"/>
      <c r="BB34" s="12"/>
      <c r="BC34" s="561"/>
    </row>
    <row r="35" ht="16.5" customHeight="1">
      <c r="A35" s="569"/>
      <c r="B35" s="604" t="s">
        <v>33</v>
      </c>
      <c r="C35" s="644" t="s">
        <v>103</v>
      </c>
      <c r="D35" s="82"/>
      <c r="E35" s="82"/>
      <c r="F35" s="83"/>
      <c r="G35" s="606">
        <v>1.0</v>
      </c>
      <c r="H35" s="91"/>
      <c r="I35" s="607">
        <f t="shared" si="1"/>
        <v>1</v>
      </c>
      <c r="J35" s="608">
        <f t="shared" si="15"/>
        <v>0</v>
      </c>
      <c r="K35" s="609">
        <f t="shared" si="2"/>
        <v>0</v>
      </c>
      <c r="L35" s="610" t="s">
        <v>33</v>
      </c>
      <c r="M35" s="638" t="s">
        <v>104</v>
      </c>
      <c r="N35" s="82"/>
      <c r="O35" s="82"/>
      <c r="P35" s="83"/>
      <c r="Q35" s="615">
        <v>1.0</v>
      </c>
      <c r="R35" s="91"/>
      <c r="S35" s="607">
        <f t="shared" si="3"/>
        <v>1</v>
      </c>
      <c r="T35" s="612">
        <f t="shared" si="4"/>
        <v>0</v>
      </c>
      <c r="U35" s="613">
        <f t="shared" si="5"/>
        <v>0</v>
      </c>
      <c r="V35" s="610" t="s">
        <v>33</v>
      </c>
      <c r="W35" s="620" t="s">
        <v>105</v>
      </c>
      <c r="X35" s="82"/>
      <c r="Y35" s="82"/>
      <c r="Z35" s="83"/>
      <c r="AA35" s="615">
        <v>5.0</v>
      </c>
      <c r="AB35" s="91"/>
      <c r="AC35" s="616">
        <f t="shared" si="6"/>
        <v>5</v>
      </c>
      <c r="AD35" s="608">
        <f t="shared" si="7"/>
        <v>2</v>
      </c>
      <c r="AE35" s="609">
        <f t="shared" si="8"/>
        <v>1</v>
      </c>
      <c r="AF35" s="610" t="s">
        <v>33</v>
      </c>
      <c r="AG35" s="620" t="s">
        <v>106</v>
      </c>
      <c r="AH35" s="82"/>
      <c r="AI35" s="82"/>
      <c r="AJ35" s="83"/>
      <c r="AK35" s="615">
        <v>10.0</v>
      </c>
      <c r="AL35" s="91"/>
      <c r="AM35" s="616">
        <f t="shared" si="9"/>
        <v>10</v>
      </c>
      <c r="AN35" s="608">
        <f t="shared" si="10"/>
        <v>5</v>
      </c>
      <c r="AO35" s="617">
        <f t="shared" si="11"/>
        <v>2</v>
      </c>
      <c r="AP35" s="28"/>
      <c r="AQ35" s="645" t="s">
        <v>107</v>
      </c>
      <c r="AR35" s="5"/>
      <c r="AS35" s="5"/>
      <c r="AT35" s="7"/>
      <c r="AU35" s="646" t="s">
        <v>33</v>
      </c>
      <c r="AV35" s="7"/>
      <c r="AW35" s="647" t="s">
        <v>108</v>
      </c>
      <c r="AX35" s="5"/>
      <c r="AY35" s="5"/>
      <c r="AZ35" s="7"/>
      <c r="BA35" s="648" t="s">
        <v>33</v>
      </c>
      <c r="BB35" s="7"/>
      <c r="BC35" s="561"/>
    </row>
    <row r="36" ht="16.5" customHeight="1">
      <c r="A36" s="569"/>
      <c r="B36" s="649" t="s">
        <v>33</v>
      </c>
      <c r="C36" s="650" t="s">
        <v>109</v>
      </c>
      <c r="D36" s="139"/>
      <c r="E36" s="139"/>
      <c r="F36" s="140"/>
      <c r="G36" s="651">
        <v>1.0</v>
      </c>
      <c r="H36" s="142"/>
      <c r="I36" s="652">
        <f t="shared" si="1"/>
        <v>1</v>
      </c>
      <c r="J36" s="653">
        <f t="shared" si="15"/>
        <v>0</v>
      </c>
      <c r="K36" s="654">
        <f t="shared" si="2"/>
        <v>0</v>
      </c>
      <c r="L36" s="655" t="s">
        <v>33</v>
      </c>
      <c r="M36" s="656" t="s">
        <v>110</v>
      </c>
      <c r="N36" s="139"/>
      <c r="O36" s="139"/>
      <c r="P36" s="140"/>
      <c r="Q36" s="657">
        <v>1.0</v>
      </c>
      <c r="R36" s="142"/>
      <c r="S36" s="652">
        <f t="shared" si="3"/>
        <v>1</v>
      </c>
      <c r="T36" s="658">
        <f t="shared" si="4"/>
        <v>0</v>
      </c>
      <c r="U36" s="659">
        <f t="shared" si="5"/>
        <v>0</v>
      </c>
      <c r="V36" s="655" t="s">
        <v>33</v>
      </c>
      <c r="W36" s="660" t="s">
        <v>111</v>
      </c>
      <c r="X36" s="139"/>
      <c r="Y36" s="139"/>
      <c r="Z36" s="140"/>
      <c r="AA36" s="651">
        <v>10.0</v>
      </c>
      <c r="AB36" s="142"/>
      <c r="AC36" s="652">
        <f t="shared" si="6"/>
        <v>10</v>
      </c>
      <c r="AD36" s="658">
        <f t="shared" si="7"/>
        <v>5</v>
      </c>
      <c r="AE36" s="659">
        <f t="shared" si="8"/>
        <v>2</v>
      </c>
      <c r="AF36" s="655" t="s">
        <v>33</v>
      </c>
      <c r="AG36" s="660" t="s">
        <v>112</v>
      </c>
      <c r="AH36" s="139"/>
      <c r="AI36" s="139"/>
      <c r="AJ36" s="140"/>
      <c r="AK36" s="657">
        <v>10.0</v>
      </c>
      <c r="AL36" s="142"/>
      <c r="AM36" s="661">
        <f t="shared" si="9"/>
        <v>10</v>
      </c>
      <c r="AN36" s="653">
        <f t="shared" si="10"/>
        <v>5</v>
      </c>
      <c r="AO36" s="662">
        <f t="shared" si="11"/>
        <v>2</v>
      </c>
      <c r="AP36" s="28"/>
      <c r="AQ36" s="10"/>
      <c r="AR36" s="11"/>
      <c r="AS36" s="11"/>
      <c r="AT36" s="12"/>
      <c r="AU36" s="10"/>
      <c r="AV36" s="12"/>
      <c r="AW36" s="10"/>
      <c r="AX36" s="11"/>
      <c r="AY36" s="11"/>
      <c r="AZ36" s="12"/>
      <c r="BA36" s="10"/>
      <c r="BB36" s="12"/>
      <c r="BC36" s="561"/>
    </row>
    <row r="37" ht="15.0" customHeight="1">
      <c r="A37" s="562"/>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3"/>
      <c r="AD37" s="53"/>
      <c r="AE37" s="53"/>
      <c r="AF37" s="53"/>
      <c r="AG37" s="53"/>
      <c r="AH37" s="53"/>
      <c r="AI37" s="53"/>
      <c r="AJ37" s="53"/>
      <c r="AK37" s="53"/>
      <c r="AL37" s="53"/>
      <c r="AM37" s="53"/>
      <c r="AN37" s="53"/>
      <c r="AO37" s="53"/>
      <c r="AP37" s="3"/>
      <c r="AQ37" s="8"/>
      <c r="AR37" s="8"/>
      <c r="AS37" s="8"/>
      <c r="AT37" s="8"/>
      <c r="AU37" s="8"/>
      <c r="AV37" s="8"/>
      <c r="AW37" s="8"/>
      <c r="AX37" s="8"/>
      <c r="AY37" s="8"/>
      <c r="AZ37" s="8"/>
      <c r="BA37" s="8"/>
      <c r="BB37" s="8"/>
      <c r="BC37" s="561"/>
    </row>
    <row r="38" ht="13.5" customHeight="1">
      <c r="A38" s="569"/>
      <c r="B38" s="663" t="s">
        <v>113</v>
      </c>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5"/>
      <c r="AP38" s="28"/>
      <c r="AQ38" s="664" t="s">
        <v>15</v>
      </c>
      <c r="AR38" s="5"/>
      <c r="AS38" s="5"/>
      <c r="AT38" s="5"/>
      <c r="AU38" s="5"/>
      <c r="AV38" s="5"/>
      <c r="AW38" s="5"/>
      <c r="AX38" s="5"/>
      <c r="AY38" s="5"/>
      <c r="AZ38" s="5"/>
      <c r="BA38" s="5"/>
      <c r="BB38" s="7"/>
      <c r="BC38" s="561"/>
    </row>
    <row r="39" ht="13.5" customHeight="1">
      <c r="A39" s="569"/>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2"/>
      <c r="AP39" s="28"/>
      <c r="AQ39" s="10"/>
      <c r="AR39" s="11"/>
      <c r="AS39" s="11"/>
      <c r="AT39" s="11"/>
      <c r="AU39" s="11"/>
      <c r="AV39" s="11"/>
      <c r="AW39" s="11"/>
      <c r="AX39" s="11"/>
      <c r="AY39" s="11"/>
      <c r="AZ39" s="11"/>
      <c r="BA39" s="11"/>
      <c r="BB39" s="12"/>
      <c r="BC39" s="561"/>
    </row>
    <row r="40" ht="13.5" customHeight="1">
      <c r="A40" s="569"/>
      <c r="B40" s="665" t="s">
        <v>113</v>
      </c>
      <c r="C40" s="34"/>
      <c r="D40" s="34"/>
      <c r="E40" s="34"/>
      <c r="F40" s="34"/>
      <c r="G40" s="34"/>
      <c r="H40" s="34"/>
      <c r="I40" s="35"/>
      <c r="J40" s="665" t="s">
        <v>114</v>
      </c>
      <c r="K40" s="34"/>
      <c r="L40" s="35"/>
      <c r="M40" s="665" t="s">
        <v>115</v>
      </c>
      <c r="N40" s="34"/>
      <c r="O40" s="35"/>
      <c r="P40" s="665" t="s">
        <v>116</v>
      </c>
      <c r="Q40" s="34"/>
      <c r="R40" s="35"/>
      <c r="S40" s="665" t="s">
        <v>117</v>
      </c>
      <c r="T40" s="34"/>
      <c r="U40" s="34"/>
      <c r="V40" s="34"/>
      <c r="W40" s="34"/>
      <c r="X40" s="35"/>
      <c r="Y40" s="665" t="s">
        <v>118</v>
      </c>
      <c r="Z40" s="34"/>
      <c r="AA40" s="34"/>
      <c r="AB40" s="35"/>
      <c r="AC40" s="665" t="s">
        <v>119</v>
      </c>
      <c r="AD40" s="34"/>
      <c r="AE40" s="34"/>
      <c r="AF40" s="34"/>
      <c r="AG40" s="35"/>
      <c r="AH40" s="665" t="s">
        <v>120</v>
      </c>
      <c r="AI40" s="34"/>
      <c r="AJ40" s="34"/>
      <c r="AK40" s="35"/>
      <c r="AL40" s="665" t="s">
        <v>121</v>
      </c>
      <c r="AM40" s="34"/>
      <c r="AN40" s="34"/>
      <c r="AO40" s="35"/>
      <c r="AP40" s="28"/>
      <c r="AQ40" s="156"/>
      <c r="AR40" s="157"/>
      <c r="AS40" s="157"/>
      <c r="AT40" s="157"/>
      <c r="AU40" s="157"/>
      <c r="AV40" s="157"/>
      <c r="AW40" s="157"/>
      <c r="AX40" s="157"/>
      <c r="AY40" s="157"/>
      <c r="AZ40" s="157"/>
      <c r="BA40" s="157"/>
      <c r="BB40" s="158"/>
      <c r="BC40" s="561"/>
    </row>
    <row r="41" ht="13.5" customHeight="1">
      <c r="A41" s="562"/>
      <c r="B41" s="666" t="s">
        <v>122</v>
      </c>
      <c r="I41" s="160"/>
      <c r="J41" s="667">
        <v>25.0</v>
      </c>
      <c r="M41" s="667">
        <f t="shared" ref="M41:M47" si="16">Int(DIVIDE(J41,2))</f>
        <v>12</v>
      </c>
      <c r="O41" s="160"/>
      <c r="P41" s="667">
        <f t="shared" ref="P41:P47" si="17">Int(DIVIDE(J41,5))</f>
        <v>5</v>
      </c>
      <c r="R41" s="160"/>
      <c r="S41" s="668" t="s">
        <v>123</v>
      </c>
      <c r="X41" s="160"/>
      <c r="Y41" s="667" t="s">
        <v>124</v>
      </c>
      <c r="AB41" s="160"/>
      <c r="AC41" s="667">
        <v>1.0</v>
      </c>
      <c r="AG41" s="160"/>
      <c r="AH41" s="667" t="s">
        <v>124</v>
      </c>
      <c r="AK41" s="160"/>
      <c r="AL41" s="667" t="s">
        <v>124</v>
      </c>
      <c r="AO41" s="15"/>
      <c r="AP41" s="3"/>
      <c r="AQ41" s="163" t="str">
        <f>IF(R19=0,"거리에 사는 거지새끼.",
(IF(AND(1&lt;=R19,10&gt;R19),"하루 한끼나 처먹으면 다행",
IF(AND(10&lt;=R19,50&gt;R19),"니가 잘사는거 같아?",
(IF(AND(50&lt;=R19,90&gt;R19),"어짜피 나쁜 짓해서 돈 벌었겠지",
(IF(AND(90&lt;=R19,99&gt;R19),"니 배때지 불리려고 얼마나 많은 피가.",
(IF(R19=99,"죽어 제발 그냥"))))))))))</f>
        <v>거리에 사는 거지새끼.</v>
      </c>
      <c r="AR41" s="164"/>
      <c r="AS41" s="164"/>
      <c r="AT41" s="164"/>
      <c r="AU41" s="164"/>
      <c r="AV41" s="164"/>
      <c r="AW41" s="164"/>
      <c r="AX41" s="164"/>
      <c r="AY41" s="164"/>
      <c r="AZ41" s="164"/>
      <c r="BA41" s="164"/>
      <c r="BB41" s="165"/>
      <c r="BC41" s="561"/>
    </row>
    <row r="42" ht="13.5" customHeight="1">
      <c r="A42" s="569"/>
      <c r="B42" s="669"/>
      <c r="C42" s="167"/>
      <c r="D42" s="167"/>
      <c r="E42" s="167"/>
      <c r="F42" s="167"/>
      <c r="G42" s="167"/>
      <c r="H42" s="167"/>
      <c r="I42" s="168"/>
      <c r="J42" s="670"/>
      <c r="K42" s="167"/>
      <c r="L42" s="168"/>
      <c r="M42" s="671">
        <f t="shared" si="16"/>
        <v>0</v>
      </c>
      <c r="N42" s="167"/>
      <c r="O42" s="168"/>
      <c r="P42" s="671">
        <f t="shared" si="17"/>
        <v>0</v>
      </c>
      <c r="Q42" s="167"/>
      <c r="R42" s="168"/>
      <c r="S42" s="672"/>
      <c r="T42" s="167"/>
      <c r="U42" s="167"/>
      <c r="V42" s="167"/>
      <c r="W42" s="167"/>
      <c r="X42" s="168"/>
      <c r="Y42" s="670"/>
      <c r="Z42" s="167"/>
      <c r="AA42" s="167"/>
      <c r="AB42" s="168"/>
      <c r="AC42" s="670"/>
      <c r="AD42" s="167"/>
      <c r="AE42" s="167"/>
      <c r="AF42" s="167"/>
      <c r="AG42" s="168"/>
      <c r="AH42" s="670"/>
      <c r="AI42" s="167"/>
      <c r="AJ42" s="167"/>
      <c r="AK42" s="168"/>
      <c r="AL42" s="670"/>
      <c r="AM42" s="167"/>
      <c r="AN42" s="167"/>
      <c r="AO42" s="172"/>
      <c r="AP42" s="28"/>
      <c r="AQ42" s="163" t="str">
        <f>(IF(15&gt;V10,"다시 태어나는게 좋지않아?",
(IF(AND(15&lt;=V10,30&gt;V10),"할머니도 너보단 쎄",
(IF(AND(30&lt;=V10,50&gt;V10),"운동좀 하고 살아라",
(IF(AND(50&lt;=V10,70&gt;V10),"사람 팰려고 힘 키웠어?",
(IF(AND(70&lt;=V10,90&gt;V10),"이 힘으로 어쩌게? 누구 죽이게?",
(IF(AND(90&lt;=V10,99&gt;V10),"명실상부한 살인마야 너는",
(IF(AND(99&lt;=V10,140&gt;V10),"세계 최고 수준. 인간의 최대치.",
(IF(AND(140&lt;=V10,200&gt;V10),"인간을 초월합니다. 고릴라.",
(IF(V10&gt;=200,"괴물 수준의 근력."))))))))))))))))))</f>
        <v>다시 태어나는게 좋지않아?</v>
      </c>
      <c r="AR42" s="164"/>
      <c r="AS42" s="164"/>
      <c r="AT42" s="164"/>
      <c r="AU42" s="164"/>
      <c r="AV42" s="164"/>
      <c r="AW42" s="164"/>
      <c r="AX42" s="164"/>
      <c r="AY42" s="164"/>
      <c r="AZ42" s="164"/>
      <c r="BA42" s="164"/>
      <c r="BB42" s="165"/>
      <c r="BC42" s="561"/>
    </row>
    <row r="43" ht="13.5" customHeight="1">
      <c r="A43" s="569"/>
      <c r="B43" s="673"/>
      <c r="C43" s="167"/>
      <c r="D43" s="167"/>
      <c r="E43" s="167"/>
      <c r="F43" s="167"/>
      <c r="G43" s="167"/>
      <c r="H43" s="167"/>
      <c r="I43" s="168"/>
      <c r="J43" s="670"/>
      <c r="K43" s="167"/>
      <c r="L43" s="168"/>
      <c r="M43" s="671">
        <f t="shared" si="16"/>
        <v>0</v>
      </c>
      <c r="N43" s="167"/>
      <c r="O43" s="168"/>
      <c r="P43" s="671">
        <f t="shared" si="17"/>
        <v>0</v>
      </c>
      <c r="Q43" s="167"/>
      <c r="R43" s="168"/>
      <c r="S43" s="670"/>
      <c r="T43" s="167"/>
      <c r="U43" s="167"/>
      <c r="V43" s="167"/>
      <c r="W43" s="167"/>
      <c r="X43" s="168"/>
      <c r="Y43" s="670"/>
      <c r="Z43" s="167"/>
      <c r="AA43" s="167"/>
      <c r="AB43" s="168"/>
      <c r="AC43" s="670"/>
      <c r="AD43" s="167"/>
      <c r="AE43" s="167"/>
      <c r="AF43" s="167"/>
      <c r="AG43" s="168"/>
      <c r="AH43" s="670"/>
      <c r="AI43" s="167"/>
      <c r="AJ43" s="167"/>
      <c r="AK43" s="168"/>
      <c r="AL43" s="670"/>
      <c r="AM43" s="167"/>
      <c r="AN43" s="167"/>
      <c r="AO43" s="172"/>
      <c r="AP43" s="28"/>
      <c r="AQ43" s="163" t="str">
        <f>
(IF(0=P9,"목매달고 죽었데요.",
(IF(AND(1&lt;=P9,15&gt;P9),"네가 있으면 다른 사람이 힘들어",
(IF(AND(15&lt;=P9,30&gt;P9),"왜 널 위해서 가족이 고생해야돼",
(IF(AND(30&lt;=P9,50&gt;P9),"아픈게 자랑이냐?",
(IF(AND(50&lt;=P9,70&gt;P9),"어디에나 있을법하네",
(IF(AND(70&lt;=P9,90&gt;P9),"네 유일한 자랑이겠지",
(IF(AND(90&lt;=P9,99&gt;P9),"몸이 좋으면 좀 나눠줘. 잘라서",
(IF(AND(99&lt;=P9,140&gt;P9),"강철 같은 건강. 큰 고통을 인내 가능",
(IF(AND(140&lt;=P9,200&gt;P9),"인간을 초월하는 건강 수준. 코끼리.",
(IF(P9&gt;=200,"괴물 수준의 건강. 질병 대부분에 면역."))))))))))))))))))))</f>
        <v>목매달고 죽었데요.</v>
      </c>
      <c r="AR43" s="164"/>
      <c r="AS43" s="164"/>
      <c r="AT43" s="164"/>
      <c r="AU43" s="164"/>
      <c r="AV43" s="164"/>
      <c r="AW43" s="164"/>
      <c r="AX43" s="164"/>
      <c r="AY43" s="164"/>
      <c r="AZ43" s="164"/>
      <c r="BA43" s="164"/>
      <c r="BB43" s="165"/>
      <c r="BC43" s="561"/>
    </row>
    <row r="44" ht="13.5" customHeight="1">
      <c r="A44" s="569"/>
      <c r="B44" s="673"/>
      <c r="C44" s="167"/>
      <c r="D44" s="167"/>
      <c r="E44" s="167"/>
      <c r="F44" s="167"/>
      <c r="G44" s="167"/>
      <c r="H44" s="167"/>
      <c r="I44" s="168"/>
      <c r="J44" s="670"/>
      <c r="K44" s="167"/>
      <c r="L44" s="168"/>
      <c r="M44" s="674">
        <f t="shared" si="16"/>
        <v>0</v>
      </c>
      <c r="N44" s="167"/>
      <c r="O44" s="168"/>
      <c r="P44" s="674">
        <f t="shared" si="17"/>
        <v>0</v>
      </c>
      <c r="Q44" s="167"/>
      <c r="R44" s="168"/>
      <c r="S44" s="670"/>
      <c r="T44" s="167"/>
      <c r="U44" s="167"/>
      <c r="V44" s="167"/>
      <c r="W44" s="167"/>
      <c r="X44" s="168"/>
      <c r="Y44" s="670"/>
      <c r="Z44" s="167"/>
      <c r="AA44" s="167"/>
      <c r="AB44" s="168"/>
      <c r="AC44" s="670"/>
      <c r="AD44" s="167"/>
      <c r="AE44" s="167"/>
      <c r="AF44" s="167"/>
      <c r="AG44" s="168"/>
      <c r="AH44" s="670"/>
      <c r="AI44" s="167"/>
      <c r="AJ44" s="167"/>
      <c r="AK44" s="168"/>
      <c r="AL44" s="670"/>
      <c r="AM44" s="167"/>
      <c r="AN44" s="167"/>
      <c r="AO44" s="172"/>
      <c r="AP44" s="28"/>
      <c r="AQ44" s="163" t="str">
        <f>
(IF(0=AL12,"병신.",
(IF(AND(1&lt;=AL12,15&gt;AL12),"유인원 수준이네",
(IF(AND(15&lt;=AL12,30&gt;AL12),"초딩이 아닌데 이 수준이면..",
(IF(AND(30&lt;=AL12,60&gt;AL12),"무식하긴",
(IF(AND(60&lt;=AL12,70&gt;AL12),"합격점은 줄게. 미래의 노동자여",
(IF(AND(70&lt;=AL12,80&gt;AL12),"요즘은 대학은 개나소나 다가잖아?",
(IF(AND(80&lt;=AL12,90&gt;AL12),"노예 입장하신답니다.",
(IF(AND(90&lt;=AL12,96&gt;AL12),"노예고용주 입장하신답니다.",
(IF(AND(96&lt;=AL12,99&gt;AL12),"어짜피 게임 속 캐릭터인데",
(IF(AL12&gt;=99,"인간의 최대치"
))))))))))))))))))))</f>
        <v>병신.</v>
      </c>
      <c r="AR44" s="164"/>
      <c r="AS44" s="164"/>
      <c r="AT44" s="164"/>
      <c r="AU44" s="164"/>
      <c r="AV44" s="164"/>
      <c r="AW44" s="164"/>
      <c r="AX44" s="164"/>
      <c r="AY44" s="164"/>
      <c r="AZ44" s="164"/>
      <c r="BA44" s="164"/>
      <c r="BB44" s="165"/>
      <c r="BC44" s="561"/>
    </row>
    <row r="45" ht="13.5" customHeight="1">
      <c r="A45" s="569"/>
      <c r="B45" s="673"/>
      <c r="C45" s="167"/>
      <c r="D45" s="167"/>
      <c r="E45" s="167"/>
      <c r="F45" s="167"/>
      <c r="G45" s="167"/>
      <c r="H45" s="167"/>
      <c r="I45" s="168"/>
      <c r="J45" s="670"/>
      <c r="K45" s="167"/>
      <c r="L45" s="168"/>
      <c r="M45" s="674">
        <f t="shared" si="16"/>
        <v>0</v>
      </c>
      <c r="N45" s="167"/>
      <c r="O45" s="168"/>
      <c r="P45" s="674">
        <f t="shared" si="17"/>
        <v>0</v>
      </c>
      <c r="Q45" s="167"/>
      <c r="R45" s="168"/>
      <c r="S45" s="670"/>
      <c r="T45" s="167"/>
      <c r="U45" s="167"/>
      <c r="V45" s="167"/>
      <c r="W45" s="167"/>
      <c r="X45" s="168"/>
      <c r="Y45" s="670"/>
      <c r="Z45" s="167"/>
      <c r="AA45" s="167"/>
      <c r="AB45" s="168"/>
      <c r="AC45" s="670"/>
      <c r="AD45" s="167"/>
      <c r="AE45" s="167"/>
      <c r="AF45" s="167"/>
      <c r="AG45" s="168"/>
      <c r="AH45" s="670"/>
      <c r="AI45" s="167"/>
      <c r="AJ45" s="167"/>
      <c r="AK45" s="168"/>
      <c r="AL45" s="670"/>
      <c r="AM45" s="167"/>
      <c r="AN45" s="167"/>
      <c r="AO45" s="172"/>
      <c r="AP45" s="28"/>
      <c r="AQ45" s="163" t="str">
        <f>
(IF(0=AD10,"누에고치같은거냐?",
(IF(AND(1&lt;=AD10,15&gt;AD10),"굼뱅이도 너보단 빠르겠지",
(IF(AND(15&lt;=AD10,50&gt;AD10),"운동좀 해라...",
(IF(AND(50&lt;=AD10,70&gt;AD10),"자기가 그래도 평균 이상인줄 알거야",
(IF(AND(70&lt;=AD10,90&gt;AD10),"뛰어봐, 뛰는걸 죽이는게 더 재밌으니까.",
(IF(AND(90&lt;=AD10,99&gt;AD10),"그렇게 빠르게 선턴을 하고 싶었어?",
(IF(AND(99&lt;=AD10,120&gt;AD10),"세계적인 수준의 운동선수. 인간의 최대치.",
(IF(AND(120&lt;=AD10,200&gt;AD10),"인간을 초월하는 민첩성. 호랑이.",
(IF(AD10&gt;=200,"번개와 같은 민첩성. 인간의 이해를 초월."
))))))))))))))))))</f>
        <v>누에고치같은거냐?</v>
      </c>
      <c r="AR45" s="164"/>
      <c r="AS45" s="164"/>
      <c r="AT45" s="164"/>
      <c r="AU45" s="164"/>
      <c r="AV45" s="164"/>
      <c r="AW45" s="164"/>
      <c r="AX45" s="164"/>
      <c r="AY45" s="164"/>
      <c r="AZ45" s="164"/>
      <c r="BA45" s="164"/>
      <c r="BB45" s="165"/>
      <c r="BC45" s="561"/>
    </row>
    <row r="46" ht="13.5" customHeight="1">
      <c r="A46" s="569"/>
      <c r="B46" s="673"/>
      <c r="C46" s="167"/>
      <c r="D46" s="167"/>
      <c r="E46" s="167"/>
      <c r="F46" s="167"/>
      <c r="G46" s="167"/>
      <c r="H46" s="167"/>
      <c r="I46" s="168"/>
      <c r="J46" s="670"/>
      <c r="K46" s="167"/>
      <c r="L46" s="168"/>
      <c r="M46" s="674">
        <f t="shared" si="16"/>
        <v>0</v>
      </c>
      <c r="N46" s="167"/>
      <c r="O46" s="168"/>
      <c r="P46" s="674">
        <f t="shared" si="17"/>
        <v>0</v>
      </c>
      <c r="Q46" s="167"/>
      <c r="R46" s="168"/>
      <c r="S46" s="670"/>
      <c r="T46" s="167"/>
      <c r="U46" s="167"/>
      <c r="V46" s="167"/>
      <c r="W46" s="167"/>
      <c r="X46" s="168"/>
      <c r="Y46" s="670"/>
      <c r="Z46" s="167"/>
      <c r="AA46" s="167"/>
      <c r="AB46" s="168"/>
      <c r="AC46" s="670"/>
      <c r="AD46" s="167"/>
      <c r="AE46" s="167"/>
      <c r="AF46" s="167"/>
      <c r="AG46" s="168"/>
      <c r="AH46" s="670"/>
      <c r="AI46" s="167"/>
      <c r="AJ46" s="167"/>
      <c r="AK46" s="168"/>
      <c r="AL46" s="670"/>
      <c r="AM46" s="167"/>
      <c r="AN46" s="167"/>
      <c r="AO46" s="172"/>
      <c r="AP46" s="28"/>
      <c r="AQ46" s="163" t="str">
        <f>
(IF(0=AD14,"태어난 이유를 모르겠네",
(IF(AND(1&lt;=AD14,15&gt;AD14),"정박아",
(IF(AND(15&lt;=AD14,50&gt;AD14),"무식한건 답도 없지",
(IF(AND(50&lt;=AD14,70&gt;AD14),"그냥 어디에나 있는 1인이네",
(IF(AND(70&lt;=AD14,90&gt;AD14),"광기 버틸 자신이 있나보네",
(IF(AND(90&lt;=AD14,99&gt;AD14),"마음에 들었다. 제일 먼저 죽여줄게",
(IF(AND(99&lt;=AD14,140&gt;AD14),"천재. 아인슈타인. 인간 최대치.",
(IF(AD14&gt;=140,"인간을 초월하는 지능."
))))))))))))))))</f>
        <v>태어난 이유를 모르겠네</v>
      </c>
      <c r="AR46" s="164"/>
      <c r="AS46" s="164"/>
      <c r="AT46" s="164"/>
      <c r="AU46" s="164"/>
      <c r="AV46" s="164"/>
      <c r="AW46" s="164"/>
      <c r="AX46" s="164"/>
      <c r="AY46" s="164"/>
      <c r="AZ46" s="164"/>
      <c r="BA46" s="164"/>
      <c r="BB46" s="165"/>
      <c r="BC46" s="561"/>
    </row>
    <row r="47" ht="13.5" customHeight="1">
      <c r="A47" s="569"/>
      <c r="B47" s="175"/>
      <c r="C47" s="176"/>
      <c r="D47" s="176"/>
      <c r="E47" s="176"/>
      <c r="F47" s="176"/>
      <c r="G47" s="176"/>
      <c r="H47" s="176"/>
      <c r="I47" s="177"/>
      <c r="J47" s="178"/>
      <c r="K47" s="176"/>
      <c r="L47" s="177"/>
      <c r="M47" s="179">
        <f t="shared" si="16"/>
        <v>0</v>
      </c>
      <c r="N47" s="176"/>
      <c r="O47" s="177"/>
      <c r="P47" s="179">
        <f t="shared" si="17"/>
        <v>0</v>
      </c>
      <c r="Q47" s="176"/>
      <c r="R47" s="177"/>
      <c r="S47" s="178"/>
      <c r="T47" s="176"/>
      <c r="U47" s="176"/>
      <c r="V47" s="176"/>
      <c r="W47" s="176"/>
      <c r="X47" s="177"/>
      <c r="Y47" s="178"/>
      <c r="Z47" s="176"/>
      <c r="AA47" s="176"/>
      <c r="AB47" s="177"/>
      <c r="AC47" s="178"/>
      <c r="AD47" s="176"/>
      <c r="AE47" s="176"/>
      <c r="AF47" s="176"/>
      <c r="AG47" s="177"/>
      <c r="AH47" s="178"/>
      <c r="AI47" s="176"/>
      <c r="AJ47" s="176"/>
      <c r="AK47" s="177"/>
      <c r="AL47" s="178"/>
      <c r="AM47" s="176"/>
      <c r="AN47" s="176"/>
      <c r="AO47" s="180"/>
      <c r="AP47" s="28"/>
      <c r="AQ47" s="163" t="str">
        <f>
(IF(AND(0&lt;=AL10, 15&gt;AL10), "그냥 다시 만들어 캐릭터",
(IF(AND(15&lt;=AL10,50&gt;AL10),"광기에 걸리는게 좋은거야?",
(IF(AND(50&lt;=AL10,70&gt;AL10),"그래 이정돈 되야지 세션 할만하지",
(IF(AND(70&lt;=AL10,90&gt;AL10),"치트키 쓰고 있네",
(IF(AND(90&lt;=AL10,100&gt;AL10),"넌 꼭 죽여줄게",
(IF(AND(100&lt;=AL10,140&gt;AL10),"강철 같은 의지력. 영적 세계와 강력하게 연결됨.",
(IF(AND(140&lt;=AL10,210&gt;AL10),"인간을 초월. 외계인일 가능성 있음.",
(IF(AL10&gt;=210,"괴물 수준의 마법적인 잠재력. 인간 이해를 초월한 정신력."))))))))))))))))</f>
        <v>그냥 다시 만들어 캐릭터</v>
      </c>
      <c r="AR47" s="164"/>
      <c r="AS47" s="164"/>
      <c r="AT47" s="164"/>
      <c r="AU47" s="164"/>
      <c r="AV47" s="164"/>
      <c r="AW47" s="164"/>
      <c r="AX47" s="164"/>
      <c r="AY47" s="164"/>
      <c r="AZ47" s="164"/>
      <c r="BA47" s="164"/>
      <c r="BB47" s="165"/>
      <c r="BC47" s="561"/>
    </row>
    <row r="48" ht="13.5" customHeight="1">
      <c r="A48" s="569"/>
      <c r="B48" s="663" t="s">
        <v>125</v>
      </c>
      <c r="C48" s="24"/>
      <c r="D48" s="24"/>
      <c r="E48" s="24"/>
      <c r="F48" s="24"/>
      <c r="G48" s="24"/>
      <c r="H48" s="24"/>
      <c r="I48" s="24"/>
      <c r="J48" s="24"/>
      <c r="K48" s="24"/>
      <c r="L48" s="24"/>
      <c r="M48" s="24"/>
      <c r="N48" s="24"/>
      <c r="O48" s="24"/>
      <c r="P48" s="24"/>
      <c r="Q48" s="24"/>
      <c r="R48" s="24"/>
      <c r="S48" s="24"/>
      <c r="T48" s="24"/>
      <c r="U48" s="675"/>
      <c r="V48" s="676" t="s">
        <v>126</v>
      </c>
      <c r="W48" s="24"/>
      <c r="X48" s="24"/>
      <c r="Y48" s="24"/>
      <c r="Z48" s="24"/>
      <c r="AA48" s="24"/>
      <c r="AB48" s="24"/>
      <c r="AC48" s="24"/>
      <c r="AD48" s="24"/>
      <c r="AE48" s="24"/>
      <c r="AF48" s="24"/>
      <c r="AG48" s="24"/>
      <c r="AH48" s="24"/>
      <c r="AI48" s="24"/>
      <c r="AJ48" s="24"/>
      <c r="AK48" s="24"/>
      <c r="AL48" s="24"/>
      <c r="AM48" s="24"/>
      <c r="AN48" s="24"/>
      <c r="AO48" s="677"/>
      <c r="AP48" s="28"/>
      <c r="AQ48" s="184"/>
      <c r="AR48" s="185"/>
      <c r="AS48" s="185"/>
      <c r="AT48" s="185"/>
      <c r="AU48" s="185"/>
      <c r="AV48" s="185"/>
      <c r="AW48" s="185"/>
      <c r="AX48" s="185"/>
      <c r="AY48" s="185"/>
      <c r="AZ48" s="185"/>
      <c r="BA48" s="185"/>
      <c r="BB48" s="186"/>
      <c r="BC48" s="561"/>
    </row>
    <row r="49" ht="13.5" customHeight="1">
      <c r="A49" s="569"/>
      <c r="B49" s="30"/>
      <c r="C49" s="31"/>
      <c r="D49" s="31"/>
      <c r="E49" s="31"/>
      <c r="F49" s="31"/>
      <c r="G49" s="31"/>
      <c r="H49" s="31"/>
      <c r="I49" s="31"/>
      <c r="J49" s="31"/>
      <c r="K49" s="31"/>
      <c r="L49" s="31"/>
      <c r="M49" s="31"/>
      <c r="N49" s="31"/>
      <c r="O49" s="31"/>
      <c r="P49" s="31"/>
      <c r="Q49" s="31"/>
      <c r="R49" s="31"/>
      <c r="S49" s="31"/>
      <c r="T49" s="31"/>
      <c r="U49" s="189"/>
      <c r="V49" s="188"/>
      <c r="W49" s="31"/>
      <c r="X49" s="31"/>
      <c r="Y49" s="31"/>
      <c r="Z49" s="31"/>
      <c r="AA49" s="31"/>
      <c r="AB49" s="31"/>
      <c r="AC49" s="31"/>
      <c r="AD49" s="31"/>
      <c r="AE49" s="31"/>
      <c r="AF49" s="31"/>
      <c r="AG49" s="31"/>
      <c r="AH49" s="31"/>
      <c r="AI49" s="31"/>
      <c r="AJ49" s="31"/>
      <c r="AK49" s="31"/>
      <c r="AL49" s="31"/>
      <c r="AM49" s="31"/>
      <c r="AN49" s="31"/>
      <c r="AO49" s="189"/>
      <c r="AP49" s="28"/>
      <c r="AQ49" s="678" t="s">
        <v>127</v>
      </c>
      <c r="AR49" s="294"/>
      <c r="AS49" s="294"/>
      <c r="AT49" s="294"/>
      <c r="AU49" s="294"/>
      <c r="AV49" s="294"/>
      <c r="AW49" s="294"/>
      <c r="AX49" s="294"/>
      <c r="AY49" s="294"/>
      <c r="AZ49" s="294"/>
      <c r="BA49" s="294"/>
      <c r="BB49" s="295"/>
      <c r="BC49" s="561"/>
    </row>
    <row r="50" ht="64.5" customHeight="1">
      <c r="A50" s="569"/>
      <c r="B50" s="296" t="str">
        <f>if(or(U49&gt;10,U49&lt;0),"",
if(U49=1,"가장 높은 기능과 관련된 물건",
if(U49=2,"직업에 필수적인 물건",
if(U49=3,"어린 시절 추억의 물건",
if(U49=4,"중요한 사람의 유품",
if(U49=5,"중요한 사람에게서 받은 물건",
if(U49=6,"수집품",
if(U49=7,"출처가 불분명한 물건",
if(U49=8,"스포츠용품",
if(U49=9,"무기",
if(U49=10,"아끼는 동물",
"")))))))))))</f>
        <v/>
      </c>
      <c r="C50" s="5"/>
      <c r="D50" s="5"/>
      <c r="E50" s="5"/>
      <c r="F50" s="297"/>
      <c r="G50" s="298"/>
      <c r="H50" s="5"/>
      <c r="I50" s="5"/>
      <c r="J50" s="5"/>
      <c r="K50" s="297"/>
      <c r="L50" s="298"/>
      <c r="M50" s="5"/>
      <c r="N50" s="5"/>
      <c r="O50" s="5"/>
      <c r="P50" s="297"/>
      <c r="Q50" s="298"/>
      <c r="R50" s="5"/>
      <c r="S50" s="5"/>
      <c r="T50" s="5"/>
      <c r="U50" s="299"/>
      <c r="V50" s="300" t="str">
        <f>if(or(AO49&gt;10,AO49&lt;0),"잘못된 숫자를 넣으셨습니다.",
if(AO49=1,"부모",
if(AO49=2,"조부모",
if(AO49=3,"형제자매",
if(AO49=4,"자식",
if(AO49=5,"파트너",
if(AO49=6,"존경하는 스승",
if(AO49=7,"친구",
if(AO49=8,"유명인, 우상, 영웅",
if(AO49=9,"동료 탐사자",
if(AO49=10,"NPC",
"")))))))))))</f>
        <v/>
      </c>
      <c r="W50" s="5"/>
      <c r="X50" s="5"/>
      <c r="Y50" s="5"/>
      <c r="Z50" s="297"/>
      <c r="AA50" s="301"/>
      <c r="AB50" s="5"/>
      <c r="AC50" s="5"/>
      <c r="AD50" s="5"/>
      <c r="AE50" s="297"/>
      <c r="AF50" s="301"/>
      <c r="AG50" s="5"/>
      <c r="AH50" s="5"/>
      <c r="AI50" s="5"/>
      <c r="AJ50" s="297"/>
      <c r="AK50" s="301"/>
      <c r="AL50" s="5"/>
      <c r="AM50" s="5"/>
      <c r="AN50" s="5"/>
      <c r="AO50" s="7"/>
      <c r="AP50" s="28"/>
      <c r="AQ50" s="9"/>
      <c r="BB50" s="302"/>
      <c r="BC50" s="561"/>
    </row>
    <row r="51" ht="8.25" customHeight="1">
      <c r="A51" s="569"/>
      <c r="B51" s="303"/>
      <c r="C51" s="304"/>
      <c r="D51" s="304"/>
      <c r="E51" s="304"/>
      <c r="F51" s="305"/>
      <c r="G51" s="306"/>
      <c r="H51" s="304"/>
      <c r="I51" s="304"/>
      <c r="J51" s="304"/>
      <c r="K51" s="305"/>
      <c r="L51" s="306"/>
      <c r="M51" s="304"/>
      <c r="N51" s="304"/>
      <c r="O51" s="304"/>
      <c r="P51" s="305"/>
      <c r="Q51" s="306"/>
      <c r="R51" s="304"/>
      <c r="S51" s="304"/>
      <c r="T51" s="304"/>
      <c r="U51" s="307"/>
      <c r="V51" s="304"/>
      <c r="W51" s="304"/>
      <c r="X51" s="304"/>
      <c r="Y51" s="304"/>
      <c r="Z51" s="305"/>
      <c r="AA51" s="306"/>
      <c r="AB51" s="304"/>
      <c r="AC51" s="304"/>
      <c r="AD51" s="304"/>
      <c r="AE51" s="305"/>
      <c r="AF51" s="306"/>
      <c r="AG51" s="304"/>
      <c r="AH51" s="304"/>
      <c r="AI51" s="304"/>
      <c r="AJ51" s="305"/>
      <c r="AK51" s="306"/>
      <c r="AL51" s="304"/>
      <c r="AM51" s="304"/>
      <c r="AN51" s="304"/>
      <c r="AO51" s="308"/>
      <c r="AP51" s="28"/>
      <c r="AQ51" s="9"/>
      <c r="BB51" s="302"/>
      <c r="BC51" s="561"/>
    </row>
    <row r="52" ht="26.25" customHeight="1">
      <c r="A52" s="569"/>
      <c r="B52" s="309"/>
      <c r="C52" s="310"/>
      <c r="D52" s="310"/>
      <c r="E52" s="310"/>
      <c r="F52" s="311"/>
      <c r="G52" s="312"/>
      <c r="H52" s="310"/>
      <c r="I52" s="310"/>
      <c r="J52" s="310"/>
      <c r="K52" s="311"/>
      <c r="L52" s="312"/>
      <c r="M52" s="310"/>
      <c r="N52" s="310"/>
      <c r="O52" s="310"/>
      <c r="P52" s="311"/>
      <c r="Q52" s="312"/>
      <c r="R52" s="310"/>
      <c r="S52" s="310"/>
      <c r="T52" s="310"/>
      <c r="U52" s="313"/>
      <c r="V52" s="314"/>
      <c r="W52" s="310"/>
      <c r="X52" s="310"/>
      <c r="Y52" s="310"/>
      <c r="Z52" s="311"/>
      <c r="AA52" s="315"/>
      <c r="AB52" s="310"/>
      <c r="AC52" s="310"/>
      <c r="AD52" s="310"/>
      <c r="AE52" s="311"/>
      <c r="AF52" s="315"/>
      <c r="AG52" s="310"/>
      <c r="AH52" s="310"/>
      <c r="AI52" s="310"/>
      <c r="AJ52" s="311"/>
      <c r="AK52" s="315"/>
      <c r="AL52" s="310"/>
      <c r="AM52" s="310"/>
      <c r="AN52" s="310"/>
      <c r="AO52" s="316"/>
      <c r="AP52" s="28"/>
      <c r="AQ52" s="9"/>
      <c r="BB52" s="302"/>
      <c r="BC52" s="561"/>
    </row>
    <row r="53" ht="49.5" customHeight="1">
      <c r="A53" s="569"/>
      <c r="B53" s="303"/>
      <c r="C53" s="304"/>
      <c r="D53" s="304"/>
      <c r="E53" s="304"/>
      <c r="F53" s="305"/>
      <c r="G53" s="306"/>
      <c r="H53" s="304"/>
      <c r="I53" s="304"/>
      <c r="J53" s="304"/>
      <c r="K53" s="305"/>
      <c r="L53" s="306"/>
      <c r="M53" s="304"/>
      <c r="N53" s="304"/>
      <c r="O53" s="304"/>
      <c r="P53" s="305"/>
      <c r="Q53" s="306"/>
      <c r="R53" s="304"/>
      <c r="S53" s="304"/>
      <c r="T53" s="304"/>
      <c r="U53" s="307"/>
      <c r="V53" s="304"/>
      <c r="W53" s="304"/>
      <c r="X53" s="304"/>
      <c r="Y53" s="304"/>
      <c r="Z53" s="305"/>
      <c r="AA53" s="306"/>
      <c r="AB53" s="304"/>
      <c r="AC53" s="304"/>
      <c r="AD53" s="304"/>
      <c r="AE53" s="305"/>
      <c r="AF53" s="306"/>
      <c r="AG53" s="304"/>
      <c r="AH53" s="304"/>
      <c r="AI53" s="304"/>
      <c r="AJ53" s="305"/>
      <c r="AK53" s="306"/>
      <c r="AL53" s="304"/>
      <c r="AM53" s="304"/>
      <c r="AN53" s="304"/>
      <c r="AO53" s="308"/>
      <c r="AP53" s="28"/>
      <c r="AQ53" s="9"/>
      <c r="BB53" s="302"/>
      <c r="BC53" s="561"/>
    </row>
    <row r="54" ht="47.25" customHeight="1">
      <c r="A54" s="569"/>
      <c r="B54" s="309"/>
      <c r="C54" s="310"/>
      <c r="D54" s="310"/>
      <c r="E54" s="310"/>
      <c r="F54" s="311"/>
      <c r="G54" s="312"/>
      <c r="H54" s="310"/>
      <c r="I54" s="310"/>
      <c r="J54" s="310"/>
      <c r="K54" s="311"/>
      <c r="L54" s="312"/>
      <c r="M54" s="310"/>
      <c r="N54" s="310"/>
      <c r="O54" s="310"/>
      <c r="P54" s="311"/>
      <c r="Q54" s="312"/>
      <c r="R54" s="310"/>
      <c r="S54" s="310"/>
      <c r="T54" s="310"/>
      <c r="U54" s="313"/>
      <c r="V54" s="314"/>
      <c r="W54" s="310"/>
      <c r="X54" s="310"/>
      <c r="Y54" s="310"/>
      <c r="Z54" s="311"/>
      <c r="AA54" s="315"/>
      <c r="AB54" s="310"/>
      <c r="AC54" s="310"/>
      <c r="AD54" s="310"/>
      <c r="AE54" s="311"/>
      <c r="AF54" s="315"/>
      <c r="AG54" s="310"/>
      <c r="AH54" s="310"/>
      <c r="AI54" s="310"/>
      <c r="AJ54" s="311"/>
      <c r="AK54" s="315"/>
      <c r="AL54" s="310"/>
      <c r="AM54" s="310"/>
      <c r="AN54" s="310"/>
      <c r="AO54" s="316"/>
      <c r="AP54" s="28"/>
      <c r="AQ54" s="10"/>
      <c r="AR54" s="11"/>
      <c r="AS54" s="11"/>
      <c r="AT54" s="11"/>
      <c r="AU54" s="11"/>
      <c r="AV54" s="11"/>
      <c r="AW54" s="11"/>
      <c r="AX54" s="11"/>
      <c r="AY54" s="11"/>
      <c r="AZ54" s="11"/>
      <c r="BA54" s="11"/>
      <c r="BB54" s="317"/>
      <c r="BC54" s="561"/>
    </row>
    <row r="55" ht="30.75" customHeight="1">
      <c r="A55" s="569"/>
      <c r="B55" s="303"/>
      <c r="C55" s="304"/>
      <c r="D55" s="304"/>
      <c r="E55" s="304"/>
      <c r="F55" s="305"/>
      <c r="G55" s="306"/>
      <c r="H55" s="304"/>
      <c r="I55" s="304"/>
      <c r="J55" s="304"/>
      <c r="K55" s="305"/>
      <c r="L55" s="306"/>
      <c r="M55" s="304"/>
      <c r="N55" s="304"/>
      <c r="O55" s="304"/>
      <c r="P55" s="305"/>
      <c r="Q55" s="306"/>
      <c r="R55" s="304"/>
      <c r="S55" s="304"/>
      <c r="T55" s="304"/>
      <c r="U55" s="307"/>
      <c r="V55" s="304"/>
      <c r="W55" s="304"/>
      <c r="X55" s="304"/>
      <c r="Y55" s="304"/>
      <c r="Z55" s="305"/>
      <c r="AA55" s="306"/>
      <c r="AB55" s="304"/>
      <c r="AC55" s="304"/>
      <c r="AD55" s="304"/>
      <c r="AE55" s="305"/>
      <c r="AF55" s="306"/>
      <c r="AG55" s="304"/>
      <c r="AH55" s="304"/>
      <c r="AI55" s="304"/>
      <c r="AJ55" s="305"/>
      <c r="AK55" s="306"/>
      <c r="AL55" s="304"/>
      <c r="AM55" s="304"/>
      <c r="AN55" s="304"/>
      <c r="AO55" s="308"/>
      <c r="AP55" s="28"/>
      <c r="AQ55" s="318" t="str">
        <f>if(or(BB49&gt;10,BB49&lt;0),"잘못된 숫자를 넣으셨습니다.",
if(BB49=1,"인심이 좋습니다.",
if(BB49=2,"동물의 친구입니다.",
if(BB49=3,"몽상가입니다.",
if(BB49=4,"쾌락주의자입니다.",
if(BB49=5,"과감한 승부사입니다.",
if(BB49=6,"유능한 요리사입니다.",
if(BB49=7,"바람둥이입니다.",
if(BB49=8,"충직합니다.",
if(BB49=9,"평판이 좋습니다.",
if(BB49=10,"야심가입니다.", "당신의 성격은 무엇인가요?")))))))))))</f>
        <v>당신의 성격은 무엇인가요?</v>
      </c>
      <c r="AR55" s="294"/>
      <c r="AS55" s="294"/>
      <c r="AT55" s="294"/>
      <c r="AU55" s="294"/>
      <c r="AV55" s="294"/>
      <c r="AW55" s="294"/>
      <c r="AX55" s="294"/>
      <c r="AY55" s="294"/>
      <c r="AZ55" s="294"/>
      <c r="BA55" s="294"/>
      <c r="BB55" s="294"/>
      <c r="BC55" s="561"/>
    </row>
    <row r="56" ht="22.5" customHeight="1">
      <c r="A56" s="569"/>
      <c r="B56" s="309"/>
      <c r="C56" s="310"/>
      <c r="D56" s="310"/>
      <c r="E56" s="310"/>
      <c r="F56" s="311"/>
      <c r="G56" s="312"/>
      <c r="H56" s="310"/>
      <c r="I56" s="310"/>
      <c r="J56" s="310"/>
      <c r="K56" s="311"/>
      <c r="L56" s="312"/>
      <c r="M56" s="310"/>
      <c r="N56" s="310"/>
      <c r="O56" s="310"/>
      <c r="P56" s="311"/>
      <c r="Q56" s="312"/>
      <c r="R56" s="310"/>
      <c r="S56" s="310"/>
      <c r="T56" s="310"/>
      <c r="U56" s="313"/>
      <c r="V56" s="314"/>
      <c r="W56" s="310"/>
      <c r="X56" s="310"/>
      <c r="Y56" s="310"/>
      <c r="Z56" s="311"/>
      <c r="AA56" s="315"/>
      <c r="AB56" s="310"/>
      <c r="AC56" s="310"/>
      <c r="AD56" s="310"/>
      <c r="AE56" s="311"/>
      <c r="AF56" s="315"/>
      <c r="AG56" s="310"/>
      <c r="AH56" s="310"/>
      <c r="AI56" s="310"/>
      <c r="AJ56" s="311"/>
      <c r="AK56" s="315"/>
      <c r="AL56" s="310"/>
      <c r="AM56" s="310"/>
      <c r="AN56" s="310"/>
      <c r="AO56" s="316"/>
      <c r="AP56" s="28"/>
      <c r="AQ56" s="9"/>
      <c r="BC56" s="561"/>
    </row>
    <row r="57" ht="62.25" customHeight="1">
      <c r="A57" s="569"/>
      <c r="B57" s="303"/>
      <c r="C57" s="304"/>
      <c r="D57" s="304"/>
      <c r="E57" s="304"/>
      <c r="F57" s="305"/>
      <c r="G57" s="306"/>
      <c r="H57" s="304"/>
      <c r="I57" s="304"/>
      <c r="J57" s="304"/>
      <c r="K57" s="305"/>
      <c r="L57" s="306"/>
      <c r="M57" s="304"/>
      <c r="N57" s="304"/>
      <c r="O57" s="304"/>
      <c r="P57" s="305"/>
      <c r="Q57" s="306"/>
      <c r="R57" s="304"/>
      <c r="S57" s="304"/>
      <c r="T57" s="304"/>
      <c r="U57" s="307"/>
      <c r="V57" s="304"/>
      <c r="W57" s="304"/>
      <c r="X57" s="304"/>
      <c r="Y57" s="304"/>
      <c r="Z57" s="305"/>
      <c r="AA57" s="306"/>
      <c r="AB57" s="304"/>
      <c r="AC57" s="304"/>
      <c r="AD57" s="304"/>
      <c r="AE57" s="305"/>
      <c r="AF57" s="306"/>
      <c r="AG57" s="304"/>
      <c r="AH57" s="304"/>
      <c r="AI57" s="304"/>
      <c r="AJ57" s="305"/>
      <c r="AK57" s="306"/>
      <c r="AL57" s="304"/>
      <c r="AM57" s="304"/>
      <c r="AN57" s="304"/>
      <c r="AO57" s="308"/>
      <c r="AP57" s="28"/>
      <c r="AQ57" s="9"/>
      <c r="BC57" s="561"/>
    </row>
    <row r="58" ht="61.5" customHeight="1">
      <c r="A58" s="569"/>
      <c r="B58" s="309"/>
      <c r="C58" s="310"/>
      <c r="D58" s="310"/>
      <c r="E58" s="310"/>
      <c r="F58" s="311"/>
      <c r="G58" s="312"/>
      <c r="H58" s="310"/>
      <c r="I58" s="310"/>
      <c r="J58" s="310"/>
      <c r="K58" s="311"/>
      <c r="L58" s="312"/>
      <c r="M58" s="310"/>
      <c r="N58" s="310"/>
      <c r="O58" s="310"/>
      <c r="P58" s="311"/>
      <c r="Q58" s="312"/>
      <c r="R58" s="310"/>
      <c r="S58" s="310"/>
      <c r="T58" s="310"/>
      <c r="U58" s="313"/>
      <c r="V58" s="314"/>
      <c r="W58" s="310"/>
      <c r="X58" s="310"/>
      <c r="Y58" s="310"/>
      <c r="Z58" s="311"/>
      <c r="AA58" s="315"/>
      <c r="AB58" s="310"/>
      <c r="AC58" s="310"/>
      <c r="AD58" s="310"/>
      <c r="AE58" s="311"/>
      <c r="AF58" s="315"/>
      <c r="AG58" s="310"/>
      <c r="AH58" s="310"/>
      <c r="AI58" s="310"/>
      <c r="AJ58" s="311"/>
      <c r="AK58" s="315"/>
      <c r="AL58" s="310"/>
      <c r="AM58" s="310"/>
      <c r="AN58" s="310"/>
      <c r="AO58" s="316"/>
      <c r="AP58" s="28"/>
      <c r="AQ58" s="10"/>
      <c r="AR58" s="11"/>
      <c r="AS58" s="11"/>
      <c r="AT58" s="11"/>
      <c r="AU58" s="11"/>
      <c r="AV58" s="11"/>
      <c r="AW58" s="11"/>
      <c r="AX58" s="11"/>
      <c r="AY58" s="11"/>
      <c r="AZ58" s="11"/>
      <c r="BA58" s="11"/>
      <c r="BB58" s="11"/>
      <c r="BC58" s="561"/>
    </row>
    <row r="59" ht="13.5" customHeight="1">
      <c r="A59" s="569"/>
      <c r="B59" s="303"/>
      <c r="C59" s="304"/>
      <c r="D59" s="304"/>
      <c r="E59" s="304"/>
      <c r="F59" s="305"/>
      <c r="G59" s="306"/>
      <c r="H59" s="304"/>
      <c r="I59" s="304"/>
      <c r="J59" s="304"/>
      <c r="K59" s="305"/>
      <c r="L59" s="306"/>
      <c r="M59" s="304"/>
      <c r="N59" s="304"/>
      <c r="O59" s="304"/>
      <c r="P59" s="305"/>
      <c r="Q59" s="306"/>
      <c r="R59" s="304"/>
      <c r="S59" s="304"/>
      <c r="T59" s="304"/>
      <c r="U59" s="307"/>
      <c r="V59" s="11"/>
      <c r="W59" s="11"/>
      <c r="X59" s="11"/>
      <c r="Y59" s="11"/>
      <c r="Z59" s="319"/>
      <c r="AA59" s="320"/>
      <c r="AB59" s="11"/>
      <c r="AC59" s="11"/>
      <c r="AD59" s="11"/>
      <c r="AE59" s="319"/>
      <c r="AF59" s="320"/>
      <c r="AG59" s="11"/>
      <c r="AH59" s="11"/>
      <c r="AI59" s="11"/>
      <c r="AJ59" s="319"/>
      <c r="AK59" s="320"/>
      <c r="AL59" s="11"/>
      <c r="AM59" s="11"/>
      <c r="AN59" s="11"/>
      <c r="AO59" s="12"/>
      <c r="AP59" s="28"/>
      <c r="AQ59" s="679" t="s">
        <v>128</v>
      </c>
      <c r="AR59" s="105"/>
      <c r="AS59" s="105"/>
      <c r="AT59" s="105"/>
      <c r="AU59" s="105"/>
      <c r="AV59" s="105"/>
      <c r="AW59" s="105"/>
      <c r="AX59" s="105"/>
      <c r="AY59" s="105"/>
      <c r="AZ59" s="105"/>
      <c r="BA59" s="105"/>
      <c r="BB59" s="191"/>
      <c r="BC59" s="561"/>
    </row>
    <row r="60" ht="13.5" customHeight="1">
      <c r="A60" s="569"/>
      <c r="B60" s="309"/>
      <c r="C60" s="310"/>
      <c r="D60" s="310"/>
      <c r="E60" s="310"/>
      <c r="F60" s="311"/>
      <c r="G60" s="315"/>
      <c r="H60" s="310"/>
      <c r="I60" s="310"/>
      <c r="J60" s="310"/>
      <c r="K60" s="311"/>
      <c r="L60" s="315"/>
      <c r="M60" s="310"/>
      <c r="N60" s="310"/>
      <c r="O60" s="310"/>
      <c r="P60" s="311"/>
      <c r="Q60" s="315"/>
      <c r="R60" s="310"/>
      <c r="S60" s="310"/>
      <c r="T60" s="310"/>
      <c r="U60" s="313"/>
      <c r="V60" s="680" t="s">
        <v>129</v>
      </c>
      <c r="W60" s="105"/>
      <c r="X60" s="105"/>
      <c r="Y60" s="105"/>
      <c r="Z60" s="105"/>
      <c r="AA60" s="105"/>
      <c r="AB60" s="105"/>
      <c r="AC60" s="105"/>
      <c r="AD60" s="105"/>
      <c r="AE60" s="105"/>
      <c r="AF60" s="105"/>
      <c r="AG60" s="105"/>
      <c r="AH60" s="105"/>
      <c r="AI60" s="105"/>
      <c r="AJ60" s="105"/>
      <c r="AK60" s="105"/>
      <c r="AL60" s="105"/>
      <c r="AM60" s="105"/>
      <c r="AN60" s="107"/>
      <c r="AO60" s="211"/>
      <c r="AP60" s="28"/>
      <c r="AQ60" s="212" t="str">
        <f>if(or(BB59&gt;10,BB59&lt;0),"잘못된 숫자를 넣으셨습니다.",
if(BB59=1,"숭배하고 기도하는 초월적인 존재가 있습니다.",
if(BB59=2,"인류는 종교 없이도 잘 살 수 있습니다.",
if(BB59=3,"과학이 모든 것의 해답입니다.",
if(BB59=4,"운명을 극적으로 믿습니다.",
if(BB59=5,"사회단체 또는 비밀 단체에 소속되어 있습니다.",
if(BB59=6,"사회에 뿌리 뽑아야 할 악이 있습니다.",
if(BB59=7,"오컬트를 믿습니다.",
if(BB59=8,"세상만사에 관심이 많습니다.",
if(BB59=9,"돈이 권력이고 세속적인 욕심이 강합니다.",
if(BB59=10,"운동가 또는 활동가로 활약하고 있습니다.",
"당신의 사상이나 신념은 무엇인가요?")))))))))))</f>
        <v>당신의 사상이나 신념은 무엇인가요?</v>
      </c>
      <c r="AR60" s="185"/>
      <c r="AS60" s="185"/>
      <c r="AT60" s="185"/>
      <c r="AU60" s="185"/>
      <c r="AV60" s="185"/>
      <c r="AW60" s="185"/>
      <c r="AX60" s="185"/>
      <c r="AY60" s="185"/>
      <c r="AZ60" s="185"/>
      <c r="BA60" s="185"/>
      <c r="BB60" s="185"/>
      <c r="BC60" s="561"/>
    </row>
    <row r="61" ht="56.25" customHeight="1">
      <c r="A61" s="569"/>
      <c r="B61" s="10"/>
      <c r="C61" s="11"/>
      <c r="D61" s="11"/>
      <c r="E61" s="11"/>
      <c r="F61" s="319"/>
      <c r="G61" s="320"/>
      <c r="H61" s="11"/>
      <c r="I61" s="11"/>
      <c r="J61" s="11"/>
      <c r="K61" s="319"/>
      <c r="L61" s="320"/>
      <c r="M61" s="11"/>
      <c r="N61" s="11"/>
      <c r="O61" s="11"/>
      <c r="P61" s="319"/>
      <c r="Q61" s="320"/>
      <c r="R61" s="11"/>
      <c r="S61" s="11"/>
      <c r="T61" s="11"/>
      <c r="U61" s="322"/>
      <c r="V61" s="323" t="str">
        <f>if(or(AO60&gt;10,AO60&lt;0),"잘못된 숫자를 넣으셨습니다.",
if(AO60=1,"갚을 은혜가 있습니다.",
if(AO60=2,"배운 것이 있습니다.",
if(AO60=3,"삶에 의미를 주었습니다.",
if(AO60=4,"잘못한 것이 있어서 속죄하려고 합니다.",
if(AO60=5,"공유한 경험이 있습니다.",
if(AO60=6,"인정을 받고 싶습니다.",
if(AO60=7,"동경하고 숭배합니다.",
if(AO60=8,"회한(두고두고 후회함)이 있습니다.",
if(AO60=9,"자신이 그 사람보다 나은 인간임을 증명하고 싶습니다.",
if(AO60=10,"해를 끼친 사람에게 복수하고 싶습니다.",
"왜 그 사람을 중요하게 여기시나요?")))))))))))</f>
        <v>왜 그 사람을 중요하게 여기시나요?</v>
      </c>
      <c r="W61" s="105"/>
      <c r="X61" s="105"/>
      <c r="Y61" s="105"/>
      <c r="Z61" s="105"/>
      <c r="AA61" s="105"/>
      <c r="AB61" s="105"/>
      <c r="AC61" s="105"/>
      <c r="AD61" s="105"/>
      <c r="AE61" s="105"/>
      <c r="AF61" s="105"/>
      <c r="AG61" s="105"/>
      <c r="AH61" s="105"/>
      <c r="AI61" s="105"/>
      <c r="AJ61" s="105"/>
      <c r="AK61" s="105"/>
      <c r="AL61" s="105"/>
      <c r="AM61" s="105"/>
      <c r="AN61" s="105"/>
      <c r="AO61" s="107"/>
      <c r="AP61" s="28"/>
      <c r="AQ61" s="681" t="s">
        <v>130</v>
      </c>
      <c r="AR61" s="105"/>
      <c r="AS61" s="105"/>
      <c r="AT61" s="105"/>
      <c r="AU61" s="105"/>
      <c r="AV61" s="105"/>
      <c r="AW61" s="105"/>
      <c r="AX61" s="107"/>
      <c r="AY61" s="324"/>
      <c r="AZ61" s="105"/>
      <c r="BA61" s="105"/>
      <c r="BB61" s="107"/>
      <c r="BC61" s="561"/>
    </row>
    <row r="62" ht="13.5" customHeight="1">
      <c r="A62" s="562"/>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3"/>
      <c r="AD62" s="53"/>
      <c r="AE62" s="53"/>
      <c r="AF62" s="53"/>
      <c r="AG62" s="53"/>
      <c r="AH62" s="53"/>
      <c r="AI62" s="53"/>
      <c r="AJ62" s="53"/>
      <c r="AK62" s="53"/>
      <c r="AL62" s="53"/>
      <c r="AM62" s="53"/>
      <c r="AN62" s="53"/>
      <c r="AO62" s="53"/>
      <c r="AP62" s="218"/>
      <c r="AQ62" s="218"/>
      <c r="AR62" s="218"/>
      <c r="AS62" s="218"/>
      <c r="AT62" s="218"/>
      <c r="AU62" s="218"/>
      <c r="AV62" s="218"/>
      <c r="AW62" s="218"/>
      <c r="AX62" s="218"/>
      <c r="AY62" s="218"/>
      <c r="AZ62" s="218"/>
      <c r="BA62" s="218"/>
      <c r="BB62" s="218"/>
      <c r="BC62" s="561"/>
    </row>
    <row r="63" ht="15.75" customHeight="1">
      <c r="A63" s="682"/>
      <c r="B63" s="683" t="s">
        <v>131</v>
      </c>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5"/>
      <c r="BC63" s="684"/>
    </row>
    <row r="64" ht="15.75" customHeight="1">
      <c r="A64" s="682"/>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2"/>
      <c r="BC64" s="684"/>
    </row>
    <row r="65" ht="15.75" customHeight="1">
      <c r="A65" s="682"/>
      <c r="B65" s="685" t="s">
        <v>132</v>
      </c>
      <c r="C65" s="24"/>
      <c r="D65" s="24"/>
      <c r="E65" s="24"/>
      <c r="F65" s="24"/>
      <c r="G65" s="24"/>
      <c r="H65" s="24"/>
      <c r="I65" s="24"/>
      <c r="J65" s="24"/>
      <c r="K65" s="24"/>
      <c r="L65" s="24"/>
      <c r="M65" s="24"/>
      <c r="N65" s="24"/>
      <c r="O65" s="24"/>
      <c r="P65" s="24"/>
      <c r="Q65" s="24"/>
      <c r="R65" s="25"/>
      <c r="S65" s="686" t="s">
        <v>127</v>
      </c>
      <c r="T65" s="24"/>
      <c r="U65" s="24"/>
      <c r="V65" s="24"/>
      <c r="W65" s="24"/>
      <c r="X65" s="24"/>
      <c r="Y65" s="24"/>
      <c r="Z65" s="24"/>
      <c r="AA65" s="24"/>
      <c r="AB65" s="24"/>
      <c r="AC65" s="24"/>
      <c r="AD65" s="24"/>
      <c r="AE65" s="24"/>
      <c r="AF65" s="24"/>
      <c r="AG65" s="24"/>
      <c r="AH65" s="24"/>
      <c r="AI65" s="25"/>
      <c r="AJ65" s="685" t="s">
        <v>133</v>
      </c>
      <c r="AK65" s="24"/>
      <c r="AL65" s="24"/>
      <c r="AM65" s="24"/>
      <c r="AN65" s="24"/>
      <c r="AO65" s="24"/>
      <c r="AP65" s="24"/>
      <c r="AQ65" s="24"/>
      <c r="AR65" s="24"/>
      <c r="AS65" s="24"/>
      <c r="AT65" s="24"/>
      <c r="AU65" s="24"/>
      <c r="AV65" s="24"/>
      <c r="AW65" s="24"/>
      <c r="AX65" s="24"/>
      <c r="AY65" s="24"/>
      <c r="AZ65" s="24"/>
      <c r="BA65" s="24"/>
      <c r="BB65" s="25"/>
      <c r="BC65" s="684"/>
    </row>
    <row r="66" ht="15.75" customHeight="1">
      <c r="A66" s="682"/>
      <c r="B66" s="224"/>
      <c r="C66" s="5"/>
      <c r="D66" s="5"/>
      <c r="E66" s="5"/>
      <c r="F66" s="5"/>
      <c r="G66" s="5"/>
      <c r="H66" s="5"/>
      <c r="I66" s="5"/>
      <c r="J66" s="5"/>
      <c r="K66" s="5"/>
      <c r="L66" s="5"/>
      <c r="M66" s="5"/>
      <c r="N66" s="5"/>
      <c r="O66" s="5"/>
      <c r="P66" s="5"/>
      <c r="Q66" s="5"/>
      <c r="R66" s="7"/>
      <c r="S66" s="224"/>
      <c r="T66" s="5"/>
      <c r="U66" s="5"/>
      <c r="V66" s="5"/>
      <c r="W66" s="5"/>
      <c r="X66" s="5"/>
      <c r="Y66" s="5"/>
      <c r="Z66" s="5"/>
      <c r="AA66" s="5"/>
      <c r="AB66" s="5"/>
      <c r="AC66" s="5"/>
      <c r="AD66" s="5"/>
      <c r="AE66" s="5"/>
      <c r="AF66" s="5"/>
      <c r="AG66" s="5"/>
      <c r="AH66" s="5"/>
      <c r="AI66" s="7"/>
      <c r="AJ66" s="224"/>
      <c r="AK66" s="5"/>
      <c r="AL66" s="5"/>
      <c r="AM66" s="5"/>
      <c r="AN66" s="5"/>
      <c r="AO66" s="5"/>
      <c r="AP66" s="5"/>
      <c r="AQ66" s="5"/>
      <c r="AR66" s="5"/>
      <c r="AS66" s="5"/>
      <c r="AT66" s="5"/>
      <c r="AU66" s="5"/>
      <c r="AV66" s="5"/>
      <c r="AW66" s="5"/>
      <c r="AX66" s="5"/>
      <c r="AY66" s="5"/>
      <c r="AZ66" s="5"/>
      <c r="BA66" s="5"/>
      <c r="BB66" s="225"/>
      <c r="BC66" s="687"/>
    </row>
    <row r="67" ht="135.0" customHeight="1">
      <c r="A67" s="682"/>
      <c r="B67" s="9"/>
      <c r="R67" s="15"/>
      <c r="S67" s="9"/>
      <c r="AI67" s="15"/>
      <c r="AJ67" s="9"/>
      <c r="BB67" s="209"/>
      <c r="BC67" s="687"/>
    </row>
    <row r="68" ht="15.75" customHeight="1">
      <c r="A68" s="682"/>
      <c r="B68" s="9"/>
      <c r="R68" s="15"/>
      <c r="S68" s="9"/>
      <c r="AI68" s="15"/>
      <c r="AJ68" s="9"/>
      <c r="BB68" s="209"/>
      <c r="BC68" s="687"/>
    </row>
    <row r="69" ht="15.75" customHeight="1">
      <c r="A69" s="682"/>
      <c r="B69" s="9"/>
      <c r="R69" s="15"/>
      <c r="S69" s="9"/>
      <c r="AI69" s="15"/>
      <c r="AJ69" s="9"/>
      <c r="BB69" s="209"/>
      <c r="BC69" s="687"/>
    </row>
    <row r="70" ht="15.75" customHeight="1">
      <c r="A70" s="682"/>
      <c r="B70" s="10"/>
      <c r="C70" s="11"/>
      <c r="D70" s="11"/>
      <c r="E70" s="11"/>
      <c r="F70" s="11"/>
      <c r="G70" s="11"/>
      <c r="H70" s="11"/>
      <c r="I70" s="11"/>
      <c r="J70" s="11"/>
      <c r="K70" s="11"/>
      <c r="L70" s="11"/>
      <c r="M70" s="11"/>
      <c r="N70" s="11"/>
      <c r="O70" s="11"/>
      <c r="P70" s="11"/>
      <c r="Q70" s="11"/>
      <c r="R70" s="12"/>
      <c r="S70" s="10"/>
      <c r="T70" s="11"/>
      <c r="U70" s="11"/>
      <c r="V70" s="11"/>
      <c r="W70" s="11"/>
      <c r="X70" s="11"/>
      <c r="Y70" s="11"/>
      <c r="Z70" s="11"/>
      <c r="AA70" s="11"/>
      <c r="AB70" s="11"/>
      <c r="AC70" s="11"/>
      <c r="AD70" s="11"/>
      <c r="AE70" s="11"/>
      <c r="AF70" s="11"/>
      <c r="AG70" s="11"/>
      <c r="AH70" s="11"/>
      <c r="AI70" s="12"/>
      <c r="AJ70" s="9"/>
      <c r="BB70" s="209"/>
      <c r="BC70" s="687"/>
    </row>
    <row r="71" ht="15.75" customHeight="1">
      <c r="A71" s="682"/>
      <c r="B71" s="688" t="s">
        <v>134</v>
      </c>
      <c r="C71" s="5"/>
      <c r="D71" s="5"/>
      <c r="E71" s="5"/>
      <c r="F71" s="5"/>
      <c r="G71" s="5"/>
      <c r="H71" s="5"/>
      <c r="I71" s="5"/>
      <c r="J71" s="5"/>
      <c r="K71" s="5"/>
      <c r="L71" s="5"/>
      <c r="M71" s="5"/>
      <c r="N71" s="5"/>
      <c r="O71" s="5"/>
      <c r="P71" s="5"/>
      <c r="Q71" s="7"/>
      <c r="R71" s="689"/>
      <c r="S71" s="690" t="s">
        <v>135</v>
      </c>
      <c r="T71" s="5"/>
      <c r="U71" s="5"/>
      <c r="V71" s="7"/>
      <c r="W71" s="690" t="s">
        <v>136</v>
      </c>
      <c r="X71" s="5"/>
      <c r="Y71" s="5"/>
      <c r="Z71" s="7"/>
      <c r="AA71" s="690" t="s">
        <v>137</v>
      </c>
      <c r="AB71" s="5"/>
      <c r="AC71" s="5"/>
      <c r="AD71" s="7"/>
      <c r="AE71" s="690" t="s">
        <v>138</v>
      </c>
      <c r="AF71" s="5"/>
      <c r="AG71" s="5"/>
      <c r="AH71" s="5"/>
      <c r="AI71" s="7"/>
      <c r="AJ71" s="9"/>
      <c r="BB71" s="209"/>
      <c r="BC71" s="687"/>
    </row>
    <row r="72" ht="15.75" customHeight="1">
      <c r="A72" s="682"/>
      <c r="B72" s="10"/>
      <c r="C72" s="11"/>
      <c r="D72" s="11"/>
      <c r="E72" s="11"/>
      <c r="F72" s="11"/>
      <c r="G72" s="11"/>
      <c r="H72" s="11"/>
      <c r="I72" s="11"/>
      <c r="J72" s="11"/>
      <c r="K72" s="11"/>
      <c r="L72" s="11"/>
      <c r="M72" s="11"/>
      <c r="N72" s="11"/>
      <c r="O72" s="11"/>
      <c r="P72" s="11"/>
      <c r="Q72" s="12"/>
      <c r="R72" s="230"/>
      <c r="S72" s="10"/>
      <c r="T72" s="11"/>
      <c r="U72" s="11"/>
      <c r="V72" s="12"/>
      <c r="W72" s="10"/>
      <c r="X72" s="11"/>
      <c r="Y72" s="11"/>
      <c r="Z72" s="12"/>
      <c r="AA72" s="10"/>
      <c r="AB72" s="11"/>
      <c r="AC72" s="11"/>
      <c r="AD72" s="12"/>
      <c r="AE72" s="10"/>
      <c r="AF72" s="11"/>
      <c r="AG72" s="11"/>
      <c r="AH72" s="11"/>
      <c r="AI72" s="12"/>
      <c r="AJ72" s="9"/>
      <c r="BB72" s="209"/>
      <c r="BC72" s="687"/>
    </row>
    <row r="73" ht="15.75" customHeight="1">
      <c r="A73" s="682"/>
      <c r="B73" s="231" t="str">
        <f>if(or(R72&gt;10,R72&lt;0),"잘못된 숫자를 넣으셨습니다.",
if(R72=1,"배움의 장소",
if(R72=2,"고향",
if(R72=3,"첫사랑을 만난 곳",
if(R72=4,"조용한 명상의 장소",
if(R72=5,"사교의 장소",
if(R72=6,"사상 또는 신앙과 관련된 장소",
if(R72=7,"중요한 사람의 무덤",
if(R72=8,"가족의 집",
if(R72=9,"가장 행복했던 시간을 보낸 곳",
if(R72=10,"직장",
"당신에게 의미있었던 장소는 어딘가요?")))))))))))</f>
        <v>당신에게 의미있었던 장소는 어딘가요?</v>
      </c>
      <c r="C73" s="105"/>
      <c r="D73" s="105"/>
      <c r="E73" s="105"/>
      <c r="F73" s="105"/>
      <c r="G73" s="105"/>
      <c r="H73" s="105"/>
      <c r="I73" s="105"/>
      <c r="J73" s="105"/>
      <c r="K73" s="105"/>
      <c r="L73" s="105"/>
      <c r="M73" s="105"/>
      <c r="N73" s="105"/>
      <c r="O73" s="105"/>
      <c r="P73" s="105"/>
      <c r="Q73" s="105"/>
      <c r="R73" s="107"/>
      <c r="S73" s="231" t="str">
        <f>R19</f>
        <v/>
      </c>
      <c r="T73" s="105"/>
      <c r="U73" s="105"/>
      <c r="V73" s="107"/>
      <c r="W73" s="232">
        <f>if((R19)&lt;=0,(10*1.3),if((R19)&lt;=9,(40*1.3),if((R19)&lt;=49,(200*1.3),if((R19)&lt;=89,(1000*1.3),if((R19)&lt;=98,(5000*1.3),100000)))))</f>
        <v>13</v>
      </c>
      <c r="X73" s="105"/>
      <c r="Y73" s="105"/>
      <c r="Z73" s="107"/>
      <c r="AA73" s="232">
        <f>if((R19)&lt;=0,(10*1.3),if((R19)&lt;=9,(R19*20*1.3),if((R19)&lt;=49,(R19*40*1.3),if((R19)&lt;=89,(R19*100*1.3),if((R19)&lt;=98,(R19*400*1.3),(1000000*1.3))))))</f>
        <v>13</v>
      </c>
      <c r="AB73" s="105"/>
      <c r="AC73" s="105"/>
      <c r="AD73" s="107"/>
      <c r="AE73" s="232" t="str">
        <f>if((R19)&lt;=0,"None",if((R19)&lt;=9,(R19*200*1.3),if((R19)&lt;=49,(R19*1000*1.3),if((R19)&lt;=89,(R19*10000*1.3),if((R19)&lt;=98,(R19*40000*1.3),"$100000000+")))))</f>
        <v>None</v>
      </c>
      <c r="AF73" s="105"/>
      <c r="AG73" s="105"/>
      <c r="AH73" s="105"/>
      <c r="AI73" s="107"/>
      <c r="AJ73" s="188"/>
      <c r="AK73" s="31"/>
      <c r="AL73" s="31"/>
      <c r="AM73" s="31"/>
      <c r="AN73" s="31"/>
      <c r="AO73" s="31"/>
      <c r="AP73" s="31"/>
      <c r="AQ73" s="31"/>
      <c r="AR73" s="31"/>
      <c r="AS73" s="31"/>
      <c r="AT73" s="31"/>
      <c r="AU73" s="31"/>
      <c r="AV73" s="31"/>
      <c r="AW73" s="31"/>
      <c r="AX73" s="31"/>
      <c r="AY73" s="31"/>
      <c r="AZ73" s="31"/>
      <c r="BA73" s="31"/>
      <c r="BB73" s="32"/>
      <c r="BC73" s="687"/>
    </row>
    <row r="74" ht="15.75" customHeight="1">
      <c r="A74" s="691"/>
      <c r="B74" s="235"/>
      <c r="C74" s="235"/>
      <c r="D74" s="235"/>
      <c r="E74" s="235"/>
      <c r="F74" s="235"/>
      <c r="G74" s="235"/>
      <c r="H74" s="235"/>
      <c r="I74" s="235"/>
      <c r="J74" s="235"/>
      <c r="K74" s="235"/>
      <c r="L74" s="235"/>
      <c r="M74" s="235"/>
      <c r="N74" s="235"/>
      <c r="O74" s="235"/>
      <c r="P74" s="235"/>
      <c r="Q74" s="235"/>
      <c r="R74" s="235"/>
      <c r="S74" s="235"/>
      <c r="T74" s="235"/>
      <c r="U74" s="235"/>
      <c r="V74" s="235"/>
      <c r="W74" s="235"/>
      <c r="X74" s="235"/>
      <c r="Y74" s="235"/>
      <c r="Z74" s="235"/>
      <c r="AA74" s="235"/>
      <c r="AB74" s="235"/>
      <c r="AC74" s="235"/>
      <c r="AD74" s="235"/>
      <c r="AE74" s="235"/>
      <c r="AF74" s="235"/>
      <c r="AG74" s="235"/>
      <c r="AH74" s="235"/>
      <c r="AI74" s="235"/>
      <c r="AJ74" s="236"/>
      <c r="AK74" s="237"/>
      <c r="AL74" s="238"/>
      <c r="AM74" s="237"/>
      <c r="AN74" s="237"/>
      <c r="AO74" s="237"/>
      <c r="AP74" s="237"/>
      <c r="AQ74" s="237"/>
      <c r="AR74" s="237"/>
      <c r="AS74" s="237"/>
      <c r="AT74" s="237"/>
      <c r="AU74" s="237"/>
      <c r="AV74" s="237"/>
      <c r="AW74" s="237"/>
      <c r="AX74" s="237"/>
      <c r="AY74" s="237"/>
      <c r="AZ74" s="237"/>
      <c r="BA74" s="237"/>
      <c r="BB74" s="237"/>
      <c r="BC74" s="692"/>
    </row>
    <row r="75" ht="15.75" customHeight="1">
      <c r="A75" s="693"/>
      <c r="B75" s="694" t="s">
        <v>139</v>
      </c>
      <c r="C75" s="24"/>
      <c r="D75" s="24"/>
      <c r="E75" s="24"/>
      <c r="F75" s="24"/>
      <c r="G75" s="24"/>
      <c r="H75" s="24"/>
      <c r="I75" s="24"/>
      <c r="J75" s="24"/>
      <c r="K75" s="24"/>
      <c r="L75" s="24"/>
      <c r="M75" s="25"/>
      <c r="N75" s="695" t="s">
        <v>140</v>
      </c>
      <c r="O75" s="24"/>
      <c r="P75" s="24"/>
      <c r="Q75" s="24"/>
      <c r="R75" s="24"/>
      <c r="S75" s="24"/>
      <c r="T75" s="24"/>
      <c r="U75" s="24"/>
      <c r="V75" s="24"/>
      <c r="W75" s="24"/>
      <c r="X75" s="24"/>
      <c r="Y75" s="25"/>
      <c r="Z75" s="695" t="s">
        <v>141</v>
      </c>
      <c r="AA75" s="24"/>
      <c r="AB75" s="24"/>
      <c r="AC75" s="24"/>
      <c r="AD75" s="24"/>
      <c r="AE75" s="24"/>
      <c r="AF75" s="24"/>
      <c r="AG75" s="24"/>
      <c r="AH75" s="24"/>
      <c r="AI75" s="24"/>
      <c r="AJ75" s="24"/>
      <c r="AK75" s="25"/>
      <c r="AL75" s="695" t="s">
        <v>142</v>
      </c>
      <c r="AM75" s="24"/>
      <c r="AN75" s="24"/>
      <c r="AO75" s="24"/>
      <c r="AP75" s="24"/>
      <c r="AQ75" s="24"/>
      <c r="AR75" s="24"/>
      <c r="AS75" s="24"/>
      <c r="AT75" s="24"/>
      <c r="AU75" s="24"/>
      <c r="AV75" s="24"/>
      <c r="AW75" s="25"/>
      <c r="AX75" s="243"/>
      <c r="AY75" s="686" t="s">
        <v>143</v>
      </c>
      <c r="AZ75" s="24"/>
      <c r="BA75" s="24"/>
      <c r="BB75" s="25"/>
      <c r="BC75" s="696"/>
    </row>
    <row r="76" ht="15.75" customHeight="1">
      <c r="A76" s="697"/>
      <c r="B76" s="247"/>
      <c r="C76" s="11"/>
      <c r="D76" s="11"/>
      <c r="E76" s="11"/>
      <c r="F76" s="11"/>
      <c r="G76" s="11"/>
      <c r="H76" s="11"/>
      <c r="I76" s="11"/>
      <c r="J76" s="11"/>
      <c r="K76" s="11"/>
      <c r="L76" s="11"/>
      <c r="M76" s="248"/>
      <c r="N76" s="10"/>
      <c r="O76" s="11"/>
      <c r="P76" s="11"/>
      <c r="Q76" s="11"/>
      <c r="R76" s="11"/>
      <c r="S76" s="11"/>
      <c r="T76" s="11"/>
      <c r="U76" s="11"/>
      <c r="V76" s="11"/>
      <c r="W76" s="11"/>
      <c r="X76" s="11"/>
      <c r="Y76" s="248"/>
      <c r="Z76" s="10"/>
      <c r="AA76" s="11"/>
      <c r="AB76" s="11"/>
      <c r="AC76" s="11"/>
      <c r="AD76" s="11"/>
      <c r="AE76" s="11"/>
      <c r="AF76" s="11"/>
      <c r="AG76" s="11"/>
      <c r="AH76" s="11"/>
      <c r="AI76" s="11"/>
      <c r="AJ76" s="11"/>
      <c r="AK76" s="248"/>
      <c r="AL76" s="10"/>
      <c r="AM76" s="11"/>
      <c r="AN76" s="11"/>
      <c r="AO76" s="11"/>
      <c r="AP76" s="11"/>
      <c r="AQ76" s="11"/>
      <c r="AR76" s="11"/>
      <c r="AS76" s="11"/>
      <c r="AT76" s="11"/>
      <c r="AU76" s="11"/>
      <c r="AV76" s="11"/>
      <c r="AW76" s="248"/>
      <c r="AX76" s="249"/>
      <c r="AY76" s="250"/>
      <c r="BB76" s="209"/>
      <c r="BC76" s="698"/>
    </row>
    <row r="77" ht="15.75" customHeight="1">
      <c r="A77" s="699"/>
      <c r="B77" s="700"/>
      <c r="C77" s="5"/>
      <c r="D77" s="5"/>
      <c r="E77" s="5"/>
      <c r="F77" s="5"/>
      <c r="G77" s="5"/>
      <c r="H77" s="5"/>
      <c r="I77" s="5"/>
      <c r="J77" s="5"/>
      <c r="K77" s="5"/>
      <c r="L77" s="5"/>
      <c r="M77" s="225"/>
      <c r="N77" s="701"/>
      <c r="O77" s="5"/>
      <c r="P77" s="5"/>
      <c r="Q77" s="5"/>
      <c r="R77" s="5"/>
      <c r="S77" s="5"/>
      <c r="T77" s="5"/>
      <c r="U77" s="5"/>
      <c r="V77" s="5"/>
      <c r="W77" s="5"/>
      <c r="X77" s="5"/>
      <c r="Y77" s="225"/>
      <c r="Z77" s="701"/>
      <c r="AA77" s="5"/>
      <c r="AB77" s="5"/>
      <c r="AC77" s="5"/>
      <c r="AD77" s="5"/>
      <c r="AE77" s="5"/>
      <c r="AF77" s="5"/>
      <c r="AG77" s="5"/>
      <c r="AH77" s="5"/>
      <c r="AI77" s="5"/>
      <c r="AJ77" s="5"/>
      <c r="AK77" s="225"/>
      <c r="AL77" s="701"/>
      <c r="AM77" s="5"/>
      <c r="AN77" s="5"/>
      <c r="AO77" s="5"/>
      <c r="AP77" s="5"/>
      <c r="AQ77" s="5"/>
      <c r="AR77" s="5"/>
      <c r="AS77" s="5"/>
      <c r="AT77" s="5"/>
      <c r="AU77" s="5"/>
      <c r="AV77" s="5"/>
      <c r="AW77" s="225"/>
      <c r="AX77" s="256"/>
      <c r="AY77" s="700"/>
      <c r="AZ77" s="5"/>
      <c r="BA77" s="5"/>
      <c r="BB77" s="225"/>
      <c r="BC77" s="702"/>
    </row>
    <row r="78" ht="15.75" customHeight="1">
      <c r="A78" s="703"/>
      <c r="B78" s="250"/>
      <c r="M78" s="209"/>
      <c r="N78" s="260"/>
      <c r="Y78" s="209"/>
      <c r="Z78" s="260"/>
      <c r="AK78" s="209"/>
      <c r="AL78" s="260"/>
      <c r="AW78" s="209"/>
      <c r="AX78" s="256"/>
      <c r="AY78" s="250"/>
      <c r="BB78" s="209"/>
      <c r="BC78" s="702"/>
    </row>
    <row r="79" ht="15.75" customHeight="1">
      <c r="A79" s="703"/>
      <c r="B79" s="250"/>
      <c r="M79" s="209"/>
      <c r="N79" s="260"/>
      <c r="Y79" s="209"/>
      <c r="Z79" s="260"/>
      <c r="AK79" s="209"/>
      <c r="AL79" s="260"/>
      <c r="AW79" s="209"/>
      <c r="AX79" s="256"/>
      <c r="AY79" s="250"/>
      <c r="BB79" s="209"/>
      <c r="BC79" s="702"/>
    </row>
    <row r="80" ht="15.75" customHeight="1">
      <c r="A80" s="703"/>
      <c r="B80" s="30"/>
      <c r="C80" s="31"/>
      <c r="D80" s="31"/>
      <c r="E80" s="31"/>
      <c r="F80" s="31"/>
      <c r="G80" s="31"/>
      <c r="H80" s="31"/>
      <c r="I80" s="31"/>
      <c r="J80" s="31"/>
      <c r="K80" s="31"/>
      <c r="L80" s="31"/>
      <c r="M80" s="32"/>
      <c r="N80" s="261"/>
      <c r="O80" s="31"/>
      <c r="P80" s="31"/>
      <c r="Q80" s="31"/>
      <c r="R80" s="31"/>
      <c r="S80" s="31"/>
      <c r="T80" s="31"/>
      <c r="U80" s="31"/>
      <c r="V80" s="31"/>
      <c r="W80" s="31"/>
      <c r="X80" s="31"/>
      <c r="Y80" s="32"/>
      <c r="Z80" s="261"/>
      <c r="AA80" s="31"/>
      <c r="AB80" s="31"/>
      <c r="AC80" s="31"/>
      <c r="AD80" s="31"/>
      <c r="AE80" s="31"/>
      <c r="AF80" s="31"/>
      <c r="AG80" s="31"/>
      <c r="AH80" s="31"/>
      <c r="AI80" s="31"/>
      <c r="AJ80" s="31"/>
      <c r="AK80" s="32"/>
      <c r="AL80" s="261"/>
      <c r="AM80" s="31"/>
      <c r="AN80" s="31"/>
      <c r="AO80" s="31"/>
      <c r="AP80" s="31"/>
      <c r="AQ80" s="31"/>
      <c r="AR80" s="31"/>
      <c r="AS80" s="31"/>
      <c r="AT80" s="31"/>
      <c r="AU80" s="31"/>
      <c r="AV80" s="31"/>
      <c r="AW80" s="32"/>
      <c r="AX80" s="262"/>
      <c r="AY80" s="30"/>
      <c r="AZ80" s="31"/>
      <c r="BA80" s="31"/>
      <c r="BB80" s="32"/>
      <c r="BC80" s="702"/>
    </row>
    <row r="81" ht="15.75" customHeight="1">
      <c r="A81" s="704"/>
      <c r="B81" s="264"/>
      <c r="C81" s="265"/>
      <c r="D81" s="265"/>
      <c r="E81" s="265"/>
      <c r="F81" s="265"/>
      <c r="G81" s="265"/>
      <c r="H81" s="265"/>
      <c r="I81" s="265"/>
      <c r="J81" s="265"/>
      <c r="K81" s="265"/>
      <c r="L81" s="265"/>
      <c r="M81" s="265"/>
      <c r="N81" s="265"/>
      <c r="O81" s="265"/>
      <c r="P81" s="265"/>
      <c r="Q81" s="265"/>
      <c r="R81" s="265"/>
      <c r="S81" s="265"/>
      <c r="T81" s="265"/>
      <c r="U81" s="265"/>
      <c r="V81" s="265"/>
      <c r="W81" s="265"/>
      <c r="X81" s="265"/>
      <c r="Y81" s="265"/>
      <c r="Z81" s="265"/>
      <c r="AA81" s="265"/>
      <c r="AB81" s="265"/>
      <c r="AC81" s="265"/>
      <c r="AD81" s="265"/>
      <c r="AE81" s="265"/>
      <c r="AF81" s="265"/>
      <c r="AG81" s="265"/>
      <c r="AH81" s="265"/>
      <c r="AI81" s="265"/>
      <c r="AJ81" s="265"/>
      <c r="AK81" s="265"/>
      <c r="AL81" s="266"/>
      <c r="AM81" s="265"/>
      <c r="AN81" s="265"/>
      <c r="AO81" s="265"/>
      <c r="AP81" s="265"/>
      <c r="AQ81" s="265"/>
      <c r="AR81" s="265"/>
      <c r="AS81" s="265"/>
      <c r="AT81" s="265"/>
      <c r="AU81" s="265"/>
      <c r="AV81" s="265"/>
      <c r="AW81" s="265"/>
      <c r="AX81" s="265"/>
      <c r="AY81" s="265"/>
      <c r="AZ81" s="265"/>
      <c r="BA81" s="265"/>
      <c r="BB81" s="265"/>
      <c r="BC81" s="705"/>
    </row>
    <row r="82" ht="15.75" customHeight="1">
      <c r="A82" s="706"/>
      <c r="B82" s="707" t="s">
        <v>144</v>
      </c>
      <c r="C82" s="24"/>
      <c r="D82" s="24"/>
      <c r="E82" s="270"/>
      <c r="F82" s="708" t="s">
        <v>145</v>
      </c>
      <c r="G82" s="24"/>
      <c r="H82" s="24"/>
      <c r="I82" s="270"/>
      <c r="J82" s="709" t="s">
        <v>146</v>
      </c>
      <c r="K82" s="24"/>
      <c r="L82" s="24"/>
      <c r="M82" s="270"/>
      <c r="N82" s="709" t="s">
        <v>147</v>
      </c>
      <c r="O82" s="24"/>
      <c r="P82" s="24"/>
      <c r="Q82" s="270"/>
      <c r="R82" s="708" t="s">
        <v>148</v>
      </c>
      <c r="S82" s="24"/>
      <c r="T82" s="24"/>
      <c r="U82" s="24"/>
      <c r="V82" s="708" t="s">
        <v>149</v>
      </c>
      <c r="W82" s="24"/>
      <c r="X82" s="24"/>
      <c r="Y82" s="24"/>
      <c r="Z82" s="710" t="s">
        <v>150</v>
      </c>
      <c r="AA82" s="24"/>
      <c r="AB82" s="24"/>
      <c r="AC82" s="24"/>
      <c r="AD82" s="711" t="s">
        <v>151</v>
      </c>
      <c r="AE82" s="24"/>
      <c r="AF82" s="24"/>
      <c r="AG82" s="270"/>
      <c r="AH82" s="712"/>
      <c r="AI82" s="24"/>
      <c r="AJ82" s="24"/>
      <c r="AK82" s="270"/>
      <c r="AL82" s="712"/>
      <c r="AM82" s="24"/>
      <c r="AN82" s="24"/>
      <c r="AO82" s="270"/>
      <c r="AP82" s="713"/>
      <c r="AQ82" s="24"/>
      <c r="AR82" s="24"/>
      <c r="AS82" s="270"/>
      <c r="AT82" s="712"/>
      <c r="AU82" s="24"/>
      <c r="AV82" s="24"/>
      <c r="AW82" s="270"/>
      <c r="AX82" s="712"/>
      <c r="AY82" s="24"/>
      <c r="AZ82" s="24"/>
      <c r="BA82" s="24"/>
      <c r="BB82" s="25"/>
      <c r="BC82" s="706"/>
    </row>
    <row r="83" ht="15.75" customHeight="1">
      <c r="A83" s="706"/>
      <c r="B83" s="30"/>
      <c r="C83" s="31"/>
      <c r="D83" s="31"/>
      <c r="E83" s="275"/>
      <c r="F83" s="188"/>
      <c r="G83" s="31"/>
      <c r="H83" s="31"/>
      <c r="I83" s="275"/>
      <c r="J83" s="188"/>
      <c r="K83" s="31"/>
      <c r="L83" s="31"/>
      <c r="M83" s="275"/>
      <c r="N83" s="188"/>
      <c r="O83" s="31"/>
      <c r="P83" s="31"/>
      <c r="Q83" s="275"/>
      <c r="R83" s="188"/>
      <c r="S83" s="31"/>
      <c r="T83" s="31"/>
      <c r="U83" s="31"/>
      <c r="V83" s="188"/>
      <c r="W83" s="31"/>
      <c r="X83" s="31"/>
      <c r="Y83" s="31"/>
      <c r="Z83" s="188"/>
      <c r="AA83" s="31"/>
      <c r="AB83" s="31"/>
      <c r="AC83" s="31"/>
      <c r="AD83" s="188"/>
      <c r="AE83" s="31"/>
      <c r="AF83" s="31"/>
      <c r="AG83" s="275"/>
      <c r="AH83" s="188"/>
      <c r="AI83" s="31"/>
      <c r="AJ83" s="31"/>
      <c r="AK83" s="275"/>
      <c r="AL83" s="188"/>
      <c r="AM83" s="31"/>
      <c r="AN83" s="31"/>
      <c r="AO83" s="275"/>
      <c r="AP83" s="188"/>
      <c r="AQ83" s="31"/>
      <c r="AR83" s="31"/>
      <c r="AS83" s="275"/>
      <c r="AT83" s="188"/>
      <c r="AU83" s="31"/>
      <c r="AV83" s="31"/>
      <c r="AW83" s="275"/>
      <c r="AX83" s="188"/>
      <c r="AY83" s="31"/>
      <c r="AZ83" s="31"/>
      <c r="BA83" s="31"/>
      <c r="BB83" s="32"/>
      <c r="BC83" s="706"/>
    </row>
    <row r="84" ht="15.75" customHeight="1">
      <c r="A84" s="706"/>
      <c r="B84" s="276" t="s">
        <v>152</v>
      </c>
      <c r="E84" s="15"/>
      <c r="F84" s="277" t="s">
        <v>153</v>
      </c>
      <c r="I84" s="15"/>
      <c r="J84" s="278" t="s">
        <v>154</v>
      </c>
      <c r="M84" s="15"/>
      <c r="N84" s="278" t="s">
        <v>155</v>
      </c>
      <c r="Q84" s="15"/>
      <c r="R84" s="279" t="s">
        <v>156</v>
      </c>
      <c r="V84" s="279" t="s">
        <v>157</v>
      </c>
      <c r="Z84" s="278" t="s">
        <v>158</v>
      </c>
      <c r="AD84" s="280" t="s">
        <v>159</v>
      </c>
      <c r="AG84" s="15"/>
      <c r="AH84" s="279"/>
      <c r="AK84" s="15"/>
      <c r="AL84" s="279"/>
      <c r="AO84" s="15"/>
      <c r="AP84" s="278"/>
      <c r="AS84" s="15"/>
      <c r="AT84" s="279"/>
      <c r="AW84" s="15"/>
      <c r="AX84" s="279"/>
      <c r="BB84" s="209"/>
      <c r="BC84" s="706"/>
    </row>
    <row r="85" ht="15.75" customHeight="1">
      <c r="A85" s="706"/>
      <c r="B85" s="250"/>
      <c r="E85" s="15"/>
      <c r="F85" s="9"/>
      <c r="I85" s="15"/>
      <c r="J85" s="9"/>
      <c r="M85" s="15"/>
      <c r="N85" s="9"/>
      <c r="Q85" s="15"/>
      <c r="R85" s="9"/>
      <c r="V85" s="9"/>
      <c r="Z85" s="9"/>
      <c r="AD85" s="9"/>
      <c r="AG85" s="15"/>
      <c r="AH85" s="9"/>
      <c r="AK85" s="15"/>
      <c r="AL85" s="9"/>
      <c r="AO85" s="15"/>
      <c r="AP85" s="9"/>
      <c r="AS85" s="15"/>
      <c r="AT85" s="9"/>
      <c r="AW85" s="15"/>
      <c r="AX85" s="9"/>
      <c r="BB85" s="209"/>
      <c r="BC85" s="706"/>
    </row>
    <row r="86" ht="15.75" customHeight="1">
      <c r="A86" s="706"/>
      <c r="B86" s="250"/>
      <c r="E86" s="15"/>
      <c r="F86" s="9"/>
      <c r="I86" s="15"/>
      <c r="J86" s="9"/>
      <c r="M86" s="15"/>
      <c r="N86" s="9"/>
      <c r="Q86" s="15"/>
      <c r="R86" s="9"/>
      <c r="V86" s="9"/>
      <c r="Z86" s="9"/>
      <c r="AD86" s="9"/>
      <c r="AG86" s="15"/>
      <c r="AH86" s="9"/>
      <c r="AK86" s="15"/>
      <c r="AL86" s="9"/>
      <c r="AO86" s="15"/>
      <c r="AP86" s="9"/>
      <c r="AS86" s="15"/>
      <c r="AT86" s="9"/>
      <c r="AW86" s="15"/>
      <c r="AX86" s="9"/>
      <c r="BB86" s="209"/>
      <c r="BC86" s="706"/>
    </row>
    <row r="87" ht="15.75" customHeight="1">
      <c r="A87" s="714"/>
      <c r="B87" s="30"/>
      <c r="C87" s="31"/>
      <c r="D87" s="31"/>
      <c r="E87" s="275"/>
      <c r="F87" s="188"/>
      <c r="G87" s="31"/>
      <c r="H87" s="31"/>
      <c r="I87" s="275"/>
      <c r="J87" s="188"/>
      <c r="K87" s="31"/>
      <c r="L87" s="31"/>
      <c r="M87" s="275"/>
      <c r="N87" s="188"/>
      <c r="O87" s="31"/>
      <c r="P87" s="31"/>
      <c r="Q87" s="275"/>
      <c r="R87" s="9"/>
      <c r="V87" s="9"/>
      <c r="Z87" s="9"/>
      <c r="AD87" s="188"/>
      <c r="AE87" s="31"/>
      <c r="AF87" s="31"/>
      <c r="AG87" s="275"/>
      <c r="AH87" s="188"/>
      <c r="AI87" s="31"/>
      <c r="AJ87" s="31"/>
      <c r="AK87" s="275"/>
      <c r="AL87" s="188"/>
      <c r="AM87" s="31"/>
      <c r="AN87" s="31"/>
      <c r="AO87" s="275"/>
      <c r="AP87" s="188"/>
      <c r="AQ87" s="31"/>
      <c r="AR87" s="31"/>
      <c r="AS87" s="275"/>
      <c r="AT87" s="188"/>
      <c r="AU87" s="31"/>
      <c r="AV87" s="31"/>
      <c r="AW87" s="275"/>
      <c r="AX87" s="188"/>
      <c r="AY87" s="31"/>
      <c r="AZ87" s="31"/>
      <c r="BA87" s="31"/>
      <c r="BB87" s="32"/>
      <c r="BC87" s="706"/>
    </row>
    <row r="88" ht="15.75" customHeight="1" collapsed="1">
      <c r="A88" s="715"/>
      <c r="B88" s="716"/>
      <c r="C88" s="716"/>
      <c r="D88" s="716"/>
      <c r="E88" s="716"/>
      <c r="F88" s="716"/>
      <c r="G88" s="716"/>
      <c r="H88" s="716"/>
      <c r="I88" s="716"/>
      <c r="J88" s="716"/>
      <c r="K88" s="717"/>
      <c r="L88" s="717"/>
      <c r="M88" s="717"/>
      <c r="N88" s="717"/>
      <c r="O88" s="717"/>
      <c r="P88" s="717"/>
      <c r="Q88" s="717"/>
      <c r="R88" s="717"/>
      <c r="S88" s="717"/>
      <c r="T88" s="717"/>
      <c r="U88" s="717"/>
      <c r="V88" s="717"/>
      <c r="W88" s="717"/>
      <c r="X88" s="717"/>
      <c r="Y88" s="717"/>
      <c r="Z88" s="717"/>
      <c r="AA88" s="717"/>
      <c r="AB88" s="717"/>
      <c r="AC88" s="717"/>
      <c r="AD88" s="717"/>
      <c r="AE88" s="717"/>
      <c r="AF88" s="717"/>
      <c r="AG88" s="717"/>
      <c r="AH88" s="717"/>
      <c r="AI88" s="717"/>
      <c r="AJ88" s="716"/>
      <c r="AK88" s="716"/>
      <c r="AL88" s="716"/>
      <c r="AM88" s="716"/>
      <c r="AN88" s="716"/>
      <c r="AO88" s="716"/>
      <c r="AP88" s="716"/>
      <c r="AQ88" s="716"/>
      <c r="AR88" s="716"/>
      <c r="AS88" s="716"/>
      <c r="AT88" s="716"/>
      <c r="AU88" s="716"/>
      <c r="AV88" s="716"/>
      <c r="AW88" s="716"/>
      <c r="AX88" s="718" t="s">
        <v>160</v>
      </c>
      <c r="BB88" s="209"/>
      <c r="BC88" s="719"/>
    </row>
    <row r="89" ht="15.75" hidden="1" customHeight="1" outlineLevel="1">
      <c r="A89" s="287" t="str">
        <f t="shared" ref="A89:A106" si="18">concatenate("cc&lt;=",I19," ",C19)</f>
        <v>cc&lt;=25 관찰력</v>
      </c>
    </row>
    <row r="90" ht="15.75" hidden="1" customHeight="1" outlineLevel="1">
      <c r="A90" s="287" t="str">
        <f t="shared" si="18"/>
        <v>cc&lt;=20 듣기</v>
      </c>
    </row>
    <row r="91" ht="15.75" hidden="1" customHeight="1" outlineLevel="1">
      <c r="A91" s="287" t="str">
        <f t="shared" si="18"/>
        <v>cc&lt;=20 자료조사</v>
      </c>
    </row>
    <row r="92" ht="15.75" hidden="1" customHeight="1" outlineLevel="1">
      <c r="A92" s="287" t="str">
        <f t="shared" si="18"/>
        <v>cc&lt;=5 컴퓨터 사용</v>
      </c>
    </row>
    <row r="93" ht="15.75" hidden="1" customHeight="1" outlineLevel="1">
      <c r="A93" s="287" t="str">
        <f t="shared" si="18"/>
        <v>cc&lt;=1 전자기기</v>
      </c>
    </row>
    <row r="94" ht="15.75" hidden="1" customHeight="1" outlineLevel="1">
      <c r="A94" s="287" t="str">
        <f t="shared" si="18"/>
        <v>cc&lt;=10 전기수리</v>
      </c>
    </row>
    <row r="95" ht="15.75" hidden="1" customHeight="1" outlineLevel="1">
      <c r="A95" s="287" t="str">
        <f t="shared" si="18"/>
        <v>cc&lt;=10 기계수리</v>
      </c>
    </row>
    <row r="96" ht="15.75" hidden="1" customHeight="1" outlineLevel="1">
      <c r="A96" s="287" t="str">
        <f t="shared" si="18"/>
        <v>cc&lt;=20 자동차 운전</v>
      </c>
    </row>
    <row r="97" ht="15.75" hidden="1" customHeight="1" outlineLevel="1">
      <c r="A97" s="287" t="str">
        <f t="shared" si="18"/>
        <v>cc&lt;=1 중장비 조작</v>
      </c>
    </row>
    <row r="98" ht="15.75" hidden="1" customHeight="1" outlineLevel="1">
      <c r="A98" s="287" t="str">
        <f t="shared" si="18"/>
        <v>cc&lt;=1 파일럿()</v>
      </c>
    </row>
    <row r="99" ht="15.75" hidden="1" customHeight="1" outlineLevel="1">
      <c r="A99" s="287" t="str">
        <f t="shared" si="18"/>
        <v>cc&lt;=0 </v>
      </c>
    </row>
    <row r="100" ht="15.75" hidden="1" customHeight="1" outlineLevel="1">
      <c r="A100" s="287" t="str">
        <f t="shared" si="18"/>
        <v>cc&lt;=10 항법</v>
      </c>
    </row>
    <row r="101" ht="15.75" hidden="1" customHeight="1" outlineLevel="1">
      <c r="A101" s="287" t="str">
        <f t="shared" si="18"/>
        <v>cc&lt;=10 추적</v>
      </c>
    </row>
    <row r="102" ht="15.75" hidden="1" customHeight="1" outlineLevel="1">
      <c r="A102" s="287" t="str">
        <f t="shared" si="18"/>
        <v>cc&lt;=5 승마</v>
      </c>
    </row>
    <row r="103" ht="15.75" hidden="1" customHeight="1" outlineLevel="1">
      <c r="A103" s="287" t="str">
        <f t="shared" si="18"/>
        <v>cc&lt;=5 조련</v>
      </c>
    </row>
    <row r="104" ht="15.75" hidden="1" customHeight="1" outlineLevel="1">
      <c r="A104" s="287" t="str">
        <f t="shared" si="18"/>
        <v>cc&lt;=0 </v>
      </c>
    </row>
    <row r="105" ht="15.75" hidden="1" customHeight="1" outlineLevel="1">
      <c r="A105" s="287" t="str">
        <f t="shared" si="18"/>
        <v>cc&lt;=1 폭파</v>
      </c>
    </row>
    <row r="106" ht="15.75" hidden="1" customHeight="1" outlineLevel="1">
      <c r="A106" s="287" t="str">
        <f t="shared" si="18"/>
        <v>cc&lt;=1 포격</v>
      </c>
    </row>
    <row r="107" ht="15.75" hidden="1" customHeight="1" outlineLevel="1">
      <c r="A107" s="287" t="str">
        <f t="shared" ref="A107:A124" si="19">concatenate("cc&lt;=",S19," ",M19)</f>
        <v>cc&lt;=0 재력</v>
      </c>
    </row>
    <row r="108" ht="15.75" hidden="1" customHeight="1" outlineLevel="1">
      <c r="A108" s="287" t="str">
        <f t="shared" si="19"/>
        <v>cc&lt;=5 회계</v>
      </c>
    </row>
    <row r="109" ht="15.75" hidden="1" customHeight="1" outlineLevel="1">
      <c r="A109" s="287" t="str">
        <f t="shared" si="19"/>
        <v>cc&lt;=10 자연</v>
      </c>
    </row>
    <row r="110" ht="15.75" hidden="1" customHeight="1" outlineLevel="1">
      <c r="A110" s="287" t="str">
        <f t="shared" si="19"/>
        <v>cc&lt;=1 과학()</v>
      </c>
    </row>
    <row r="111" ht="15.75" hidden="1" customHeight="1" outlineLevel="1">
      <c r="A111" s="287" t="str">
        <f t="shared" si="19"/>
        <v>cc&lt;=0 </v>
      </c>
    </row>
    <row r="112" ht="15.75" hidden="1" customHeight="1" outlineLevel="1">
      <c r="A112" s="287" t="str">
        <f t="shared" si="19"/>
        <v>cc&lt;=0 </v>
      </c>
    </row>
    <row r="113" ht="15.75" hidden="1" customHeight="1" outlineLevel="1">
      <c r="A113" s="287" t="str">
        <f t="shared" si="19"/>
        <v>cc&lt;=5 법률</v>
      </c>
    </row>
    <row r="114" ht="15.75" hidden="1" customHeight="1" outlineLevel="1">
      <c r="A114" s="287" t="str">
        <f t="shared" si="19"/>
        <v>cc&lt;=1 인류학</v>
      </c>
    </row>
    <row r="115" ht="15.75" hidden="1" customHeight="1" outlineLevel="1">
      <c r="A115" s="287" t="str">
        <f t="shared" si="19"/>
        <v>cc&lt;=5 역사</v>
      </c>
    </row>
    <row r="116" ht="15.75" hidden="1" customHeight="1" outlineLevel="1">
      <c r="A116" s="287" t="str">
        <f t="shared" si="19"/>
        <v>cc&lt;=1 고고학</v>
      </c>
    </row>
    <row r="117" ht="15.75" hidden="1" customHeight="1" outlineLevel="1">
      <c r="A117" s="287" t="str">
        <f t="shared" si="19"/>
        <v>cc&lt;=5 감정</v>
      </c>
    </row>
    <row r="118" ht="15.75" hidden="1" customHeight="1" outlineLevel="1">
      <c r="A118" s="287" t="str">
        <f t="shared" si="19"/>
        <v>cc&lt;=5 예술/공예</v>
      </c>
    </row>
    <row r="119" ht="15.75" hidden="1" customHeight="1" outlineLevel="1">
      <c r="A119" s="287" t="str">
        <f t="shared" si="19"/>
        <v>cc&lt;=0 </v>
      </c>
    </row>
    <row r="120" ht="15.75" hidden="1" customHeight="1" outlineLevel="1">
      <c r="A120" s="287" t="str">
        <f t="shared" si="19"/>
        <v>cc&lt;=1 독순술</v>
      </c>
    </row>
    <row r="121" ht="15.75" hidden="1" customHeight="1" outlineLevel="1">
      <c r="A121" s="287" t="str">
        <f t="shared" si="19"/>
        <v>cc&lt;=5 동물 다루기</v>
      </c>
    </row>
    <row r="122" ht="15.75" hidden="1" customHeight="1" outlineLevel="1">
      <c r="A122" s="287" t="str">
        <f t="shared" si="19"/>
        <v>cc&lt;=1 잠수</v>
      </c>
    </row>
    <row r="123" ht="15.75" hidden="1" customHeight="1" outlineLevel="1">
      <c r="A123" s="287" t="str">
        <f t="shared" si="19"/>
        <v>cc&lt;=1 최면술</v>
      </c>
    </row>
    <row r="124" ht="15.75" hidden="1" customHeight="1" outlineLevel="1">
      <c r="A124" s="287" t="str">
        <f t="shared" si="19"/>
        <v>cc&lt;=1 비밀 지식</v>
      </c>
    </row>
    <row r="125" ht="15.75" hidden="1" customHeight="1" outlineLevel="1">
      <c r="A125" s="287" t="str">
        <f t="shared" ref="A125:A142" si="20">concatenate("cc&lt;=",AC19," ",W19)</f>
        <v>cc&lt;=0 크툴루 신화</v>
      </c>
    </row>
    <row r="126" ht="15.75" hidden="1" customHeight="1" outlineLevel="1">
      <c r="A126" s="287" t="str">
        <f t="shared" si="20"/>
        <v>cc&lt;=5 오컬트</v>
      </c>
    </row>
    <row r="127" ht="15.75" hidden="1" customHeight="1" outlineLevel="1">
      <c r="A127" s="287" t="str">
        <f t="shared" si="20"/>
        <v>cc&lt;=1 정신분석</v>
      </c>
    </row>
    <row r="128" ht="15.75" hidden="1" customHeight="1" outlineLevel="1">
      <c r="A128" s="287" t="str">
        <f t="shared" si="20"/>
        <v>cc&lt;=10 심리학</v>
      </c>
    </row>
    <row r="129" ht="15.75" hidden="1" customHeight="1" outlineLevel="1">
      <c r="A129" s="287" t="str">
        <f t="shared" si="20"/>
        <v>cc&lt;=15 위협</v>
      </c>
    </row>
    <row r="130" ht="15.75" hidden="1" customHeight="1" outlineLevel="1">
      <c r="A130" s="287" t="str">
        <f t="shared" si="20"/>
        <v>cc&lt;=15 매혹</v>
      </c>
    </row>
    <row r="131" ht="15.75" hidden="1" customHeight="1" outlineLevel="1">
      <c r="A131" s="287" t="str">
        <f t="shared" si="20"/>
        <v>cc&lt;=5 말재주</v>
      </c>
    </row>
    <row r="132" ht="15.75" hidden="1" customHeight="1" outlineLevel="1">
      <c r="A132" s="287" t="str">
        <f t="shared" si="20"/>
        <v>cc&lt;=10 설득</v>
      </c>
    </row>
    <row r="133" ht="15.75" hidden="1" customHeight="1" outlineLevel="1">
      <c r="A133" s="287" t="str">
        <f t="shared" si="20"/>
        <v>cc&lt;=0 모국어</v>
      </c>
    </row>
    <row r="134" ht="15.75" hidden="1" customHeight="1" outlineLevel="1">
      <c r="A134" s="287" t="str">
        <f t="shared" si="20"/>
        <v>cc&lt;=1 외국어()</v>
      </c>
    </row>
    <row r="135" ht="15.75" hidden="1" customHeight="1" outlineLevel="1">
      <c r="A135" s="287" t="str">
        <f t="shared" si="20"/>
        <v>cc&lt;=0 </v>
      </c>
    </row>
    <row r="136" ht="15.75" hidden="1" customHeight="1" outlineLevel="1">
      <c r="A136" s="287" t="str">
        <f t="shared" si="20"/>
        <v>cc&lt;=20 투척</v>
      </c>
    </row>
    <row r="137" ht="15.75" hidden="1" customHeight="1" outlineLevel="1">
      <c r="A137" s="287" t="str">
        <f t="shared" si="20"/>
        <v>cc&lt;=25 근접전(격투)</v>
      </c>
    </row>
    <row r="138" ht="15.75" hidden="1" customHeight="1" outlineLevel="1">
      <c r="A138" s="287" t="str">
        <f t="shared" si="20"/>
        <v>cc&lt;=20 근접전(도검)</v>
      </c>
    </row>
    <row r="139" ht="15.75" hidden="1" customHeight="1" outlineLevel="1">
      <c r="A139" s="287" t="str">
        <f t="shared" si="20"/>
        <v>cc&lt;=15 근접전(도끼)</v>
      </c>
    </row>
    <row r="140" ht="15.75" hidden="1" customHeight="1" outlineLevel="1">
      <c r="A140" s="287" t="str">
        <f t="shared" si="20"/>
        <v>cc&lt;=20 근접전(창)</v>
      </c>
    </row>
    <row r="141" ht="15.75" hidden="1" customHeight="1" outlineLevel="1">
      <c r="A141" s="287" t="str">
        <f t="shared" si="20"/>
        <v>cc&lt;=5 근접전(채찍)</v>
      </c>
    </row>
    <row r="142" ht="15.75" hidden="1" customHeight="1" outlineLevel="1">
      <c r="A142" s="287" t="str">
        <f t="shared" si="20"/>
        <v>cc&lt;=10 근접전(기타)</v>
      </c>
    </row>
    <row r="143" ht="15.75" hidden="1" customHeight="1" outlineLevel="1">
      <c r="A143" s="287" t="str">
        <f t="shared" ref="A143:A160" si="21">concatenate("cc&lt;=",AM19," ",AG19)</f>
        <v>cc&lt;=1 의료</v>
      </c>
    </row>
    <row r="144" ht="15.75" hidden="1" customHeight="1" outlineLevel="1">
      <c r="A144" s="287" t="str">
        <f t="shared" si="21"/>
        <v>cc&lt;=30 응급처치</v>
      </c>
    </row>
    <row r="145" ht="15.75" hidden="1" customHeight="1" outlineLevel="1">
      <c r="A145" s="287" t="str">
        <f t="shared" si="21"/>
        <v>cc&lt;=10 생존술()</v>
      </c>
    </row>
    <row r="146" ht="15.75" hidden="1" customHeight="1" outlineLevel="1">
      <c r="A146" s="287" t="str">
        <f t="shared" si="21"/>
        <v>cc&lt;=20 수영</v>
      </c>
    </row>
    <row r="147" ht="15.75" hidden="1" customHeight="1" outlineLevel="1">
      <c r="A147" s="287" t="str">
        <f t="shared" si="21"/>
        <v>cc&lt;=20 오르기</v>
      </c>
    </row>
    <row r="148" ht="15.75" hidden="1" customHeight="1" outlineLevel="1">
      <c r="A148" s="287" t="str">
        <f t="shared" si="21"/>
        <v>cc&lt;=20 도약</v>
      </c>
    </row>
    <row r="149" ht="15.75" hidden="1" customHeight="1" outlineLevel="1">
      <c r="A149" s="287" t="str">
        <f t="shared" si="21"/>
        <v>cc&lt;=0 회피</v>
      </c>
    </row>
    <row r="150" ht="15.75" hidden="1" customHeight="1" outlineLevel="1">
      <c r="A150" s="287" t="str">
        <f t="shared" si="21"/>
        <v>cc&lt;=5 변장</v>
      </c>
    </row>
    <row r="151" ht="15.75" hidden="1" customHeight="1" outlineLevel="1">
      <c r="A151" s="287" t="str">
        <f t="shared" si="21"/>
        <v>cc&lt;=20 은밀행동</v>
      </c>
    </row>
    <row r="152" ht="15.75" hidden="1" customHeight="1" outlineLevel="1">
      <c r="A152" s="287" t="str">
        <f t="shared" si="21"/>
        <v>cc&lt;=10 손놀림</v>
      </c>
    </row>
    <row r="153" ht="15.75" hidden="1" customHeight="1" outlineLevel="1">
      <c r="A153" s="287" t="str">
        <f t="shared" si="21"/>
        <v>cc&lt;=1 열쇠공</v>
      </c>
    </row>
    <row r="154" ht="15.75" hidden="1" customHeight="1" outlineLevel="1">
      <c r="A154" s="287" t="str">
        <f t="shared" si="21"/>
        <v>cc&lt;=20 사격(권총)</v>
      </c>
    </row>
    <row r="155" ht="15.75" hidden="1" customHeight="1" outlineLevel="1">
      <c r="A155" s="287" t="str">
        <f t="shared" si="21"/>
        <v>cc&lt;=25 사격(소총)</v>
      </c>
    </row>
    <row r="156" ht="15.75" hidden="1" customHeight="1" outlineLevel="1">
      <c r="A156" s="287" t="str">
        <f t="shared" si="21"/>
        <v>cc&lt;=15 사격(기관단총)</v>
      </c>
    </row>
    <row r="157" ht="15.75" hidden="1" customHeight="1" outlineLevel="1">
      <c r="A157" s="287" t="str">
        <f t="shared" si="21"/>
        <v>cc&lt;=10 사격(기관총)</v>
      </c>
    </row>
    <row r="158" ht="15.75" hidden="1" customHeight="1" outlineLevel="1">
      <c r="A158" s="287" t="str">
        <f t="shared" si="21"/>
        <v>cc&lt;=15 사격(활)</v>
      </c>
    </row>
    <row r="159" ht="15.75" hidden="1" customHeight="1" outlineLevel="1">
      <c r="A159" s="287" t="str">
        <f t="shared" si="21"/>
        <v>cc&lt;=10 사격(중화기)</v>
      </c>
    </row>
    <row r="160" ht="15.75" hidden="1" customHeight="1" outlineLevel="1">
      <c r="A160" s="287" t="str">
        <f t="shared" si="21"/>
        <v>cc&lt;=10 화염방사기</v>
      </c>
    </row>
    <row r="161" ht="15.75" hidden="1" customHeight="1" outlineLevel="1">
      <c r="A161" s="287" t="str">
        <f>concatenate("cc&lt;=",V10," ","근력")</f>
        <v>cc&lt;= 근력</v>
      </c>
    </row>
    <row r="162" ht="15.75" hidden="1" customHeight="1" outlineLevel="1">
      <c r="A162" s="287" t="str">
        <f>concatenate("cc&lt;=",V12," ","건강")</f>
        <v>cc&lt;= 건강</v>
      </c>
    </row>
    <row r="163" ht="15.75" hidden="1" customHeight="1" outlineLevel="1">
      <c r="A163" s="287" t="str">
        <f>concatenate("cc&lt;=",V14," ","크기")</f>
        <v>cc&lt;= 크기</v>
      </c>
    </row>
    <row r="164" ht="15.75" hidden="1" customHeight="1" outlineLevel="1">
      <c r="A164" s="287" t="str">
        <f>concatenate("cc&lt;=",AD10," ","민첩")</f>
        <v>cc&lt;= 민첩</v>
      </c>
    </row>
    <row r="165" ht="15.75" hidden="1" customHeight="1" outlineLevel="1">
      <c r="A165" s="287" t="str">
        <f>concatenate("cc&lt;=",AD12," ","외모")</f>
        <v>cc&lt;= 외모</v>
      </c>
    </row>
    <row r="166" ht="15.75" hidden="1" customHeight="1" outlineLevel="1">
      <c r="A166" s="287" t="str">
        <f>concatenate("cc&lt;=",AD14," ","지능(아이디어)")</f>
        <v>cc&lt;= 지능(아이디어)</v>
      </c>
    </row>
    <row r="167" ht="15.75" hidden="1" customHeight="1" outlineLevel="1">
      <c r="A167" s="287" t="str">
        <f>concatenate("cc&lt;=",AL10," ","정신력")</f>
        <v>cc&lt;= 정신력</v>
      </c>
    </row>
    <row r="168" ht="15.75" hidden="1" customHeight="1" outlineLevel="1">
      <c r="A168" s="287" t="str">
        <f>concatenate("cc&lt;=",AL12," ","교육(지식)")</f>
        <v>cc&lt;= 교육(지식)</v>
      </c>
    </row>
    <row r="169" ht="15.75" hidden="1" customHeight="1" outlineLevel="1">
      <c r="A169" s="288" t="s">
        <v>162</v>
      </c>
    </row>
    <row r="170" ht="15.75" hidden="1" customHeight="1" outlineLevel="1">
      <c r="A170" s="288" t="s">
        <v>163</v>
      </c>
    </row>
    <row r="171" ht="15.75" hidden="1" customHeight="1" outlineLevel="1">
      <c r="A171" s="288" t="str">
        <f t="shared" ref="A171:A177" si="22">if(OR(B41="",S41=""),"",concatenate(S41," ","피해","(",B41,")"))</f>
        <v>1d3+{DB} 피해(맨손)</v>
      </c>
    </row>
    <row r="172" ht="15.75" hidden="1" customHeight="1" outlineLevel="1">
      <c r="A172" s="288" t="str">
        <f t="shared" si="22"/>
        <v/>
      </c>
    </row>
    <row r="173" ht="15.75" hidden="1" customHeight="1" outlineLevel="1">
      <c r="A173" s="288" t="str">
        <f t="shared" si="22"/>
        <v/>
      </c>
    </row>
    <row r="174" ht="15.75" hidden="1" customHeight="1" outlineLevel="1">
      <c r="A174" s="288" t="str">
        <f t="shared" si="22"/>
        <v/>
      </c>
    </row>
    <row r="175" ht="15.75" hidden="1" customHeight="1" outlineLevel="1">
      <c r="A175" s="288" t="str">
        <f t="shared" si="22"/>
        <v/>
      </c>
    </row>
    <row r="176" ht="15.75" hidden="1" customHeight="1" outlineLevel="1">
      <c r="A176" s="288" t="str">
        <f t="shared" si="22"/>
        <v/>
      </c>
    </row>
    <row r="177" ht="15.75" hidden="1" customHeight="1" outlineLevel="1">
      <c r="A177" s="288" t="str">
        <f t="shared" si="22"/>
        <v/>
      </c>
    </row>
    <row r="178" ht="15.75" customHeight="1">
      <c r="A178" s="288"/>
      <c r="B178" s="288"/>
      <c r="C178" s="288"/>
      <c r="D178" s="288"/>
      <c r="E178" s="288"/>
      <c r="F178" s="288"/>
      <c r="G178" s="288"/>
      <c r="H178" s="288"/>
      <c r="I178" s="288"/>
      <c r="J178" s="288"/>
      <c r="K178" s="288"/>
      <c r="L178" s="288"/>
      <c r="M178" s="288"/>
      <c r="N178" s="288"/>
      <c r="O178" s="287"/>
      <c r="P178" s="287"/>
      <c r="Q178" s="287"/>
      <c r="R178" s="287"/>
      <c r="S178" s="287"/>
      <c r="T178" s="287"/>
      <c r="U178" s="287"/>
      <c r="V178" s="287"/>
      <c r="W178" s="287"/>
      <c r="X178" s="287"/>
      <c r="Y178" s="287"/>
      <c r="Z178" s="287"/>
      <c r="AA178" s="287"/>
      <c r="AB178" s="287"/>
      <c r="AC178" s="287"/>
      <c r="AD178" s="287"/>
      <c r="AE178" s="287"/>
      <c r="AF178" s="287"/>
      <c r="AG178" s="287"/>
      <c r="AH178" s="287"/>
      <c r="AI178" s="287"/>
      <c r="AJ178" s="287"/>
      <c r="AK178" s="287"/>
      <c r="AL178" s="287"/>
      <c r="AM178" s="287"/>
      <c r="AN178" s="287"/>
      <c r="AO178" s="287"/>
      <c r="AP178" s="287"/>
      <c r="AQ178" s="287"/>
      <c r="AR178" s="287"/>
      <c r="AS178" s="287"/>
      <c r="AT178" s="287"/>
      <c r="AU178" s="287"/>
      <c r="AV178" s="287"/>
      <c r="AW178" s="287"/>
      <c r="AX178" s="287"/>
      <c r="AY178" s="287"/>
      <c r="AZ178" s="287"/>
      <c r="BA178" s="287"/>
      <c r="BB178" s="287"/>
      <c r="BC178" s="287"/>
    </row>
    <row r="179" ht="15.75" customHeight="1">
      <c r="A179" s="287"/>
      <c r="B179" s="287"/>
      <c r="C179" s="287"/>
      <c r="D179" s="287"/>
      <c r="E179" s="287"/>
      <c r="F179" s="287"/>
      <c r="G179" s="287"/>
      <c r="H179" s="287"/>
      <c r="I179" s="287"/>
      <c r="J179" s="287"/>
      <c r="K179" s="287"/>
      <c r="L179" s="287"/>
      <c r="M179" s="287"/>
      <c r="N179" s="287"/>
      <c r="O179" s="287"/>
      <c r="P179" s="287"/>
      <c r="Q179" s="287"/>
      <c r="R179" s="287"/>
      <c r="S179" s="287"/>
      <c r="T179" s="287"/>
      <c r="U179" s="287"/>
      <c r="V179" s="287"/>
      <c r="W179" s="287"/>
      <c r="X179" s="287"/>
      <c r="Y179" s="287"/>
      <c r="Z179" s="287"/>
      <c r="AA179" s="287"/>
      <c r="AB179" s="287"/>
      <c r="AC179" s="287"/>
      <c r="AD179" s="287"/>
      <c r="AE179" s="287"/>
      <c r="AF179" s="287"/>
      <c r="AG179" s="287"/>
      <c r="AH179" s="287"/>
      <c r="AI179" s="287"/>
      <c r="AJ179" s="287"/>
      <c r="AK179" s="287"/>
      <c r="AL179" s="287"/>
      <c r="AM179" s="287"/>
      <c r="AN179" s="287"/>
      <c r="AO179" s="287"/>
      <c r="AP179" s="287"/>
      <c r="AQ179" s="287"/>
      <c r="AR179" s="287"/>
      <c r="AS179" s="287"/>
      <c r="AT179" s="287"/>
      <c r="AU179" s="287"/>
      <c r="AV179" s="287"/>
      <c r="AW179" s="287"/>
      <c r="AX179" s="287"/>
      <c r="AY179" s="287"/>
      <c r="AZ179" s="287"/>
      <c r="BA179" s="287"/>
      <c r="BB179" s="287"/>
      <c r="BC179" s="287"/>
    </row>
    <row r="180" ht="15.75" customHeight="1">
      <c r="A180" s="287"/>
      <c r="B180" s="287"/>
      <c r="C180" s="287"/>
      <c r="D180" s="287"/>
      <c r="E180" s="287"/>
      <c r="F180" s="287"/>
      <c r="G180" s="287"/>
      <c r="H180" s="287"/>
      <c r="I180" s="287"/>
      <c r="J180" s="287"/>
      <c r="K180" s="287"/>
      <c r="L180" s="287"/>
      <c r="M180" s="287"/>
      <c r="N180" s="287"/>
      <c r="O180" s="287"/>
      <c r="P180" s="287"/>
      <c r="Q180" s="287"/>
      <c r="R180" s="287"/>
      <c r="S180" s="287"/>
      <c r="T180" s="287"/>
      <c r="U180" s="287"/>
      <c r="V180" s="287"/>
      <c r="W180" s="287"/>
      <c r="X180" s="287"/>
      <c r="Y180" s="287"/>
      <c r="Z180" s="287"/>
      <c r="AA180" s="287"/>
      <c r="AB180" s="287"/>
      <c r="AC180" s="287"/>
      <c r="AD180" s="287"/>
      <c r="AE180" s="287"/>
      <c r="AF180" s="287"/>
      <c r="AG180" s="287"/>
      <c r="AH180" s="287"/>
      <c r="AI180" s="287"/>
      <c r="AJ180" s="287"/>
      <c r="AK180" s="287"/>
      <c r="AL180" s="287"/>
      <c r="AM180" s="287"/>
      <c r="AN180" s="287"/>
      <c r="AO180" s="287"/>
      <c r="AP180" s="287"/>
      <c r="AQ180" s="287"/>
      <c r="AR180" s="287"/>
      <c r="AS180" s="287"/>
      <c r="AT180" s="287"/>
      <c r="AU180" s="287"/>
      <c r="AV180" s="287"/>
      <c r="AW180" s="287"/>
      <c r="AX180" s="287"/>
      <c r="AY180" s="287"/>
      <c r="AZ180" s="287"/>
      <c r="BA180" s="287"/>
      <c r="BB180" s="287"/>
      <c r="BC180" s="287"/>
    </row>
    <row r="181" ht="15.75" customHeight="1">
      <c r="A181" s="287"/>
      <c r="B181" s="287"/>
      <c r="C181" s="287"/>
      <c r="D181" s="287"/>
      <c r="E181" s="287"/>
      <c r="F181" s="287"/>
      <c r="G181" s="287"/>
      <c r="H181" s="287"/>
      <c r="I181" s="287"/>
      <c r="J181" s="287"/>
      <c r="K181" s="287"/>
      <c r="L181" s="287"/>
      <c r="M181" s="287"/>
      <c r="N181" s="287"/>
      <c r="O181" s="287"/>
      <c r="P181" s="287"/>
      <c r="Q181" s="287"/>
      <c r="R181" s="287"/>
      <c r="S181" s="287"/>
      <c r="T181" s="287"/>
      <c r="U181" s="287"/>
      <c r="V181" s="287"/>
      <c r="W181" s="287"/>
      <c r="X181" s="287"/>
      <c r="Y181" s="287"/>
      <c r="Z181" s="287"/>
      <c r="AA181" s="287"/>
      <c r="AB181" s="287"/>
      <c r="AC181" s="287"/>
      <c r="AD181" s="287"/>
      <c r="AE181" s="287"/>
      <c r="AF181" s="287"/>
      <c r="AG181" s="287"/>
      <c r="AH181" s="287"/>
      <c r="AI181" s="287"/>
      <c r="AJ181" s="287"/>
      <c r="AK181" s="287"/>
      <c r="AL181" s="287"/>
      <c r="AM181" s="287"/>
      <c r="AN181" s="287"/>
      <c r="AO181" s="287"/>
      <c r="AP181" s="287"/>
      <c r="AQ181" s="287"/>
      <c r="AR181" s="287"/>
      <c r="AS181" s="287"/>
      <c r="AT181" s="287"/>
      <c r="AU181" s="287"/>
      <c r="AV181" s="287"/>
      <c r="AW181" s="287"/>
      <c r="AX181" s="287"/>
      <c r="AY181" s="287"/>
      <c r="AZ181" s="287"/>
      <c r="BA181" s="287"/>
      <c r="BB181" s="287"/>
      <c r="BC181" s="287"/>
    </row>
    <row r="182" ht="15.75" customHeight="1">
      <c r="A182" s="287"/>
      <c r="B182" s="287"/>
      <c r="C182" s="287"/>
      <c r="D182" s="287"/>
      <c r="E182" s="287"/>
      <c r="F182" s="287"/>
      <c r="G182" s="287"/>
      <c r="H182" s="287"/>
      <c r="I182" s="287"/>
      <c r="J182" s="287"/>
      <c r="K182" s="287"/>
      <c r="L182" s="287"/>
      <c r="M182" s="287"/>
      <c r="N182" s="287"/>
      <c r="O182" s="287"/>
      <c r="P182" s="287"/>
      <c r="Q182" s="287"/>
      <c r="R182" s="287"/>
      <c r="S182" s="287"/>
      <c r="T182" s="287"/>
      <c r="U182" s="287"/>
      <c r="V182" s="287"/>
      <c r="W182" s="287"/>
      <c r="X182" s="287"/>
      <c r="Y182" s="287"/>
      <c r="Z182" s="287"/>
      <c r="AA182" s="287"/>
      <c r="AB182" s="287"/>
      <c r="AC182" s="287"/>
      <c r="AD182" s="287"/>
      <c r="AE182" s="287"/>
      <c r="AF182" s="287"/>
      <c r="AG182" s="287"/>
      <c r="AH182" s="287"/>
      <c r="AI182" s="287"/>
      <c r="AJ182" s="287"/>
      <c r="AK182" s="287"/>
      <c r="AL182" s="287"/>
      <c r="AM182" s="287"/>
      <c r="AN182" s="287"/>
      <c r="AO182" s="287"/>
      <c r="AP182" s="287"/>
      <c r="AQ182" s="287"/>
      <c r="AR182" s="287"/>
      <c r="AS182" s="287"/>
      <c r="AT182" s="287"/>
      <c r="AU182" s="287"/>
      <c r="AV182" s="287"/>
      <c r="AW182" s="287"/>
      <c r="AX182" s="287"/>
      <c r="AY182" s="287"/>
      <c r="AZ182" s="287"/>
      <c r="BA182" s="287"/>
      <c r="BB182" s="287"/>
      <c r="BC182" s="287"/>
    </row>
    <row r="183" ht="15.75" customHeight="1">
      <c r="A183" s="287"/>
      <c r="B183" s="287"/>
      <c r="C183" s="287"/>
      <c r="D183" s="287"/>
      <c r="E183" s="287"/>
      <c r="F183" s="287"/>
      <c r="G183" s="287"/>
      <c r="H183" s="287"/>
      <c r="I183" s="287"/>
      <c r="J183" s="287"/>
      <c r="K183" s="287"/>
      <c r="L183" s="287"/>
      <c r="M183" s="287"/>
      <c r="N183" s="287"/>
      <c r="O183" s="287"/>
      <c r="P183" s="287"/>
      <c r="Q183" s="287"/>
      <c r="R183" s="287"/>
      <c r="S183" s="287"/>
      <c r="T183" s="287"/>
      <c r="U183" s="287"/>
      <c r="V183" s="287"/>
      <c r="W183" s="287"/>
      <c r="X183" s="287"/>
      <c r="Y183" s="287"/>
      <c r="Z183" s="287"/>
      <c r="AA183" s="287"/>
      <c r="AB183" s="287"/>
      <c r="AC183" s="287"/>
      <c r="AD183" s="287"/>
      <c r="AE183" s="287"/>
      <c r="AF183" s="287"/>
      <c r="AG183" s="287"/>
      <c r="AH183" s="287"/>
      <c r="AI183" s="287"/>
      <c r="AJ183" s="287"/>
      <c r="AK183" s="287"/>
      <c r="AL183" s="287"/>
      <c r="AM183" s="287"/>
      <c r="AN183" s="287"/>
      <c r="AO183" s="287"/>
      <c r="AP183" s="287"/>
      <c r="AQ183" s="287"/>
      <c r="AR183" s="287"/>
      <c r="AS183" s="287"/>
      <c r="AT183" s="287"/>
      <c r="AU183" s="287"/>
      <c r="AV183" s="287"/>
      <c r="AW183" s="287"/>
      <c r="AX183" s="287"/>
      <c r="AY183" s="287"/>
      <c r="AZ183" s="287"/>
      <c r="BA183" s="287"/>
      <c r="BB183" s="287"/>
      <c r="BC183" s="287"/>
    </row>
    <row r="184" ht="15.75" customHeight="1">
      <c r="A184" s="287"/>
      <c r="B184" s="287"/>
      <c r="C184" s="287"/>
      <c r="D184" s="287"/>
      <c r="E184" s="287"/>
      <c r="F184" s="287"/>
      <c r="G184" s="287"/>
      <c r="H184" s="287"/>
      <c r="I184" s="287"/>
      <c r="J184" s="287"/>
      <c r="K184" s="287"/>
      <c r="L184" s="287"/>
      <c r="M184" s="287"/>
      <c r="N184" s="287"/>
      <c r="O184" s="287"/>
      <c r="P184" s="287"/>
      <c r="Q184" s="287"/>
      <c r="R184" s="287"/>
      <c r="S184" s="287"/>
      <c r="T184" s="287"/>
      <c r="U184" s="287"/>
      <c r="V184" s="287"/>
      <c r="W184" s="287"/>
      <c r="X184" s="287"/>
      <c r="Y184" s="287"/>
      <c r="Z184" s="287"/>
      <c r="AA184" s="287"/>
      <c r="AB184" s="287"/>
      <c r="AC184" s="287"/>
      <c r="AD184" s="287"/>
      <c r="AE184" s="287"/>
      <c r="AF184" s="287"/>
      <c r="AG184" s="287"/>
      <c r="AH184" s="287"/>
      <c r="AI184" s="287"/>
      <c r="AJ184" s="287"/>
      <c r="AK184" s="287"/>
      <c r="AL184" s="287"/>
      <c r="AM184" s="287"/>
      <c r="AN184" s="287"/>
      <c r="AO184" s="287"/>
      <c r="AP184" s="287"/>
      <c r="AQ184" s="287"/>
      <c r="AR184" s="287"/>
      <c r="AS184" s="287"/>
      <c r="AT184" s="287"/>
      <c r="AU184" s="287"/>
      <c r="AV184" s="287"/>
      <c r="AW184" s="287"/>
      <c r="AX184" s="287"/>
      <c r="AY184" s="287"/>
      <c r="AZ184" s="287"/>
      <c r="BA184" s="287"/>
      <c r="BB184" s="287"/>
      <c r="BC184" s="287"/>
    </row>
    <row r="185" ht="15.75" customHeight="1">
      <c r="A185" s="287"/>
      <c r="B185" s="287"/>
      <c r="C185" s="287"/>
      <c r="D185" s="287"/>
      <c r="E185" s="287"/>
      <c r="F185" s="287"/>
      <c r="G185" s="287"/>
      <c r="H185" s="287"/>
      <c r="I185" s="287"/>
      <c r="J185" s="287"/>
      <c r="K185" s="287"/>
      <c r="L185" s="287"/>
      <c r="M185" s="287"/>
      <c r="N185" s="287"/>
      <c r="O185" s="287"/>
      <c r="P185" s="287"/>
      <c r="Q185" s="287"/>
      <c r="R185" s="287"/>
      <c r="S185" s="287"/>
      <c r="T185" s="287"/>
      <c r="U185" s="287"/>
      <c r="V185" s="287"/>
      <c r="W185" s="287"/>
      <c r="X185" s="287"/>
      <c r="Y185" s="287"/>
      <c r="Z185" s="287"/>
      <c r="AA185" s="287"/>
      <c r="AB185" s="287"/>
      <c r="AC185" s="287"/>
      <c r="AD185" s="287"/>
      <c r="AE185" s="287"/>
      <c r="AF185" s="287"/>
      <c r="AG185" s="287"/>
      <c r="AH185" s="287"/>
      <c r="AI185" s="287"/>
      <c r="AJ185" s="287"/>
      <c r="AK185" s="287"/>
      <c r="AL185" s="287"/>
      <c r="AM185" s="287"/>
      <c r="AN185" s="287"/>
      <c r="AO185" s="287"/>
      <c r="AP185" s="287"/>
      <c r="AQ185" s="287"/>
      <c r="AR185" s="287"/>
      <c r="AS185" s="287"/>
      <c r="AT185" s="287"/>
      <c r="AU185" s="287"/>
      <c r="AV185" s="287"/>
      <c r="AW185" s="287"/>
      <c r="AX185" s="287"/>
      <c r="AY185" s="287"/>
      <c r="AZ185" s="287"/>
      <c r="BA185" s="287"/>
      <c r="BB185" s="287"/>
      <c r="BC185" s="287"/>
    </row>
    <row r="186" ht="15.75" customHeight="1">
      <c r="A186" s="287"/>
      <c r="B186" s="287"/>
      <c r="C186" s="287"/>
      <c r="D186" s="287"/>
      <c r="E186" s="287"/>
      <c r="F186" s="287"/>
      <c r="G186" s="287"/>
      <c r="H186" s="287"/>
      <c r="I186" s="287"/>
      <c r="J186" s="287"/>
      <c r="K186" s="287"/>
      <c r="L186" s="287"/>
      <c r="M186" s="287"/>
      <c r="N186" s="287"/>
      <c r="O186" s="287"/>
      <c r="P186" s="287"/>
      <c r="Q186" s="287"/>
      <c r="R186" s="287"/>
      <c r="S186" s="287"/>
      <c r="T186" s="287"/>
      <c r="U186" s="287"/>
      <c r="V186" s="287"/>
      <c r="W186" s="287"/>
      <c r="X186" s="287"/>
      <c r="Y186" s="287"/>
      <c r="Z186" s="287"/>
      <c r="AA186" s="287"/>
      <c r="AB186" s="287"/>
      <c r="AC186" s="287"/>
      <c r="AD186" s="287"/>
      <c r="AE186" s="287"/>
      <c r="AF186" s="287"/>
      <c r="AG186" s="287"/>
      <c r="AH186" s="287"/>
      <c r="AI186" s="287"/>
      <c r="AJ186" s="287"/>
      <c r="AK186" s="287"/>
      <c r="AL186" s="287"/>
      <c r="AM186" s="287"/>
      <c r="AN186" s="287"/>
      <c r="AO186" s="287"/>
      <c r="AP186" s="287"/>
      <c r="AQ186" s="287"/>
      <c r="AR186" s="287"/>
      <c r="AS186" s="287"/>
      <c r="AT186" s="287"/>
      <c r="AU186" s="287"/>
      <c r="AV186" s="287"/>
      <c r="AW186" s="287"/>
      <c r="AX186" s="287"/>
      <c r="AY186" s="287"/>
      <c r="AZ186" s="287"/>
      <c r="BA186" s="287"/>
      <c r="BB186" s="287"/>
      <c r="BC186" s="287"/>
    </row>
    <row r="187" ht="15.75" customHeight="1">
      <c r="A187" s="287"/>
      <c r="B187" s="287"/>
      <c r="C187" s="287"/>
      <c r="D187" s="287"/>
      <c r="E187" s="287"/>
      <c r="F187" s="287"/>
      <c r="G187" s="287"/>
      <c r="H187" s="287"/>
      <c r="I187" s="287"/>
      <c r="J187" s="287"/>
      <c r="K187" s="287"/>
      <c r="L187" s="287"/>
      <c r="M187" s="287"/>
      <c r="N187" s="287"/>
      <c r="O187" s="287"/>
      <c r="P187" s="287"/>
      <c r="Q187" s="287"/>
      <c r="R187" s="287"/>
      <c r="S187" s="287"/>
      <c r="T187" s="287"/>
      <c r="U187" s="287"/>
      <c r="V187" s="287"/>
      <c r="W187" s="287"/>
      <c r="X187" s="287"/>
      <c r="Y187" s="287"/>
      <c r="Z187" s="287"/>
      <c r="AA187" s="287"/>
      <c r="AB187" s="287"/>
      <c r="AC187" s="287"/>
      <c r="AD187" s="287"/>
      <c r="AE187" s="287"/>
      <c r="AF187" s="287"/>
      <c r="AG187" s="287"/>
      <c r="AH187" s="287"/>
      <c r="AI187" s="287"/>
      <c r="AJ187" s="287"/>
      <c r="AK187" s="287"/>
      <c r="AL187" s="287"/>
      <c r="AM187" s="287"/>
      <c r="AN187" s="287"/>
      <c r="AO187" s="287"/>
      <c r="AP187" s="287"/>
      <c r="AQ187" s="287"/>
      <c r="AR187" s="287"/>
      <c r="AS187" s="287"/>
      <c r="AT187" s="287"/>
      <c r="AU187" s="287"/>
      <c r="AV187" s="287"/>
      <c r="AW187" s="287"/>
      <c r="AX187" s="287"/>
      <c r="AY187" s="287"/>
      <c r="AZ187" s="287"/>
      <c r="BA187" s="287"/>
      <c r="BB187" s="287"/>
      <c r="BC187" s="287"/>
    </row>
    <row r="188" ht="15.75" customHeight="1">
      <c r="A188" s="287"/>
      <c r="B188" s="287"/>
      <c r="C188" s="287"/>
      <c r="D188" s="287"/>
      <c r="E188" s="287"/>
      <c r="F188" s="287"/>
      <c r="G188" s="287"/>
      <c r="H188" s="287"/>
      <c r="I188" s="287"/>
      <c r="J188" s="287"/>
      <c r="K188" s="287"/>
      <c r="L188" s="287"/>
      <c r="M188" s="287"/>
      <c r="N188" s="287"/>
      <c r="O188" s="287"/>
      <c r="P188" s="287"/>
      <c r="Q188" s="287"/>
      <c r="R188" s="287"/>
      <c r="S188" s="287"/>
      <c r="T188" s="287"/>
      <c r="U188" s="287"/>
      <c r="V188" s="287"/>
      <c r="W188" s="287"/>
      <c r="X188" s="287"/>
      <c r="Y188" s="287"/>
      <c r="Z188" s="287"/>
      <c r="AA188" s="287"/>
      <c r="AB188" s="287"/>
      <c r="AC188" s="287"/>
      <c r="AD188" s="287"/>
      <c r="AE188" s="287"/>
      <c r="AF188" s="287"/>
      <c r="AG188" s="287"/>
      <c r="AH188" s="287"/>
      <c r="AI188" s="287"/>
      <c r="AJ188" s="287"/>
      <c r="AK188" s="287"/>
      <c r="AL188" s="287"/>
      <c r="AM188" s="287"/>
      <c r="AN188" s="287"/>
      <c r="AO188" s="287"/>
      <c r="AP188" s="287"/>
      <c r="AQ188" s="287"/>
      <c r="AR188" s="287"/>
      <c r="AS188" s="287"/>
      <c r="AT188" s="287"/>
      <c r="AU188" s="287"/>
      <c r="AV188" s="287"/>
      <c r="AW188" s="287"/>
      <c r="AX188" s="287"/>
      <c r="AY188" s="287"/>
      <c r="AZ188" s="287"/>
      <c r="BA188" s="287"/>
      <c r="BB188" s="287"/>
      <c r="BC188" s="287"/>
    </row>
    <row r="189" ht="15.75" customHeight="1">
      <c r="A189" s="287"/>
      <c r="B189" s="287"/>
      <c r="C189" s="287"/>
      <c r="D189" s="287"/>
      <c r="E189" s="287"/>
      <c r="F189" s="287"/>
      <c r="G189" s="287"/>
      <c r="H189" s="287"/>
      <c r="I189" s="287"/>
      <c r="J189" s="287"/>
      <c r="K189" s="287"/>
      <c r="L189" s="287"/>
      <c r="M189" s="287"/>
      <c r="N189" s="287"/>
      <c r="O189" s="287"/>
      <c r="P189" s="287"/>
      <c r="Q189" s="287"/>
      <c r="R189" s="287"/>
      <c r="S189" s="287"/>
      <c r="T189" s="287"/>
      <c r="U189" s="287"/>
      <c r="V189" s="287"/>
      <c r="W189" s="287"/>
      <c r="X189" s="287"/>
      <c r="Y189" s="287"/>
      <c r="Z189" s="287"/>
      <c r="AA189" s="287"/>
      <c r="AB189" s="287"/>
      <c r="AC189" s="287"/>
      <c r="AD189" s="287"/>
      <c r="AE189" s="287"/>
      <c r="AF189" s="287"/>
      <c r="AG189" s="287"/>
      <c r="AH189" s="287"/>
      <c r="AI189" s="287"/>
      <c r="AJ189" s="287"/>
      <c r="AK189" s="287"/>
      <c r="AL189" s="287"/>
      <c r="AM189" s="287"/>
      <c r="AN189" s="287"/>
      <c r="AO189" s="287"/>
      <c r="AP189" s="287"/>
      <c r="AQ189" s="287"/>
      <c r="AR189" s="287"/>
      <c r="AS189" s="287"/>
      <c r="AT189" s="287"/>
      <c r="AU189" s="287"/>
      <c r="AV189" s="287"/>
      <c r="AW189" s="287"/>
      <c r="AX189" s="287"/>
      <c r="AY189" s="287"/>
      <c r="AZ189" s="287"/>
      <c r="BA189" s="287"/>
      <c r="BB189" s="287"/>
      <c r="BC189" s="287"/>
    </row>
    <row r="190" ht="15.75" customHeight="1">
      <c r="A190" s="287"/>
      <c r="B190" s="287"/>
      <c r="C190" s="287"/>
      <c r="D190" s="287"/>
      <c r="E190" s="287"/>
      <c r="F190" s="287"/>
      <c r="G190" s="287"/>
      <c r="H190" s="287"/>
      <c r="I190" s="287"/>
      <c r="J190" s="287"/>
      <c r="K190" s="287"/>
      <c r="L190" s="287"/>
      <c r="M190" s="287"/>
      <c r="N190" s="287"/>
      <c r="O190" s="287"/>
      <c r="P190" s="287"/>
      <c r="Q190" s="287"/>
      <c r="R190" s="287"/>
      <c r="S190" s="287"/>
      <c r="T190" s="287"/>
      <c r="U190" s="287"/>
      <c r="V190" s="287"/>
      <c r="W190" s="287"/>
      <c r="X190" s="287"/>
      <c r="Y190" s="287"/>
      <c r="Z190" s="287"/>
      <c r="AA190" s="287"/>
      <c r="AB190" s="287"/>
      <c r="AC190" s="287"/>
      <c r="AD190" s="287"/>
      <c r="AE190" s="287"/>
      <c r="AF190" s="287"/>
      <c r="AG190" s="287"/>
      <c r="AH190" s="287"/>
      <c r="AI190" s="287"/>
      <c r="AJ190" s="287"/>
      <c r="AK190" s="287"/>
      <c r="AL190" s="287"/>
      <c r="AM190" s="287"/>
      <c r="AN190" s="287"/>
      <c r="AO190" s="287"/>
      <c r="AP190" s="287"/>
      <c r="AQ190" s="287"/>
      <c r="AR190" s="287"/>
      <c r="AS190" s="287"/>
      <c r="AT190" s="287"/>
      <c r="AU190" s="287"/>
      <c r="AV190" s="287"/>
      <c r="AW190" s="287"/>
      <c r="AX190" s="287"/>
      <c r="AY190" s="287"/>
      <c r="AZ190" s="287"/>
      <c r="BA190" s="287"/>
      <c r="BB190" s="287"/>
      <c r="BC190" s="287"/>
    </row>
    <row r="191" ht="15.75" customHeight="1">
      <c r="A191" s="287"/>
      <c r="B191" s="287"/>
      <c r="C191" s="287"/>
      <c r="D191" s="287"/>
      <c r="E191" s="287"/>
      <c r="F191" s="287"/>
      <c r="G191" s="287"/>
      <c r="H191" s="287"/>
      <c r="I191" s="287"/>
      <c r="J191" s="287"/>
      <c r="K191" s="287"/>
      <c r="L191" s="287"/>
      <c r="M191" s="287"/>
      <c r="N191" s="287"/>
      <c r="O191" s="287"/>
      <c r="P191" s="287"/>
      <c r="Q191" s="287"/>
      <c r="R191" s="287"/>
      <c r="S191" s="287"/>
      <c r="T191" s="287"/>
      <c r="U191" s="287"/>
      <c r="V191" s="287"/>
      <c r="W191" s="287"/>
      <c r="X191" s="287"/>
      <c r="Y191" s="287"/>
      <c r="Z191" s="287"/>
      <c r="AA191" s="287"/>
      <c r="AB191" s="287"/>
      <c r="AC191" s="287"/>
      <c r="AD191" s="287"/>
      <c r="AE191" s="287"/>
      <c r="AF191" s="287"/>
      <c r="AG191" s="287"/>
      <c r="AH191" s="287"/>
      <c r="AI191" s="287"/>
      <c r="AJ191" s="287"/>
      <c r="AK191" s="287"/>
      <c r="AL191" s="287"/>
      <c r="AM191" s="287"/>
      <c r="AN191" s="287"/>
      <c r="AO191" s="287"/>
      <c r="AP191" s="287"/>
      <c r="AQ191" s="287"/>
      <c r="AR191" s="287"/>
      <c r="AS191" s="287"/>
      <c r="AT191" s="287"/>
      <c r="AU191" s="287"/>
      <c r="AV191" s="287"/>
      <c r="AW191" s="287"/>
      <c r="AX191" s="287"/>
      <c r="AY191" s="287"/>
      <c r="AZ191" s="287"/>
      <c r="BA191" s="287"/>
      <c r="BB191" s="287"/>
      <c r="BC191" s="287"/>
    </row>
    <row r="192" ht="15.75" customHeight="1">
      <c r="A192" s="287"/>
      <c r="B192" s="287"/>
      <c r="C192" s="287"/>
      <c r="D192" s="287"/>
      <c r="E192" s="287"/>
      <c r="F192" s="287"/>
      <c r="G192" s="287"/>
      <c r="H192" s="287"/>
      <c r="I192" s="287"/>
      <c r="J192" s="287"/>
      <c r="K192" s="287"/>
      <c r="L192" s="287"/>
      <c r="M192" s="287"/>
      <c r="N192" s="287"/>
      <c r="O192" s="287"/>
      <c r="P192" s="287"/>
      <c r="Q192" s="287"/>
      <c r="R192" s="287"/>
      <c r="S192" s="287"/>
      <c r="T192" s="287"/>
      <c r="U192" s="287"/>
      <c r="V192" s="287"/>
      <c r="W192" s="287"/>
      <c r="X192" s="287"/>
      <c r="Y192" s="287"/>
      <c r="Z192" s="287"/>
      <c r="AA192" s="287"/>
      <c r="AB192" s="287"/>
      <c r="AC192" s="287"/>
      <c r="AD192" s="287"/>
      <c r="AE192" s="287"/>
      <c r="AF192" s="287"/>
      <c r="AG192" s="287"/>
      <c r="AH192" s="287"/>
      <c r="AI192" s="287"/>
      <c r="AJ192" s="287"/>
      <c r="AK192" s="287"/>
      <c r="AL192" s="287"/>
      <c r="AM192" s="287"/>
      <c r="AN192" s="287"/>
      <c r="AO192" s="287"/>
      <c r="AP192" s="287"/>
      <c r="AQ192" s="287"/>
      <c r="AR192" s="287"/>
      <c r="AS192" s="287"/>
      <c r="AT192" s="287"/>
      <c r="AU192" s="287"/>
      <c r="AV192" s="287"/>
      <c r="AW192" s="287"/>
      <c r="AX192" s="287"/>
      <c r="AY192" s="287"/>
      <c r="AZ192" s="287"/>
      <c r="BA192" s="287"/>
      <c r="BB192" s="287"/>
      <c r="BC192" s="287"/>
    </row>
    <row r="193" ht="15.75" customHeight="1">
      <c r="A193" s="287"/>
      <c r="B193" s="287"/>
      <c r="C193" s="287"/>
      <c r="D193" s="287"/>
      <c r="E193" s="287"/>
      <c r="F193" s="287"/>
      <c r="G193" s="287"/>
      <c r="H193" s="287"/>
      <c r="I193" s="287"/>
      <c r="J193" s="287"/>
      <c r="K193" s="287"/>
      <c r="L193" s="287"/>
      <c r="M193" s="287"/>
      <c r="N193" s="287"/>
      <c r="O193" s="287"/>
      <c r="P193" s="287"/>
      <c r="Q193" s="287"/>
      <c r="R193" s="287"/>
      <c r="S193" s="287"/>
      <c r="T193" s="287"/>
      <c r="U193" s="287"/>
      <c r="V193" s="287"/>
      <c r="W193" s="287"/>
      <c r="X193" s="287"/>
      <c r="Y193" s="287"/>
      <c r="Z193" s="287"/>
      <c r="AA193" s="287"/>
      <c r="AB193" s="287"/>
      <c r="AC193" s="287"/>
      <c r="AD193" s="287"/>
      <c r="AE193" s="287"/>
      <c r="AF193" s="287"/>
      <c r="AG193" s="287"/>
      <c r="AH193" s="287"/>
      <c r="AI193" s="287"/>
      <c r="AJ193" s="287"/>
      <c r="AK193" s="287"/>
      <c r="AL193" s="287"/>
      <c r="AM193" s="287"/>
      <c r="AN193" s="287"/>
      <c r="AO193" s="287"/>
      <c r="AP193" s="287"/>
      <c r="AQ193" s="287"/>
      <c r="AR193" s="287"/>
      <c r="AS193" s="287"/>
      <c r="AT193" s="287"/>
      <c r="AU193" s="287"/>
      <c r="AV193" s="287"/>
      <c r="AW193" s="287"/>
      <c r="AX193" s="287"/>
      <c r="AY193" s="287"/>
      <c r="AZ193" s="287"/>
      <c r="BA193" s="287"/>
      <c r="BB193" s="287"/>
      <c r="BC193" s="287"/>
    </row>
    <row r="194" ht="15.75" customHeight="1">
      <c r="A194" s="287"/>
      <c r="B194" s="287"/>
      <c r="C194" s="287"/>
      <c r="D194" s="287"/>
      <c r="E194" s="287"/>
      <c r="F194" s="287"/>
      <c r="G194" s="287"/>
      <c r="H194" s="287"/>
      <c r="I194" s="287"/>
      <c r="J194" s="287"/>
      <c r="K194" s="287"/>
      <c r="L194" s="287"/>
      <c r="M194" s="287"/>
      <c r="N194" s="287"/>
      <c r="O194" s="287"/>
      <c r="P194" s="287"/>
      <c r="Q194" s="287"/>
      <c r="R194" s="287"/>
      <c r="S194" s="287"/>
      <c r="T194" s="287"/>
      <c r="U194" s="287"/>
      <c r="V194" s="287"/>
      <c r="W194" s="287"/>
      <c r="X194" s="287"/>
      <c r="Y194" s="287"/>
      <c r="Z194" s="287"/>
      <c r="AA194" s="287"/>
      <c r="AB194" s="287"/>
      <c r="AC194" s="287"/>
      <c r="AD194" s="287"/>
      <c r="AE194" s="287"/>
      <c r="AF194" s="287"/>
      <c r="AG194" s="287"/>
      <c r="AH194" s="287"/>
      <c r="AI194" s="287"/>
      <c r="AJ194" s="287"/>
      <c r="AK194" s="287"/>
      <c r="AL194" s="287"/>
      <c r="AM194" s="287"/>
      <c r="AN194" s="287"/>
      <c r="AO194" s="287"/>
      <c r="AP194" s="287"/>
      <c r="AQ194" s="287"/>
      <c r="AR194" s="287"/>
      <c r="AS194" s="287"/>
      <c r="AT194" s="287"/>
      <c r="AU194" s="287"/>
      <c r="AV194" s="287"/>
      <c r="AW194" s="287"/>
      <c r="AX194" s="287"/>
      <c r="AY194" s="287"/>
      <c r="AZ194" s="287"/>
      <c r="BA194" s="287"/>
      <c r="BB194" s="287"/>
      <c r="BC194" s="287"/>
    </row>
    <row r="195" ht="15.75" customHeight="1">
      <c r="A195" s="287"/>
      <c r="B195" s="287"/>
      <c r="C195" s="287"/>
      <c r="D195" s="287"/>
      <c r="E195" s="287"/>
      <c r="F195" s="287"/>
      <c r="G195" s="287"/>
      <c r="H195" s="287"/>
      <c r="I195" s="287"/>
      <c r="J195" s="287"/>
      <c r="K195" s="287"/>
      <c r="L195" s="287"/>
      <c r="M195" s="287"/>
      <c r="N195" s="287"/>
      <c r="O195" s="287"/>
      <c r="P195" s="287"/>
      <c r="Q195" s="287"/>
      <c r="R195" s="287"/>
      <c r="S195" s="287"/>
      <c r="T195" s="287"/>
      <c r="U195" s="287"/>
      <c r="V195" s="287"/>
      <c r="W195" s="287"/>
      <c r="X195" s="287"/>
      <c r="Y195" s="287"/>
      <c r="Z195" s="287"/>
      <c r="AA195" s="287"/>
      <c r="AB195" s="287"/>
      <c r="AC195" s="287"/>
      <c r="AD195" s="287"/>
      <c r="AE195" s="287"/>
      <c r="AF195" s="287"/>
      <c r="AG195" s="287"/>
      <c r="AH195" s="287"/>
      <c r="AI195" s="287"/>
      <c r="AJ195" s="287"/>
      <c r="AK195" s="287"/>
      <c r="AL195" s="287"/>
      <c r="AM195" s="287"/>
      <c r="AN195" s="287"/>
      <c r="AO195" s="287"/>
      <c r="AP195" s="287"/>
      <c r="AQ195" s="287"/>
      <c r="AR195" s="287"/>
      <c r="AS195" s="287"/>
      <c r="AT195" s="287"/>
      <c r="AU195" s="287"/>
      <c r="AV195" s="287"/>
      <c r="AW195" s="287"/>
      <c r="AX195" s="287"/>
      <c r="AY195" s="287"/>
      <c r="AZ195" s="287"/>
      <c r="BA195" s="287"/>
      <c r="BB195" s="287"/>
      <c r="BC195" s="287"/>
    </row>
    <row r="196" ht="15.75" customHeight="1">
      <c r="A196" s="287"/>
      <c r="B196" s="287"/>
      <c r="C196" s="287"/>
      <c r="D196" s="287"/>
      <c r="E196" s="287"/>
      <c r="F196" s="287"/>
      <c r="G196" s="287"/>
      <c r="H196" s="287"/>
      <c r="I196" s="287"/>
      <c r="J196" s="287"/>
      <c r="K196" s="287"/>
      <c r="L196" s="287"/>
      <c r="M196" s="287"/>
      <c r="N196" s="287"/>
      <c r="O196" s="287"/>
      <c r="P196" s="287"/>
      <c r="Q196" s="287"/>
      <c r="R196" s="287"/>
      <c r="S196" s="287"/>
      <c r="T196" s="287"/>
      <c r="U196" s="287"/>
      <c r="V196" s="287"/>
      <c r="W196" s="287"/>
      <c r="X196" s="287"/>
      <c r="Y196" s="287"/>
      <c r="Z196" s="287"/>
      <c r="AA196" s="287"/>
      <c r="AB196" s="287"/>
      <c r="AC196" s="287"/>
      <c r="AD196" s="287"/>
      <c r="AE196" s="287"/>
      <c r="AF196" s="287"/>
      <c r="AG196" s="287"/>
      <c r="AH196" s="287"/>
      <c r="AI196" s="287"/>
      <c r="AJ196" s="287"/>
      <c r="AK196" s="287"/>
      <c r="AL196" s="287"/>
      <c r="AM196" s="287"/>
      <c r="AN196" s="287"/>
      <c r="AO196" s="287"/>
      <c r="AP196" s="287"/>
      <c r="AQ196" s="287"/>
      <c r="AR196" s="287"/>
      <c r="AS196" s="287"/>
      <c r="AT196" s="287"/>
      <c r="AU196" s="287"/>
      <c r="AV196" s="287"/>
      <c r="AW196" s="287"/>
      <c r="AX196" s="287"/>
      <c r="AY196" s="287"/>
      <c r="AZ196" s="287"/>
      <c r="BA196" s="287"/>
      <c r="BB196" s="287"/>
      <c r="BC196" s="287"/>
    </row>
    <row r="197" ht="15.75" customHeight="1">
      <c r="A197" s="287"/>
      <c r="B197" s="287"/>
      <c r="C197" s="287"/>
      <c r="D197" s="287"/>
      <c r="E197" s="287"/>
      <c r="F197" s="287"/>
      <c r="G197" s="287"/>
      <c r="H197" s="287"/>
      <c r="I197" s="287"/>
      <c r="J197" s="287"/>
      <c r="K197" s="287"/>
      <c r="L197" s="287"/>
      <c r="M197" s="287"/>
      <c r="N197" s="287"/>
      <c r="O197" s="287"/>
      <c r="P197" s="287"/>
      <c r="Q197" s="287"/>
      <c r="R197" s="287"/>
      <c r="S197" s="287"/>
      <c r="T197" s="287"/>
      <c r="U197" s="287"/>
      <c r="V197" s="287"/>
      <c r="W197" s="287"/>
      <c r="X197" s="287"/>
      <c r="Y197" s="287"/>
      <c r="Z197" s="287"/>
      <c r="AA197" s="287"/>
      <c r="AB197" s="287"/>
      <c r="AC197" s="287"/>
      <c r="AD197" s="287"/>
      <c r="AE197" s="287"/>
      <c r="AF197" s="287"/>
      <c r="AG197" s="287"/>
      <c r="AH197" s="287"/>
      <c r="AI197" s="287"/>
      <c r="AJ197" s="287"/>
      <c r="AK197" s="287"/>
      <c r="AL197" s="287"/>
      <c r="AM197" s="287"/>
      <c r="AN197" s="287"/>
      <c r="AO197" s="287"/>
      <c r="AP197" s="287"/>
      <c r="AQ197" s="287"/>
      <c r="AR197" s="287"/>
      <c r="AS197" s="287"/>
      <c r="AT197" s="287"/>
      <c r="AU197" s="287"/>
      <c r="AV197" s="287"/>
      <c r="AW197" s="287"/>
      <c r="AX197" s="287"/>
      <c r="AY197" s="287"/>
      <c r="AZ197" s="287"/>
      <c r="BA197" s="287"/>
      <c r="BB197" s="287"/>
      <c r="BC197" s="287"/>
    </row>
    <row r="198" ht="15.75" customHeight="1">
      <c r="A198" s="287"/>
      <c r="B198" s="287"/>
      <c r="C198" s="287"/>
      <c r="D198" s="287"/>
      <c r="E198" s="287"/>
      <c r="F198" s="287"/>
      <c r="G198" s="287"/>
      <c r="H198" s="287"/>
      <c r="I198" s="287"/>
      <c r="J198" s="287"/>
      <c r="K198" s="287"/>
      <c r="L198" s="287"/>
      <c r="M198" s="287"/>
      <c r="N198" s="287"/>
      <c r="O198" s="287"/>
      <c r="P198" s="287"/>
      <c r="Q198" s="287"/>
      <c r="R198" s="287"/>
      <c r="S198" s="287"/>
      <c r="T198" s="287"/>
      <c r="U198" s="287"/>
      <c r="V198" s="287"/>
      <c r="W198" s="287"/>
      <c r="X198" s="287"/>
      <c r="Y198" s="287"/>
      <c r="Z198" s="287"/>
      <c r="AA198" s="287"/>
      <c r="AB198" s="287"/>
      <c r="AC198" s="287"/>
      <c r="AD198" s="287"/>
      <c r="AE198" s="287"/>
      <c r="AF198" s="287"/>
      <c r="AG198" s="287"/>
      <c r="AH198" s="287"/>
      <c r="AI198" s="287"/>
      <c r="AJ198" s="287"/>
      <c r="AK198" s="287"/>
      <c r="AL198" s="287"/>
      <c r="AM198" s="287"/>
      <c r="AN198" s="287"/>
      <c r="AO198" s="287"/>
      <c r="AP198" s="287"/>
      <c r="AQ198" s="287"/>
      <c r="AR198" s="287"/>
      <c r="AS198" s="287"/>
      <c r="AT198" s="287"/>
      <c r="AU198" s="287"/>
      <c r="AV198" s="287"/>
      <c r="AW198" s="287"/>
      <c r="AX198" s="287"/>
      <c r="AY198" s="287"/>
      <c r="AZ198" s="287"/>
      <c r="BA198" s="287"/>
      <c r="BB198" s="287"/>
      <c r="BC198" s="287"/>
    </row>
    <row r="199" ht="15.75" customHeight="1">
      <c r="A199" s="287"/>
      <c r="B199" s="287"/>
      <c r="C199" s="287"/>
      <c r="D199" s="287"/>
      <c r="E199" s="287"/>
      <c r="F199" s="287"/>
      <c r="G199" s="287"/>
      <c r="H199" s="287"/>
      <c r="I199" s="287"/>
      <c r="J199" s="287"/>
      <c r="K199" s="287"/>
      <c r="L199" s="287"/>
      <c r="M199" s="287"/>
      <c r="N199" s="287"/>
      <c r="O199" s="287"/>
      <c r="P199" s="287"/>
      <c r="Q199" s="287"/>
      <c r="R199" s="287"/>
      <c r="S199" s="287"/>
      <c r="T199" s="287"/>
      <c r="U199" s="287"/>
      <c r="V199" s="287"/>
      <c r="W199" s="287"/>
      <c r="X199" s="287"/>
      <c r="Y199" s="287"/>
      <c r="Z199" s="287"/>
      <c r="AA199" s="287"/>
      <c r="AB199" s="287"/>
      <c r="AC199" s="287"/>
      <c r="AD199" s="287"/>
      <c r="AE199" s="287"/>
      <c r="AF199" s="287"/>
      <c r="AG199" s="287"/>
      <c r="AH199" s="287"/>
      <c r="AI199" s="287"/>
      <c r="AJ199" s="287"/>
      <c r="AK199" s="287"/>
      <c r="AL199" s="287"/>
      <c r="AM199" s="287"/>
      <c r="AN199" s="287"/>
      <c r="AO199" s="287"/>
      <c r="AP199" s="287"/>
      <c r="AQ199" s="287"/>
      <c r="AR199" s="287"/>
      <c r="AS199" s="287"/>
      <c r="AT199" s="287"/>
      <c r="AU199" s="287"/>
      <c r="AV199" s="287"/>
      <c r="AW199" s="287"/>
      <c r="AX199" s="287"/>
      <c r="AY199" s="287"/>
      <c r="AZ199" s="287"/>
      <c r="BA199" s="287"/>
      <c r="BB199" s="287"/>
      <c r="BC199" s="287"/>
    </row>
    <row r="200" ht="15.75" customHeight="1">
      <c r="A200" s="287"/>
      <c r="B200" s="287"/>
      <c r="C200" s="287"/>
      <c r="D200" s="287"/>
      <c r="E200" s="287"/>
      <c r="F200" s="287"/>
      <c r="G200" s="287"/>
      <c r="H200" s="287"/>
      <c r="I200" s="287"/>
      <c r="J200" s="287"/>
      <c r="K200" s="287"/>
      <c r="L200" s="287"/>
      <c r="M200" s="287"/>
      <c r="N200" s="287"/>
      <c r="O200" s="287"/>
      <c r="P200" s="287"/>
      <c r="Q200" s="287"/>
      <c r="R200" s="287"/>
      <c r="S200" s="287"/>
      <c r="T200" s="287"/>
      <c r="U200" s="287"/>
      <c r="V200" s="287"/>
      <c r="W200" s="287"/>
      <c r="X200" s="287"/>
      <c r="Y200" s="287"/>
      <c r="Z200" s="287"/>
      <c r="AA200" s="287"/>
      <c r="AB200" s="287"/>
      <c r="AC200" s="287"/>
      <c r="AD200" s="287"/>
      <c r="AE200" s="287"/>
      <c r="AF200" s="287"/>
      <c r="AG200" s="287"/>
      <c r="AH200" s="287"/>
      <c r="AI200" s="287"/>
      <c r="AJ200" s="287"/>
      <c r="AK200" s="287"/>
      <c r="AL200" s="287"/>
      <c r="AM200" s="287"/>
      <c r="AN200" s="287"/>
      <c r="AO200" s="287"/>
      <c r="AP200" s="287"/>
      <c r="AQ200" s="287"/>
      <c r="AR200" s="287"/>
      <c r="AS200" s="287"/>
      <c r="AT200" s="287"/>
      <c r="AU200" s="287"/>
      <c r="AV200" s="287"/>
      <c r="AW200" s="287"/>
      <c r="AX200" s="287"/>
      <c r="AY200" s="287"/>
      <c r="AZ200" s="287"/>
      <c r="BA200" s="287"/>
      <c r="BB200" s="287"/>
      <c r="BC200" s="287"/>
    </row>
    <row r="201" ht="15.75" customHeight="1">
      <c r="A201" s="287"/>
      <c r="B201" s="287"/>
      <c r="C201" s="287"/>
      <c r="D201" s="287"/>
      <c r="E201" s="287"/>
      <c r="F201" s="287"/>
      <c r="G201" s="287"/>
      <c r="H201" s="287"/>
      <c r="I201" s="287"/>
      <c r="J201" s="287"/>
      <c r="K201" s="287"/>
      <c r="L201" s="287"/>
      <c r="M201" s="287"/>
      <c r="N201" s="287"/>
      <c r="O201" s="287"/>
      <c r="P201" s="287"/>
      <c r="Q201" s="287"/>
      <c r="R201" s="287"/>
      <c r="S201" s="287"/>
      <c r="T201" s="287"/>
      <c r="U201" s="287"/>
      <c r="V201" s="287"/>
      <c r="W201" s="287"/>
      <c r="X201" s="287"/>
      <c r="Y201" s="287"/>
      <c r="Z201" s="287"/>
      <c r="AA201" s="287"/>
      <c r="AB201" s="287"/>
      <c r="AC201" s="287"/>
      <c r="AD201" s="287"/>
      <c r="AE201" s="287"/>
      <c r="AF201" s="287"/>
      <c r="AG201" s="287"/>
      <c r="AH201" s="287"/>
      <c r="AI201" s="287"/>
      <c r="AJ201" s="287"/>
      <c r="AK201" s="287"/>
      <c r="AL201" s="287"/>
      <c r="AM201" s="287"/>
      <c r="AN201" s="287"/>
      <c r="AO201" s="287"/>
      <c r="AP201" s="287"/>
      <c r="AQ201" s="287"/>
      <c r="AR201" s="287"/>
      <c r="AS201" s="287"/>
      <c r="AT201" s="287"/>
      <c r="AU201" s="287"/>
      <c r="AV201" s="287"/>
      <c r="AW201" s="287"/>
      <c r="AX201" s="287"/>
      <c r="AY201" s="287"/>
      <c r="AZ201" s="287"/>
      <c r="BA201" s="287"/>
      <c r="BB201" s="287"/>
      <c r="BC201" s="287"/>
    </row>
    <row r="202" ht="15.75" customHeight="1">
      <c r="A202" s="287"/>
      <c r="B202" s="287"/>
      <c r="C202" s="287"/>
      <c r="D202" s="287"/>
      <c r="E202" s="287"/>
      <c r="F202" s="287"/>
      <c r="G202" s="287"/>
      <c r="H202" s="287"/>
      <c r="I202" s="287"/>
      <c r="J202" s="287"/>
      <c r="K202" s="287"/>
      <c r="L202" s="287"/>
      <c r="M202" s="287"/>
      <c r="N202" s="287"/>
      <c r="O202" s="287"/>
      <c r="P202" s="287"/>
      <c r="Q202" s="287"/>
      <c r="R202" s="287"/>
      <c r="S202" s="287"/>
      <c r="T202" s="287"/>
      <c r="U202" s="287"/>
      <c r="V202" s="287"/>
      <c r="W202" s="287"/>
      <c r="X202" s="287"/>
      <c r="Y202" s="287"/>
      <c r="Z202" s="287"/>
      <c r="AA202" s="287"/>
      <c r="AB202" s="287"/>
      <c r="AC202" s="287"/>
      <c r="AD202" s="287"/>
      <c r="AE202" s="287"/>
      <c r="AF202" s="287"/>
      <c r="AG202" s="287"/>
      <c r="AH202" s="287"/>
      <c r="AI202" s="287"/>
      <c r="AJ202" s="287"/>
      <c r="AK202" s="287"/>
      <c r="AL202" s="287"/>
      <c r="AM202" s="287"/>
      <c r="AN202" s="287"/>
      <c r="AO202" s="287"/>
      <c r="AP202" s="287"/>
      <c r="AQ202" s="287"/>
      <c r="AR202" s="287"/>
      <c r="AS202" s="287"/>
      <c r="AT202" s="287"/>
      <c r="AU202" s="287"/>
      <c r="AV202" s="287"/>
      <c r="AW202" s="287"/>
      <c r="AX202" s="287"/>
      <c r="AY202" s="287"/>
      <c r="AZ202" s="287"/>
      <c r="BA202" s="287"/>
      <c r="BB202" s="287"/>
      <c r="BC202" s="287"/>
    </row>
    <row r="203" ht="15.75" customHeight="1">
      <c r="A203" s="287"/>
      <c r="B203" s="287"/>
      <c r="C203" s="287"/>
      <c r="D203" s="287"/>
      <c r="E203" s="287"/>
      <c r="F203" s="287"/>
      <c r="G203" s="287"/>
      <c r="H203" s="287"/>
      <c r="I203" s="287"/>
      <c r="J203" s="287"/>
      <c r="K203" s="287"/>
      <c r="L203" s="287"/>
      <c r="M203" s="287"/>
      <c r="N203" s="287"/>
      <c r="O203" s="287"/>
      <c r="P203" s="287"/>
      <c r="Q203" s="287"/>
      <c r="R203" s="287"/>
      <c r="S203" s="287"/>
      <c r="T203" s="287"/>
      <c r="U203" s="287"/>
      <c r="V203" s="287"/>
      <c r="W203" s="287"/>
      <c r="X203" s="287"/>
      <c r="Y203" s="287"/>
      <c r="Z203" s="287"/>
      <c r="AA203" s="287"/>
      <c r="AB203" s="287"/>
      <c r="AC203" s="287"/>
      <c r="AD203" s="287"/>
      <c r="AE203" s="287"/>
      <c r="AF203" s="287"/>
      <c r="AG203" s="287"/>
      <c r="AH203" s="287"/>
      <c r="AI203" s="287"/>
      <c r="AJ203" s="287"/>
      <c r="AK203" s="287"/>
      <c r="AL203" s="287"/>
      <c r="AM203" s="287"/>
      <c r="AN203" s="287"/>
      <c r="AO203" s="287"/>
      <c r="AP203" s="287"/>
      <c r="AQ203" s="287"/>
      <c r="AR203" s="287"/>
      <c r="AS203" s="287"/>
      <c r="AT203" s="287"/>
      <c r="AU203" s="287"/>
      <c r="AV203" s="287"/>
      <c r="AW203" s="287"/>
      <c r="AX203" s="287"/>
      <c r="AY203" s="287"/>
      <c r="AZ203" s="287"/>
      <c r="BA203" s="287"/>
      <c r="BB203" s="287"/>
      <c r="BC203" s="287"/>
    </row>
    <row r="204" ht="15.75" customHeight="1">
      <c r="A204" s="287"/>
      <c r="B204" s="287"/>
      <c r="C204" s="287"/>
      <c r="D204" s="287"/>
      <c r="E204" s="287"/>
      <c r="F204" s="287"/>
      <c r="G204" s="287"/>
      <c r="H204" s="287"/>
      <c r="I204" s="287"/>
      <c r="J204" s="287"/>
      <c r="K204" s="287"/>
      <c r="L204" s="287"/>
      <c r="M204" s="287"/>
      <c r="N204" s="287"/>
      <c r="O204" s="287"/>
      <c r="P204" s="287"/>
      <c r="Q204" s="287"/>
      <c r="R204" s="287"/>
      <c r="S204" s="287"/>
      <c r="T204" s="287"/>
      <c r="U204" s="287"/>
      <c r="V204" s="287"/>
      <c r="W204" s="287"/>
      <c r="X204" s="287"/>
      <c r="Y204" s="287"/>
      <c r="Z204" s="287"/>
      <c r="AA204" s="287"/>
      <c r="AB204" s="287"/>
      <c r="AC204" s="287"/>
      <c r="AD204" s="287"/>
      <c r="AE204" s="287"/>
      <c r="AF204" s="287"/>
      <c r="AG204" s="287"/>
      <c r="AH204" s="287"/>
      <c r="AI204" s="287"/>
      <c r="AJ204" s="287"/>
      <c r="AK204" s="287"/>
      <c r="AL204" s="287"/>
      <c r="AM204" s="287"/>
      <c r="AN204" s="287"/>
      <c r="AO204" s="287"/>
      <c r="AP204" s="287"/>
      <c r="AQ204" s="287"/>
      <c r="AR204" s="287"/>
      <c r="AS204" s="287"/>
      <c r="AT204" s="287"/>
      <c r="AU204" s="287"/>
      <c r="AV204" s="287"/>
      <c r="AW204" s="287"/>
      <c r="AX204" s="287"/>
      <c r="AY204" s="287"/>
      <c r="AZ204" s="287"/>
      <c r="BA204" s="287"/>
      <c r="BB204" s="287"/>
      <c r="BC204" s="287"/>
    </row>
    <row r="205" ht="15.75" customHeight="1">
      <c r="A205" s="287"/>
      <c r="B205" s="287"/>
      <c r="C205" s="287"/>
      <c r="D205" s="287"/>
      <c r="E205" s="287"/>
      <c r="F205" s="287"/>
      <c r="G205" s="287"/>
      <c r="H205" s="287"/>
      <c r="I205" s="287"/>
      <c r="J205" s="287"/>
      <c r="K205" s="287"/>
      <c r="L205" s="287"/>
      <c r="M205" s="287"/>
      <c r="N205" s="287"/>
      <c r="O205" s="287"/>
      <c r="P205" s="287"/>
      <c r="Q205" s="287"/>
      <c r="R205" s="287"/>
      <c r="S205" s="287"/>
      <c r="T205" s="287"/>
      <c r="U205" s="287"/>
      <c r="V205" s="287"/>
      <c r="W205" s="287"/>
      <c r="X205" s="287"/>
      <c r="Y205" s="287"/>
      <c r="Z205" s="287"/>
      <c r="AA205" s="287"/>
      <c r="AB205" s="287"/>
      <c r="AC205" s="287"/>
      <c r="AD205" s="287"/>
      <c r="AE205" s="287"/>
      <c r="AF205" s="287"/>
      <c r="AG205" s="287"/>
      <c r="AH205" s="287"/>
      <c r="AI205" s="287"/>
      <c r="AJ205" s="287"/>
      <c r="AK205" s="287"/>
      <c r="AL205" s="287"/>
      <c r="AM205" s="287"/>
      <c r="AN205" s="287"/>
      <c r="AO205" s="287"/>
      <c r="AP205" s="287"/>
      <c r="AQ205" s="287"/>
      <c r="AR205" s="287"/>
      <c r="AS205" s="287"/>
      <c r="AT205" s="287"/>
      <c r="AU205" s="287"/>
      <c r="AV205" s="287"/>
      <c r="AW205" s="287"/>
      <c r="AX205" s="287"/>
      <c r="AY205" s="287"/>
      <c r="AZ205" s="287"/>
      <c r="BA205" s="287"/>
      <c r="BB205" s="287"/>
      <c r="BC205" s="287"/>
    </row>
    <row r="206" ht="15.75" customHeight="1">
      <c r="A206" s="287"/>
      <c r="B206" s="287"/>
      <c r="C206" s="287"/>
      <c r="D206" s="287"/>
      <c r="E206" s="287"/>
      <c r="F206" s="287"/>
      <c r="G206" s="287"/>
      <c r="H206" s="287"/>
      <c r="I206" s="287"/>
      <c r="J206" s="287"/>
      <c r="K206" s="287"/>
      <c r="L206" s="287"/>
      <c r="M206" s="287"/>
      <c r="N206" s="287"/>
      <c r="O206" s="287"/>
      <c r="P206" s="287"/>
      <c r="Q206" s="287"/>
      <c r="R206" s="287"/>
      <c r="S206" s="287"/>
      <c r="T206" s="287"/>
      <c r="U206" s="287"/>
      <c r="V206" s="287"/>
      <c r="W206" s="287"/>
      <c r="X206" s="287"/>
      <c r="Y206" s="287"/>
      <c r="Z206" s="287"/>
      <c r="AA206" s="287"/>
      <c r="AB206" s="287"/>
      <c r="AC206" s="287"/>
      <c r="AD206" s="287"/>
      <c r="AE206" s="287"/>
      <c r="AF206" s="287"/>
      <c r="AG206" s="287"/>
      <c r="AH206" s="287"/>
      <c r="AI206" s="287"/>
      <c r="AJ206" s="287"/>
      <c r="AK206" s="287"/>
      <c r="AL206" s="287"/>
      <c r="AM206" s="287"/>
      <c r="AN206" s="287"/>
      <c r="AO206" s="287"/>
      <c r="AP206" s="287"/>
      <c r="AQ206" s="287"/>
      <c r="AR206" s="287"/>
      <c r="AS206" s="287"/>
      <c r="AT206" s="287"/>
      <c r="AU206" s="287"/>
      <c r="AV206" s="287"/>
      <c r="AW206" s="287"/>
      <c r="AX206" s="287"/>
      <c r="AY206" s="287"/>
      <c r="AZ206" s="287"/>
      <c r="BA206" s="287"/>
      <c r="BB206" s="287"/>
      <c r="BC206" s="287"/>
    </row>
    <row r="207" ht="15.75" customHeight="1">
      <c r="A207" s="287"/>
      <c r="B207" s="287"/>
      <c r="C207" s="287"/>
      <c r="D207" s="287"/>
      <c r="E207" s="287"/>
      <c r="F207" s="287"/>
      <c r="G207" s="287"/>
      <c r="H207" s="287"/>
      <c r="I207" s="287"/>
      <c r="J207" s="287"/>
      <c r="K207" s="287"/>
      <c r="L207" s="287"/>
      <c r="M207" s="287"/>
      <c r="N207" s="287"/>
      <c r="O207" s="287"/>
      <c r="P207" s="287"/>
      <c r="Q207" s="287"/>
      <c r="R207" s="287"/>
      <c r="S207" s="287"/>
      <c r="T207" s="287"/>
      <c r="U207" s="287"/>
      <c r="V207" s="287"/>
      <c r="W207" s="287"/>
      <c r="X207" s="287"/>
      <c r="Y207" s="287"/>
      <c r="Z207" s="287"/>
      <c r="AA207" s="287"/>
      <c r="AB207" s="287"/>
      <c r="AC207" s="287"/>
      <c r="AD207" s="287"/>
      <c r="AE207" s="287"/>
      <c r="AF207" s="287"/>
      <c r="AG207" s="287"/>
      <c r="AH207" s="287"/>
      <c r="AI207" s="287"/>
      <c r="AJ207" s="287"/>
      <c r="AK207" s="287"/>
      <c r="AL207" s="287"/>
      <c r="AM207" s="287"/>
      <c r="AN207" s="287"/>
      <c r="AO207" s="287"/>
      <c r="AP207" s="287"/>
      <c r="AQ207" s="287"/>
      <c r="AR207" s="287"/>
      <c r="AS207" s="287"/>
      <c r="AT207" s="287"/>
      <c r="AU207" s="287"/>
      <c r="AV207" s="287"/>
      <c r="AW207" s="287"/>
      <c r="AX207" s="287"/>
      <c r="AY207" s="287"/>
      <c r="AZ207" s="287"/>
      <c r="BA207" s="287"/>
      <c r="BB207" s="287"/>
      <c r="BC207" s="287"/>
    </row>
    <row r="208" ht="15.75" customHeight="1">
      <c r="A208" s="287"/>
      <c r="B208" s="287"/>
      <c r="C208" s="287"/>
      <c r="D208" s="287"/>
      <c r="E208" s="287"/>
      <c r="F208" s="287"/>
      <c r="G208" s="287"/>
      <c r="H208" s="287"/>
      <c r="I208" s="287"/>
      <c r="J208" s="287"/>
      <c r="K208" s="287"/>
      <c r="L208" s="287"/>
      <c r="M208" s="287"/>
      <c r="N208" s="287"/>
      <c r="O208" s="287"/>
      <c r="P208" s="287"/>
      <c r="Q208" s="287"/>
      <c r="R208" s="287"/>
      <c r="S208" s="287"/>
      <c r="T208" s="287"/>
      <c r="U208" s="287"/>
      <c r="V208" s="287"/>
      <c r="W208" s="287"/>
      <c r="X208" s="287"/>
      <c r="Y208" s="287"/>
      <c r="Z208" s="287"/>
      <c r="AA208" s="287"/>
      <c r="AB208" s="287"/>
      <c r="AC208" s="287"/>
      <c r="AD208" s="287"/>
      <c r="AE208" s="287"/>
      <c r="AF208" s="287"/>
      <c r="AG208" s="287"/>
      <c r="AH208" s="287"/>
      <c r="AI208" s="287"/>
      <c r="AJ208" s="287"/>
      <c r="AK208" s="287"/>
      <c r="AL208" s="287"/>
      <c r="AM208" s="287"/>
      <c r="AN208" s="287"/>
      <c r="AO208" s="287"/>
      <c r="AP208" s="287"/>
      <c r="AQ208" s="287"/>
      <c r="AR208" s="287"/>
      <c r="AS208" s="287"/>
      <c r="AT208" s="287"/>
      <c r="AU208" s="287"/>
      <c r="AV208" s="287"/>
      <c r="AW208" s="287"/>
      <c r="AX208" s="287"/>
      <c r="AY208" s="287"/>
      <c r="AZ208" s="287"/>
      <c r="BA208" s="287"/>
      <c r="BB208" s="287"/>
      <c r="BC208" s="287"/>
    </row>
    <row r="209" ht="15.75" customHeight="1">
      <c r="A209" s="287"/>
      <c r="B209" s="287"/>
      <c r="C209" s="287"/>
      <c r="D209" s="287"/>
      <c r="E209" s="287"/>
      <c r="F209" s="287"/>
      <c r="G209" s="287"/>
      <c r="H209" s="287"/>
      <c r="I209" s="287"/>
      <c r="J209" s="287"/>
      <c r="K209" s="287"/>
      <c r="L209" s="287"/>
      <c r="M209" s="287"/>
      <c r="N209" s="287"/>
      <c r="O209" s="287"/>
      <c r="P209" s="287"/>
      <c r="Q209" s="287"/>
      <c r="R209" s="287"/>
      <c r="S209" s="287"/>
      <c r="T209" s="287"/>
      <c r="U209" s="287"/>
      <c r="V209" s="287"/>
      <c r="W209" s="287"/>
      <c r="X209" s="287"/>
      <c r="Y209" s="287"/>
      <c r="Z209" s="287"/>
      <c r="AA209" s="287"/>
      <c r="AB209" s="287"/>
      <c r="AC209" s="287"/>
      <c r="AD209" s="287"/>
      <c r="AE209" s="287"/>
      <c r="AF209" s="287"/>
      <c r="AG209" s="287"/>
      <c r="AH209" s="287"/>
      <c r="AI209" s="287"/>
      <c r="AJ209" s="287"/>
      <c r="AK209" s="287"/>
      <c r="AL209" s="287"/>
      <c r="AM209" s="287"/>
      <c r="AN209" s="287"/>
      <c r="AO209" s="287"/>
      <c r="AP209" s="287"/>
      <c r="AQ209" s="287"/>
      <c r="AR209" s="287"/>
      <c r="AS209" s="287"/>
      <c r="AT209" s="287"/>
      <c r="AU209" s="287"/>
      <c r="AV209" s="287"/>
      <c r="AW209" s="287"/>
      <c r="AX209" s="287"/>
      <c r="AY209" s="287"/>
      <c r="AZ209" s="287"/>
      <c r="BA209" s="287"/>
      <c r="BB209" s="287"/>
      <c r="BC209" s="287"/>
    </row>
    <row r="210" ht="15.75" customHeight="1">
      <c r="A210" s="287"/>
      <c r="B210" s="287"/>
      <c r="C210" s="287"/>
      <c r="D210" s="287"/>
      <c r="E210" s="287"/>
      <c r="F210" s="287"/>
      <c r="G210" s="287"/>
      <c r="H210" s="287"/>
      <c r="I210" s="287"/>
      <c r="J210" s="287"/>
      <c r="K210" s="287"/>
      <c r="L210" s="287"/>
      <c r="M210" s="287"/>
      <c r="N210" s="287"/>
      <c r="O210" s="287"/>
      <c r="P210" s="287"/>
      <c r="Q210" s="287"/>
      <c r="R210" s="287"/>
      <c r="S210" s="287"/>
      <c r="T210" s="287"/>
      <c r="U210" s="287"/>
      <c r="V210" s="287"/>
      <c r="W210" s="287"/>
      <c r="X210" s="287"/>
      <c r="Y210" s="287"/>
      <c r="Z210" s="287"/>
      <c r="AA210" s="287"/>
      <c r="AB210" s="287"/>
      <c r="AC210" s="287"/>
      <c r="AD210" s="287"/>
      <c r="AE210" s="287"/>
      <c r="AF210" s="287"/>
      <c r="AG210" s="287"/>
      <c r="AH210" s="287"/>
      <c r="AI210" s="287"/>
      <c r="AJ210" s="287"/>
      <c r="AK210" s="287"/>
      <c r="AL210" s="287"/>
      <c r="AM210" s="287"/>
      <c r="AN210" s="287"/>
      <c r="AO210" s="287"/>
      <c r="AP210" s="287"/>
      <c r="AQ210" s="287"/>
      <c r="AR210" s="287"/>
      <c r="AS210" s="287"/>
      <c r="AT210" s="287"/>
      <c r="AU210" s="287"/>
      <c r="AV210" s="287"/>
      <c r="AW210" s="287"/>
      <c r="AX210" s="287"/>
      <c r="AY210" s="287"/>
      <c r="AZ210" s="287"/>
      <c r="BA210" s="287"/>
      <c r="BB210" s="287"/>
      <c r="BC210" s="287"/>
    </row>
    <row r="211" ht="15.75" customHeight="1">
      <c r="A211" s="287"/>
      <c r="B211" s="287"/>
      <c r="C211" s="287"/>
      <c r="D211" s="287"/>
      <c r="E211" s="287"/>
      <c r="F211" s="287"/>
      <c r="G211" s="287"/>
      <c r="H211" s="287"/>
      <c r="I211" s="287"/>
      <c r="J211" s="287"/>
      <c r="K211" s="287"/>
      <c r="L211" s="287"/>
      <c r="M211" s="287"/>
      <c r="N211" s="287"/>
      <c r="O211" s="287"/>
      <c r="P211" s="287"/>
      <c r="Q211" s="287"/>
      <c r="R211" s="287"/>
      <c r="S211" s="287"/>
      <c r="T211" s="287"/>
      <c r="U211" s="287"/>
      <c r="V211" s="287"/>
      <c r="W211" s="287"/>
      <c r="X211" s="287"/>
      <c r="Y211" s="287"/>
      <c r="Z211" s="287"/>
      <c r="AA211" s="287"/>
      <c r="AB211" s="287"/>
      <c r="AC211" s="287"/>
      <c r="AD211" s="287"/>
      <c r="AE211" s="287"/>
      <c r="AF211" s="287"/>
      <c r="AG211" s="287"/>
      <c r="AH211" s="287"/>
      <c r="AI211" s="287"/>
      <c r="AJ211" s="287"/>
      <c r="AK211" s="287"/>
      <c r="AL211" s="287"/>
      <c r="AM211" s="287"/>
      <c r="AN211" s="287"/>
      <c r="AO211" s="287"/>
      <c r="AP211" s="287"/>
      <c r="AQ211" s="287"/>
      <c r="AR211" s="287"/>
      <c r="AS211" s="287"/>
      <c r="AT211" s="287"/>
      <c r="AU211" s="287"/>
      <c r="AV211" s="287"/>
      <c r="AW211" s="287"/>
      <c r="AX211" s="287"/>
      <c r="AY211" s="287"/>
      <c r="AZ211" s="287"/>
      <c r="BA211" s="287"/>
      <c r="BB211" s="287"/>
      <c r="BC211" s="287"/>
    </row>
    <row r="212" ht="15.75" customHeight="1">
      <c r="A212" s="287"/>
      <c r="B212" s="287"/>
      <c r="C212" s="287"/>
      <c r="D212" s="287"/>
      <c r="E212" s="287"/>
      <c r="F212" s="287"/>
      <c r="G212" s="287"/>
      <c r="H212" s="287"/>
      <c r="I212" s="287"/>
      <c r="J212" s="287"/>
      <c r="K212" s="287"/>
      <c r="L212" s="287"/>
      <c r="M212" s="287"/>
      <c r="N212" s="287"/>
      <c r="O212" s="287"/>
      <c r="P212" s="287"/>
      <c r="Q212" s="287"/>
      <c r="R212" s="287"/>
      <c r="S212" s="287"/>
      <c r="T212" s="287"/>
      <c r="U212" s="287"/>
      <c r="V212" s="287"/>
      <c r="W212" s="287"/>
      <c r="X212" s="287"/>
      <c r="Y212" s="287"/>
      <c r="Z212" s="287"/>
      <c r="AA212" s="287"/>
      <c r="AB212" s="287"/>
      <c r="AC212" s="287"/>
      <c r="AD212" s="287"/>
      <c r="AE212" s="287"/>
      <c r="AF212" s="287"/>
      <c r="AG212" s="287"/>
      <c r="AH212" s="287"/>
      <c r="AI212" s="287"/>
      <c r="AJ212" s="287"/>
      <c r="AK212" s="287"/>
      <c r="AL212" s="287"/>
      <c r="AM212" s="287"/>
      <c r="AN212" s="287"/>
      <c r="AO212" s="287"/>
      <c r="AP212" s="287"/>
      <c r="AQ212" s="287"/>
      <c r="AR212" s="287"/>
      <c r="AS212" s="287"/>
      <c r="AT212" s="287"/>
      <c r="AU212" s="287"/>
      <c r="AV212" s="287"/>
      <c r="AW212" s="287"/>
      <c r="AX212" s="287"/>
      <c r="AY212" s="287"/>
      <c r="AZ212" s="287"/>
      <c r="BA212" s="287"/>
      <c r="BB212" s="287"/>
      <c r="BC212" s="287"/>
    </row>
    <row r="213" ht="15.75" customHeight="1">
      <c r="A213" s="287"/>
      <c r="B213" s="287"/>
      <c r="C213" s="287"/>
      <c r="D213" s="287"/>
      <c r="E213" s="287"/>
      <c r="F213" s="287"/>
      <c r="G213" s="287"/>
      <c r="H213" s="287"/>
      <c r="I213" s="287"/>
      <c r="J213" s="287"/>
      <c r="K213" s="287"/>
      <c r="L213" s="287"/>
      <c r="M213" s="287"/>
      <c r="N213" s="287"/>
      <c r="O213" s="287"/>
      <c r="P213" s="287"/>
      <c r="Q213" s="287"/>
      <c r="R213" s="287"/>
      <c r="S213" s="287"/>
      <c r="T213" s="287"/>
      <c r="U213" s="287"/>
      <c r="V213" s="287"/>
      <c r="W213" s="287"/>
      <c r="X213" s="287"/>
      <c r="Y213" s="287"/>
      <c r="Z213" s="287"/>
      <c r="AA213" s="287"/>
      <c r="AB213" s="287"/>
      <c r="AC213" s="287"/>
      <c r="AD213" s="287"/>
      <c r="AE213" s="287"/>
      <c r="AF213" s="287"/>
      <c r="AG213" s="287"/>
      <c r="AH213" s="287"/>
      <c r="AI213" s="287"/>
      <c r="AJ213" s="287"/>
      <c r="AK213" s="287"/>
      <c r="AL213" s="287"/>
      <c r="AM213" s="287"/>
      <c r="AN213" s="287"/>
      <c r="AO213" s="287"/>
      <c r="AP213" s="287"/>
      <c r="AQ213" s="287"/>
      <c r="AR213" s="287"/>
      <c r="AS213" s="287"/>
      <c r="AT213" s="287"/>
      <c r="AU213" s="287"/>
      <c r="AV213" s="287"/>
      <c r="AW213" s="287"/>
      <c r="AX213" s="287"/>
      <c r="AY213" s="287"/>
      <c r="AZ213" s="287"/>
      <c r="BA213" s="287"/>
      <c r="BB213" s="287"/>
      <c r="BC213" s="287"/>
    </row>
    <row r="214" ht="15.75" customHeight="1">
      <c r="A214" s="287"/>
      <c r="B214" s="287"/>
      <c r="C214" s="287"/>
      <c r="D214" s="287"/>
      <c r="E214" s="287"/>
      <c r="F214" s="287"/>
      <c r="G214" s="287"/>
      <c r="H214" s="287"/>
      <c r="I214" s="287"/>
      <c r="J214" s="287"/>
      <c r="K214" s="287"/>
      <c r="L214" s="287"/>
      <c r="M214" s="287"/>
      <c r="N214" s="287"/>
      <c r="O214" s="287"/>
      <c r="P214" s="287"/>
      <c r="Q214" s="287"/>
      <c r="R214" s="287"/>
      <c r="S214" s="287"/>
      <c r="T214" s="287"/>
      <c r="U214" s="287"/>
      <c r="V214" s="287"/>
      <c r="W214" s="287"/>
      <c r="X214" s="287"/>
      <c r="Y214" s="287"/>
      <c r="Z214" s="287"/>
      <c r="AA214" s="287"/>
      <c r="AB214" s="287"/>
      <c r="AC214" s="287"/>
      <c r="AD214" s="287"/>
      <c r="AE214" s="287"/>
      <c r="AF214" s="287"/>
      <c r="AG214" s="287"/>
      <c r="AH214" s="287"/>
      <c r="AI214" s="287"/>
      <c r="AJ214" s="287"/>
      <c r="AK214" s="287"/>
      <c r="AL214" s="287"/>
      <c r="AM214" s="287"/>
      <c r="AN214" s="287"/>
      <c r="AO214" s="287"/>
      <c r="AP214" s="287"/>
      <c r="AQ214" s="287"/>
      <c r="AR214" s="287"/>
      <c r="AS214" s="287"/>
      <c r="AT214" s="287"/>
      <c r="AU214" s="287"/>
      <c r="AV214" s="287"/>
      <c r="AW214" s="287"/>
      <c r="AX214" s="287"/>
      <c r="AY214" s="287"/>
      <c r="AZ214" s="287"/>
      <c r="BA214" s="287"/>
      <c r="BB214" s="287"/>
      <c r="BC214" s="287"/>
    </row>
    <row r="215" ht="15.75" customHeight="1">
      <c r="A215" s="287"/>
      <c r="B215" s="287"/>
      <c r="C215" s="287"/>
      <c r="D215" s="287"/>
      <c r="E215" s="287"/>
      <c r="F215" s="287"/>
      <c r="G215" s="287"/>
      <c r="H215" s="287"/>
      <c r="I215" s="287"/>
      <c r="J215" s="287"/>
      <c r="K215" s="287"/>
      <c r="L215" s="287"/>
      <c r="M215" s="287"/>
      <c r="N215" s="287"/>
      <c r="O215" s="287"/>
      <c r="P215" s="287"/>
      <c r="Q215" s="287"/>
      <c r="R215" s="287"/>
      <c r="S215" s="287"/>
      <c r="T215" s="287"/>
      <c r="U215" s="287"/>
      <c r="V215" s="287"/>
      <c r="W215" s="287"/>
      <c r="X215" s="287"/>
      <c r="Y215" s="287"/>
      <c r="Z215" s="287"/>
      <c r="AA215" s="287"/>
      <c r="AB215" s="287"/>
      <c r="AC215" s="287"/>
      <c r="AD215" s="287"/>
      <c r="AE215" s="287"/>
      <c r="AF215" s="287"/>
      <c r="AG215" s="287"/>
      <c r="AH215" s="287"/>
      <c r="AI215" s="287"/>
      <c r="AJ215" s="287"/>
      <c r="AK215" s="287"/>
      <c r="AL215" s="287"/>
      <c r="AM215" s="287"/>
      <c r="AN215" s="287"/>
      <c r="AO215" s="287"/>
      <c r="AP215" s="287"/>
      <c r="AQ215" s="287"/>
      <c r="AR215" s="287"/>
      <c r="AS215" s="287"/>
      <c r="AT215" s="287"/>
      <c r="AU215" s="287"/>
      <c r="AV215" s="287"/>
      <c r="AW215" s="287"/>
      <c r="AX215" s="287"/>
      <c r="AY215" s="287"/>
      <c r="AZ215" s="287"/>
      <c r="BA215" s="287"/>
      <c r="BB215" s="287"/>
      <c r="BC215" s="287"/>
    </row>
    <row r="216" ht="15.75" customHeight="1">
      <c r="A216" s="287"/>
      <c r="B216" s="287"/>
      <c r="C216" s="287"/>
      <c r="D216" s="287"/>
      <c r="E216" s="287"/>
      <c r="F216" s="287"/>
      <c r="G216" s="287"/>
      <c r="H216" s="287"/>
      <c r="I216" s="287"/>
      <c r="J216" s="287"/>
      <c r="K216" s="287"/>
      <c r="L216" s="287"/>
      <c r="M216" s="287"/>
      <c r="N216" s="287"/>
      <c r="O216" s="287"/>
      <c r="P216" s="287"/>
      <c r="Q216" s="287"/>
      <c r="R216" s="287"/>
      <c r="S216" s="287"/>
      <c r="T216" s="287"/>
      <c r="U216" s="287"/>
      <c r="V216" s="287"/>
      <c r="W216" s="287"/>
      <c r="X216" s="287"/>
      <c r="Y216" s="287"/>
      <c r="Z216" s="287"/>
      <c r="AA216" s="287"/>
      <c r="AB216" s="287"/>
      <c r="AC216" s="287"/>
      <c r="AD216" s="287"/>
      <c r="AE216" s="287"/>
      <c r="AF216" s="287"/>
      <c r="AG216" s="287"/>
      <c r="AH216" s="287"/>
      <c r="AI216" s="287"/>
      <c r="AJ216" s="287"/>
      <c r="AK216" s="287"/>
      <c r="AL216" s="287"/>
      <c r="AM216" s="287"/>
      <c r="AN216" s="287"/>
      <c r="AO216" s="287"/>
      <c r="AP216" s="287"/>
      <c r="AQ216" s="287"/>
      <c r="AR216" s="287"/>
      <c r="AS216" s="287"/>
      <c r="AT216" s="287"/>
      <c r="AU216" s="287"/>
      <c r="AV216" s="287"/>
      <c r="AW216" s="287"/>
      <c r="AX216" s="287"/>
      <c r="AY216" s="287"/>
      <c r="AZ216" s="287"/>
      <c r="BA216" s="287"/>
      <c r="BB216" s="287"/>
      <c r="BC216" s="287"/>
    </row>
    <row r="217" ht="15.75" customHeight="1">
      <c r="A217" s="287"/>
      <c r="B217" s="287"/>
      <c r="C217" s="287"/>
      <c r="D217" s="287"/>
      <c r="E217" s="287"/>
      <c r="F217" s="287"/>
      <c r="G217" s="287"/>
      <c r="H217" s="287"/>
      <c r="I217" s="287"/>
      <c r="J217" s="287"/>
      <c r="K217" s="287"/>
      <c r="L217" s="287"/>
      <c r="M217" s="287"/>
      <c r="N217" s="287"/>
      <c r="O217" s="287"/>
      <c r="P217" s="287"/>
      <c r="Q217" s="287"/>
      <c r="R217" s="287"/>
      <c r="S217" s="287"/>
      <c r="T217" s="287"/>
      <c r="U217" s="287"/>
      <c r="V217" s="287"/>
      <c r="W217" s="287"/>
      <c r="X217" s="287"/>
      <c r="Y217" s="287"/>
      <c r="Z217" s="287"/>
      <c r="AA217" s="287"/>
      <c r="AB217" s="287"/>
      <c r="AC217" s="287"/>
      <c r="AD217" s="287"/>
      <c r="AE217" s="287"/>
      <c r="AF217" s="287"/>
      <c r="AG217" s="287"/>
      <c r="AH217" s="287"/>
      <c r="AI217" s="287"/>
      <c r="AJ217" s="287"/>
      <c r="AK217" s="287"/>
      <c r="AL217" s="287"/>
      <c r="AM217" s="287"/>
      <c r="AN217" s="287"/>
      <c r="AO217" s="287"/>
      <c r="AP217" s="287"/>
      <c r="AQ217" s="287"/>
      <c r="AR217" s="287"/>
      <c r="AS217" s="287"/>
      <c r="AT217" s="287"/>
      <c r="AU217" s="287"/>
      <c r="AV217" s="287"/>
      <c r="AW217" s="287"/>
      <c r="AX217" s="287"/>
      <c r="AY217" s="287"/>
      <c r="AZ217" s="287"/>
      <c r="BA217" s="287"/>
      <c r="BB217" s="287"/>
      <c r="BC217" s="287"/>
    </row>
    <row r="218" ht="15.75" customHeight="1">
      <c r="A218" s="287"/>
      <c r="B218" s="287"/>
      <c r="C218" s="287"/>
      <c r="D218" s="287"/>
      <c r="E218" s="287"/>
      <c r="F218" s="287"/>
      <c r="G218" s="287"/>
      <c r="H218" s="287"/>
      <c r="I218" s="287"/>
      <c r="J218" s="287"/>
      <c r="K218" s="287"/>
      <c r="L218" s="287"/>
      <c r="M218" s="287"/>
      <c r="N218" s="287"/>
      <c r="O218" s="287"/>
      <c r="P218" s="287"/>
      <c r="Q218" s="287"/>
      <c r="R218" s="287"/>
      <c r="S218" s="287"/>
      <c r="T218" s="287"/>
      <c r="U218" s="287"/>
      <c r="V218" s="287"/>
      <c r="W218" s="287"/>
      <c r="X218" s="287"/>
      <c r="Y218" s="287"/>
      <c r="Z218" s="287"/>
      <c r="AA218" s="287"/>
      <c r="AB218" s="287"/>
      <c r="AC218" s="287"/>
      <c r="AD218" s="287"/>
      <c r="AE218" s="287"/>
      <c r="AF218" s="287"/>
      <c r="AG218" s="287"/>
      <c r="AH218" s="287"/>
      <c r="AI218" s="287"/>
      <c r="AJ218" s="287"/>
      <c r="AK218" s="287"/>
      <c r="AL218" s="287"/>
      <c r="AM218" s="287"/>
      <c r="AN218" s="287"/>
      <c r="AO218" s="287"/>
      <c r="AP218" s="287"/>
      <c r="AQ218" s="287"/>
      <c r="AR218" s="287"/>
      <c r="AS218" s="287"/>
      <c r="AT218" s="287"/>
      <c r="AU218" s="287"/>
      <c r="AV218" s="287"/>
      <c r="AW218" s="287"/>
      <c r="AX218" s="287"/>
      <c r="AY218" s="287"/>
      <c r="AZ218" s="287"/>
      <c r="BA218" s="287"/>
      <c r="BB218" s="287"/>
      <c r="BC218" s="287"/>
    </row>
    <row r="219" ht="15.75" customHeight="1">
      <c r="A219" s="287"/>
      <c r="B219" s="287"/>
      <c r="C219" s="287"/>
      <c r="D219" s="287"/>
      <c r="E219" s="287"/>
      <c r="F219" s="287"/>
      <c r="G219" s="287"/>
      <c r="H219" s="287"/>
      <c r="I219" s="287"/>
      <c r="J219" s="287"/>
      <c r="K219" s="287"/>
      <c r="L219" s="287"/>
      <c r="M219" s="287"/>
      <c r="N219" s="287"/>
      <c r="O219" s="287"/>
      <c r="P219" s="287"/>
      <c r="Q219" s="287"/>
      <c r="R219" s="287"/>
      <c r="S219" s="287"/>
      <c r="T219" s="287"/>
      <c r="U219" s="287"/>
      <c r="V219" s="287"/>
      <c r="W219" s="287"/>
      <c r="X219" s="287"/>
      <c r="Y219" s="287"/>
      <c r="Z219" s="287"/>
      <c r="AA219" s="287"/>
      <c r="AB219" s="287"/>
      <c r="AC219" s="287"/>
      <c r="AD219" s="287"/>
      <c r="AE219" s="287"/>
      <c r="AF219" s="287"/>
      <c r="AG219" s="287"/>
      <c r="AH219" s="287"/>
      <c r="AI219" s="287"/>
      <c r="AJ219" s="287"/>
      <c r="AK219" s="287"/>
      <c r="AL219" s="287"/>
      <c r="AM219" s="287"/>
      <c r="AN219" s="287"/>
      <c r="AO219" s="287"/>
      <c r="AP219" s="287"/>
      <c r="AQ219" s="287"/>
      <c r="AR219" s="287"/>
      <c r="AS219" s="287"/>
      <c r="AT219" s="287"/>
      <c r="AU219" s="287"/>
      <c r="AV219" s="287"/>
      <c r="AW219" s="287"/>
      <c r="AX219" s="287"/>
      <c r="AY219" s="287"/>
      <c r="AZ219" s="287"/>
      <c r="BA219" s="287"/>
      <c r="BB219" s="287"/>
      <c r="BC219" s="287"/>
    </row>
    <row r="220" ht="15.75" customHeight="1">
      <c r="A220" s="287"/>
      <c r="B220" s="287"/>
      <c r="C220" s="287"/>
      <c r="D220" s="287"/>
      <c r="E220" s="287"/>
      <c r="F220" s="287"/>
      <c r="G220" s="287"/>
      <c r="H220" s="287"/>
      <c r="I220" s="287"/>
      <c r="J220" s="287"/>
      <c r="K220" s="287"/>
      <c r="L220" s="287"/>
      <c r="M220" s="287"/>
      <c r="N220" s="287"/>
      <c r="O220" s="287"/>
      <c r="P220" s="287"/>
      <c r="Q220" s="287"/>
      <c r="R220" s="287"/>
      <c r="S220" s="287"/>
      <c r="T220" s="287"/>
      <c r="U220" s="287"/>
      <c r="V220" s="287"/>
      <c r="W220" s="287"/>
      <c r="X220" s="287"/>
      <c r="Y220" s="287"/>
      <c r="Z220" s="287"/>
      <c r="AA220" s="287"/>
      <c r="AB220" s="287"/>
      <c r="AC220" s="287"/>
      <c r="AD220" s="287"/>
      <c r="AE220" s="287"/>
      <c r="AF220" s="287"/>
      <c r="AG220" s="287"/>
      <c r="AH220" s="287"/>
      <c r="AI220" s="287"/>
      <c r="AJ220" s="287"/>
      <c r="AK220" s="287"/>
      <c r="AL220" s="287"/>
      <c r="AM220" s="287"/>
      <c r="AN220" s="287"/>
      <c r="AO220" s="287"/>
      <c r="AP220" s="287"/>
      <c r="AQ220" s="287"/>
      <c r="AR220" s="287"/>
      <c r="AS220" s="287"/>
      <c r="AT220" s="287"/>
      <c r="AU220" s="287"/>
      <c r="AV220" s="287"/>
      <c r="AW220" s="287"/>
      <c r="AX220" s="287"/>
      <c r="AY220" s="287"/>
      <c r="AZ220" s="287"/>
      <c r="BA220" s="287"/>
      <c r="BB220" s="287"/>
      <c r="BC220" s="287"/>
    </row>
    <row r="221" ht="15.75" customHeight="1">
      <c r="A221" s="287"/>
      <c r="B221" s="287"/>
      <c r="C221" s="287"/>
      <c r="D221" s="287"/>
      <c r="E221" s="287"/>
      <c r="F221" s="287"/>
      <c r="G221" s="287"/>
      <c r="H221" s="287"/>
      <c r="I221" s="287"/>
      <c r="J221" s="287"/>
      <c r="K221" s="287"/>
      <c r="L221" s="287"/>
      <c r="M221" s="287"/>
      <c r="N221" s="287"/>
      <c r="O221" s="287"/>
      <c r="P221" s="287"/>
      <c r="Q221" s="287"/>
      <c r="R221" s="287"/>
      <c r="S221" s="287"/>
      <c r="T221" s="287"/>
      <c r="U221" s="287"/>
      <c r="V221" s="287"/>
      <c r="W221" s="287"/>
      <c r="X221" s="287"/>
      <c r="Y221" s="287"/>
      <c r="Z221" s="287"/>
      <c r="AA221" s="287"/>
      <c r="AB221" s="287"/>
      <c r="AC221" s="287"/>
      <c r="AD221" s="287"/>
      <c r="AE221" s="287"/>
      <c r="AF221" s="287"/>
      <c r="AG221" s="287"/>
      <c r="AH221" s="287"/>
      <c r="AI221" s="287"/>
      <c r="AJ221" s="287"/>
      <c r="AK221" s="287"/>
      <c r="AL221" s="287"/>
      <c r="AM221" s="287"/>
      <c r="AN221" s="287"/>
      <c r="AO221" s="287"/>
      <c r="AP221" s="287"/>
      <c r="AQ221" s="287"/>
      <c r="AR221" s="287"/>
      <c r="AS221" s="287"/>
      <c r="AT221" s="287"/>
      <c r="AU221" s="287"/>
      <c r="AV221" s="287"/>
      <c r="AW221" s="287"/>
      <c r="AX221" s="287"/>
      <c r="AY221" s="287"/>
      <c r="AZ221" s="287"/>
      <c r="BA221" s="287"/>
      <c r="BB221" s="287"/>
      <c r="BC221" s="287"/>
    </row>
    <row r="222" ht="15.75" customHeight="1">
      <c r="A222" s="287"/>
      <c r="B222" s="287"/>
      <c r="C222" s="287"/>
      <c r="D222" s="287"/>
      <c r="E222" s="287"/>
      <c r="F222" s="287"/>
      <c r="G222" s="287"/>
      <c r="H222" s="287"/>
      <c r="I222" s="287"/>
      <c r="J222" s="287"/>
      <c r="K222" s="287"/>
      <c r="L222" s="287"/>
      <c r="M222" s="287"/>
      <c r="N222" s="287"/>
      <c r="O222" s="287"/>
      <c r="P222" s="287"/>
      <c r="Q222" s="287"/>
      <c r="R222" s="287"/>
      <c r="S222" s="287"/>
      <c r="T222" s="287"/>
      <c r="U222" s="287"/>
      <c r="V222" s="287"/>
      <c r="W222" s="287"/>
      <c r="X222" s="287"/>
      <c r="Y222" s="287"/>
      <c r="Z222" s="287"/>
      <c r="AA222" s="287"/>
      <c r="AB222" s="287"/>
      <c r="AC222" s="287"/>
      <c r="AD222" s="287"/>
      <c r="AE222" s="287"/>
      <c r="AF222" s="287"/>
      <c r="AG222" s="287"/>
      <c r="AH222" s="287"/>
      <c r="AI222" s="287"/>
      <c r="AJ222" s="287"/>
      <c r="AK222" s="287"/>
      <c r="AL222" s="287"/>
      <c r="AM222" s="287"/>
      <c r="AN222" s="287"/>
      <c r="AO222" s="287"/>
      <c r="AP222" s="287"/>
      <c r="AQ222" s="287"/>
      <c r="AR222" s="287"/>
      <c r="AS222" s="287"/>
      <c r="AT222" s="287"/>
      <c r="AU222" s="287"/>
      <c r="AV222" s="287"/>
      <c r="AW222" s="287"/>
      <c r="AX222" s="287"/>
      <c r="AY222" s="287"/>
      <c r="AZ222" s="287"/>
      <c r="BA222" s="287"/>
      <c r="BB222" s="287"/>
      <c r="BC222" s="287"/>
    </row>
    <row r="223" ht="15.75" customHeight="1">
      <c r="A223" s="287"/>
      <c r="B223" s="287"/>
      <c r="C223" s="287"/>
      <c r="D223" s="287"/>
      <c r="E223" s="287"/>
      <c r="F223" s="287"/>
      <c r="G223" s="287"/>
      <c r="H223" s="287"/>
      <c r="I223" s="287"/>
      <c r="J223" s="287"/>
      <c r="K223" s="287"/>
      <c r="L223" s="287"/>
      <c r="M223" s="287"/>
      <c r="N223" s="287"/>
      <c r="O223" s="287"/>
      <c r="P223" s="287"/>
      <c r="Q223" s="287"/>
      <c r="R223" s="287"/>
      <c r="S223" s="287"/>
      <c r="T223" s="287"/>
      <c r="U223" s="287"/>
      <c r="V223" s="287"/>
      <c r="W223" s="287"/>
      <c r="X223" s="287"/>
      <c r="Y223" s="287"/>
      <c r="Z223" s="287"/>
      <c r="AA223" s="287"/>
      <c r="AB223" s="287"/>
      <c r="AC223" s="287"/>
      <c r="AD223" s="287"/>
      <c r="AE223" s="287"/>
      <c r="AF223" s="287"/>
      <c r="AG223" s="287"/>
      <c r="AH223" s="287"/>
      <c r="AI223" s="287"/>
      <c r="AJ223" s="287"/>
      <c r="AK223" s="287"/>
      <c r="AL223" s="287"/>
      <c r="AM223" s="287"/>
      <c r="AN223" s="287"/>
      <c r="AO223" s="287"/>
      <c r="AP223" s="287"/>
      <c r="AQ223" s="287"/>
      <c r="AR223" s="287"/>
      <c r="AS223" s="287"/>
      <c r="AT223" s="287"/>
      <c r="AU223" s="287"/>
      <c r="AV223" s="287"/>
      <c r="AW223" s="287"/>
      <c r="AX223" s="287"/>
      <c r="AY223" s="287"/>
      <c r="AZ223" s="287"/>
      <c r="BA223" s="287"/>
      <c r="BB223" s="287"/>
      <c r="BC223" s="287"/>
    </row>
    <row r="224" ht="15.75" customHeight="1">
      <c r="A224" s="287"/>
      <c r="B224" s="287"/>
      <c r="C224" s="287"/>
      <c r="D224" s="287"/>
      <c r="E224" s="287"/>
      <c r="F224" s="287"/>
      <c r="G224" s="287"/>
      <c r="H224" s="287"/>
      <c r="I224" s="287"/>
      <c r="J224" s="287"/>
      <c r="K224" s="287"/>
      <c r="L224" s="287"/>
      <c r="M224" s="287"/>
      <c r="N224" s="287"/>
      <c r="O224" s="287"/>
      <c r="P224" s="287"/>
      <c r="Q224" s="287"/>
      <c r="R224" s="287"/>
      <c r="S224" s="287"/>
      <c r="T224" s="287"/>
      <c r="U224" s="287"/>
      <c r="V224" s="287"/>
      <c r="W224" s="287"/>
      <c r="X224" s="287"/>
      <c r="Y224" s="287"/>
      <c r="Z224" s="287"/>
      <c r="AA224" s="287"/>
      <c r="AB224" s="287"/>
      <c r="AC224" s="287"/>
      <c r="AD224" s="287"/>
      <c r="AE224" s="287"/>
      <c r="AF224" s="287"/>
      <c r="AG224" s="287"/>
      <c r="AH224" s="287"/>
      <c r="AI224" s="287"/>
      <c r="AJ224" s="287"/>
      <c r="AK224" s="287"/>
      <c r="AL224" s="287"/>
      <c r="AM224" s="287"/>
      <c r="AN224" s="287"/>
      <c r="AO224" s="287"/>
      <c r="AP224" s="287"/>
      <c r="AQ224" s="287"/>
      <c r="AR224" s="287"/>
      <c r="AS224" s="287"/>
      <c r="AT224" s="287"/>
      <c r="AU224" s="287"/>
      <c r="AV224" s="287"/>
      <c r="AW224" s="287"/>
      <c r="AX224" s="287"/>
      <c r="AY224" s="287"/>
      <c r="AZ224" s="287"/>
      <c r="BA224" s="287"/>
      <c r="BB224" s="287"/>
      <c r="BC224" s="287"/>
    </row>
    <row r="225" ht="15.75" customHeight="1">
      <c r="A225" s="287"/>
      <c r="B225" s="287"/>
      <c r="C225" s="287"/>
      <c r="D225" s="287"/>
      <c r="E225" s="287"/>
      <c r="F225" s="287"/>
      <c r="G225" s="287"/>
      <c r="H225" s="287"/>
      <c r="I225" s="287"/>
      <c r="J225" s="287"/>
      <c r="K225" s="287"/>
      <c r="L225" s="287"/>
      <c r="M225" s="287"/>
      <c r="N225" s="287"/>
      <c r="O225" s="287"/>
      <c r="P225" s="287"/>
      <c r="Q225" s="287"/>
      <c r="R225" s="287"/>
      <c r="S225" s="287"/>
      <c r="T225" s="287"/>
      <c r="U225" s="287"/>
      <c r="V225" s="287"/>
      <c r="W225" s="287"/>
      <c r="X225" s="287"/>
      <c r="Y225" s="287"/>
      <c r="Z225" s="287"/>
      <c r="AA225" s="287"/>
      <c r="AB225" s="287"/>
      <c r="AC225" s="287"/>
      <c r="AD225" s="287"/>
      <c r="AE225" s="287"/>
      <c r="AF225" s="287"/>
      <c r="AG225" s="287"/>
      <c r="AH225" s="287"/>
      <c r="AI225" s="287"/>
      <c r="AJ225" s="287"/>
      <c r="AK225" s="287"/>
      <c r="AL225" s="287"/>
      <c r="AM225" s="287"/>
      <c r="AN225" s="287"/>
      <c r="AO225" s="287"/>
      <c r="AP225" s="287"/>
      <c r="AQ225" s="287"/>
      <c r="AR225" s="287"/>
      <c r="AS225" s="287"/>
      <c r="AT225" s="287"/>
      <c r="AU225" s="287"/>
      <c r="AV225" s="287"/>
      <c r="AW225" s="287"/>
      <c r="AX225" s="287"/>
      <c r="AY225" s="287"/>
      <c r="AZ225" s="287"/>
      <c r="BA225" s="287"/>
      <c r="BB225" s="287"/>
      <c r="BC225" s="287"/>
    </row>
    <row r="226" ht="15.75" customHeight="1">
      <c r="A226" s="287"/>
      <c r="B226" s="287"/>
      <c r="C226" s="287"/>
      <c r="D226" s="287"/>
      <c r="E226" s="287"/>
      <c r="F226" s="287"/>
      <c r="G226" s="287"/>
      <c r="H226" s="287"/>
      <c r="I226" s="287"/>
      <c r="J226" s="287"/>
      <c r="K226" s="287"/>
      <c r="L226" s="287"/>
      <c r="M226" s="287"/>
      <c r="N226" s="287"/>
      <c r="O226" s="287"/>
      <c r="P226" s="287"/>
      <c r="Q226" s="287"/>
      <c r="R226" s="287"/>
      <c r="S226" s="287"/>
      <c r="T226" s="287"/>
      <c r="U226" s="287"/>
      <c r="V226" s="287"/>
      <c r="W226" s="287"/>
      <c r="X226" s="287"/>
      <c r="Y226" s="287"/>
      <c r="Z226" s="287"/>
      <c r="AA226" s="287"/>
      <c r="AB226" s="287"/>
      <c r="AC226" s="287"/>
      <c r="AD226" s="287"/>
      <c r="AE226" s="287"/>
      <c r="AF226" s="287"/>
      <c r="AG226" s="287"/>
      <c r="AH226" s="287"/>
      <c r="AI226" s="287"/>
      <c r="AJ226" s="287"/>
      <c r="AK226" s="287"/>
      <c r="AL226" s="287"/>
      <c r="AM226" s="287"/>
      <c r="AN226" s="287"/>
      <c r="AO226" s="287"/>
      <c r="AP226" s="287"/>
      <c r="AQ226" s="287"/>
      <c r="AR226" s="287"/>
      <c r="AS226" s="287"/>
      <c r="AT226" s="287"/>
      <c r="AU226" s="287"/>
      <c r="AV226" s="287"/>
      <c r="AW226" s="287"/>
      <c r="AX226" s="287"/>
      <c r="AY226" s="287"/>
      <c r="AZ226" s="287"/>
      <c r="BA226" s="287"/>
      <c r="BB226" s="287"/>
      <c r="BC226" s="287"/>
    </row>
    <row r="227" ht="15.75" customHeight="1">
      <c r="A227" s="287"/>
      <c r="B227" s="287"/>
      <c r="C227" s="287"/>
      <c r="D227" s="287"/>
      <c r="E227" s="287"/>
      <c r="F227" s="287"/>
      <c r="G227" s="287"/>
      <c r="H227" s="287"/>
      <c r="I227" s="287"/>
      <c r="J227" s="287"/>
      <c r="K227" s="287"/>
      <c r="L227" s="287"/>
      <c r="M227" s="287"/>
      <c r="N227" s="287"/>
      <c r="O227" s="287"/>
      <c r="P227" s="287"/>
      <c r="Q227" s="287"/>
      <c r="R227" s="287"/>
      <c r="S227" s="287"/>
      <c r="T227" s="287"/>
      <c r="U227" s="287"/>
      <c r="V227" s="287"/>
      <c r="W227" s="287"/>
      <c r="X227" s="287"/>
      <c r="Y227" s="287"/>
      <c r="Z227" s="287"/>
      <c r="AA227" s="287"/>
      <c r="AB227" s="287"/>
      <c r="AC227" s="287"/>
      <c r="AD227" s="287"/>
      <c r="AE227" s="287"/>
      <c r="AF227" s="287"/>
      <c r="AG227" s="287"/>
      <c r="AH227" s="287"/>
      <c r="AI227" s="287"/>
      <c r="AJ227" s="287"/>
      <c r="AK227" s="287"/>
      <c r="AL227" s="287"/>
      <c r="AM227" s="287"/>
      <c r="AN227" s="287"/>
      <c r="AO227" s="287"/>
      <c r="AP227" s="287"/>
      <c r="AQ227" s="287"/>
      <c r="AR227" s="287"/>
      <c r="AS227" s="287"/>
      <c r="AT227" s="287"/>
      <c r="AU227" s="287"/>
      <c r="AV227" s="287"/>
      <c r="AW227" s="287"/>
      <c r="AX227" s="287"/>
      <c r="AY227" s="287"/>
      <c r="AZ227" s="287"/>
      <c r="BA227" s="287"/>
      <c r="BB227" s="287"/>
      <c r="BC227" s="287"/>
    </row>
    <row r="228" ht="15.75" customHeight="1">
      <c r="A228" s="287"/>
      <c r="B228" s="287"/>
      <c r="C228" s="287"/>
      <c r="D228" s="287"/>
      <c r="E228" s="287"/>
      <c r="F228" s="287"/>
      <c r="G228" s="287"/>
      <c r="H228" s="287"/>
      <c r="I228" s="287"/>
      <c r="J228" s="287"/>
      <c r="K228" s="287"/>
      <c r="L228" s="287"/>
      <c r="M228" s="287"/>
      <c r="N228" s="287"/>
      <c r="O228" s="287"/>
      <c r="P228" s="287"/>
      <c r="Q228" s="287"/>
      <c r="R228" s="287"/>
      <c r="S228" s="287"/>
      <c r="T228" s="287"/>
      <c r="U228" s="287"/>
      <c r="V228" s="287"/>
      <c r="W228" s="287"/>
      <c r="X228" s="287"/>
      <c r="Y228" s="287"/>
      <c r="Z228" s="287"/>
      <c r="AA228" s="287"/>
      <c r="AB228" s="287"/>
      <c r="AC228" s="287"/>
      <c r="AD228" s="287"/>
      <c r="AE228" s="287"/>
      <c r="AF228" s="287"/>
      <c r="AG228" s="287"/>
      <c r="AH228" s="287"/>
      <c r="AI228" s="287"/>
      <c r="AJ228" s="287"/>
      <c r="AK228" s="287"/>
      <c r="AL228" s="287"/>
      <c r="AM228" s="287"/>
      <c r="AN228" s="287"/>
      <c r="AO228" s="287"/>
      <c r="AP228" s="287"/>
      <c r="AQ228" s="287"/>
      <c r="AR228" s="287"/>
      <c r="AS228" s="287"/>
      <c r="AT228" s="287"/>
      <c r="AU228" s="287"/>
      <c r="AV228" s="287"/>
      <c r="AW228" s="287"/>
      <c r="AX228" s="287"/>
      <c r="AY228" s="287"/>
      <c r="AZ228" s="287"/>
      <c r="BA228" s="287"/>
      <c r="BB228" s="287"/>
      <c r="BC228" s="287"/>
    </row>
    <row r="229" ht="15.75" customHeight="1">
      <c r="A229" s="287"/>
      <c r="B229" s="287"/>
      <c r="C229" s="287"/>
      <c r="D229" s="287"/>
      <c r="E229" s="287"/>
      <c r="F229" s="287"/>
      <c r="G229" s="287"/>
      <c r="H229" s="287"/>
      <c r="I229" s="287"/>
      <c r="J229" s="287"/>
      <c r="K229" s="287"/>
      <c r="L229" s="287"/>
      <c r="M229" s="287"/>
      <c r="N229" s="287"/>
      <c r="O229" s="287"/>
      <c r="P229" s="287"/>
      <c r="Q229" s="287"/>
      <c r="R229" s="287"/>
      <c r="S229" s="287"/>
      <c r="T229" s="287"/>
      <c r="U229" s="287"/>
      <c r="V229" s="287"/>
      <c r="W229" s="287"/>
      <c r="X229" s="287"/>
      <c r="Y229" s="287"/>
      <c r="Z229" s="287"/>
      <c r="AA229" s="287"/>
      <c r="AB229" s="287"/>
      <c r="AC229" s="287"/>
      <c r="AD229" s="287"/>
      <c r="AE229" s="287"/>
      <c r="AF229" s="287"/>
      <c r="AG229" s="287"/>
      <c r="AH229" s="287"/>
      <c r="AI229" s="287"/>
      <c r="AJ229" s="287"/>
      <c r="AK229" s="287"/>
      <c r="AL229" s="287"/>
      <c r="AM229" s="287"/>
      <c r="AN229" s="287"/>
      <c r="AO229" s="287"/>
      <c r="AP229" s="287"/>
      <c r="AQ229" s="287"/>
      <c r="AR229" s="287"/>
      <c r="AS229" s="287"/>
      <c r="AT229" s="287"/>
      <c r="AU229" s="287"/>
      <c r="AV229" s="287"/>
      <c r="AW229" s="287"/>
      <c r="AX229" s="287"/>
      <c r="AY229" s="287"/>
      <c r="AZ229" s="287"/>
      <c r="BA229" s="287"/>
      <c r="BB229" s="287"/>
      <c r="BC229" s="287"/>
    </row>
    <row r="230" ht="15.75" customHeight="1">
      <c r="A230" s="287"/>
      <c r="B230" s="287"/>
      <c r="C230" s="287"/>
      <c r="D230" s="287"/>
      <c r="E230" s="287"/>
      <c r="F230" s="287"/>
      <c r="G230" s="287"/>
      <c r="H230" s="287"/>
      <c r="I230" s="287"/>
      <c r="J230" s="287"/>
      <c r="K230" s="287"/>
      <c r="L230" s="287"/>
      <c r="M230" s="287"/>
      <c r="N230" s="287"/>
      <c r="O230" s="287"/>
      <c r="P230" s="287"/>
      <c r="Q230" s="287"/>
      <c r="R230" s="287"/>
      <c r="S230" s="287"/>
      <c r="T230" s="287"/>
      <c r="U230" s="287"/>
      <c r="V230" s="287"/>
      <c r="W230" s="287"/>
      <c r="X230" s="287"/>
      <c r="Y230" s="287"/>
      <c r="Z230" s="287"/>
      <c r="AA230" s="287"/>
      <c r="AB230" s="287"/>
      <c r="AC230" s="287"/>
      <c r="AD230" s="287"/>
      <c r="AE230" s="287"/>
      <c r="AF230" s="287"/>
      <c r="AG230" s="287"/>
      <c r="AH230" s="287"/>
      <c r="AI230" s="287"/>
      <c r="AJ230" s="287"/>
      <c r="AK230" s="287"/>
      <c r="AL230" s="287"/>
      <c r="AM230" s="287"/>
      <c r="AN230" s="287"/>
      <c r="AO230" s="287"/>
      <c r="AP230" s="287"/>
      <c r="AQ230" s="287"/>
      <c r="AR230" s="287"/>
      <c r="AS230" s="287"/>
      <c r="AT230" s="287"/>
      <c r="AU230" s="287"/>
      <c r="AV230" s="287"/>
      <c r="AW230" s="287"/>
      <c r="AX230" s="287"/>
      <c r="AY230" s="287"/>
      <c r="AZ230" s="287"/>
      <c r="BA230" s="287"/>
      <c r="BB230" s="287"/>
      <c r="BC230" s="287"/>
    </row>
    <row r="231" ht="15.75" customHeight="1">
      <c r="A231" s="287"/>
      <c r="B231" s="287"/>
      <c r="C231" s="287"/>
      <c r="D231" s="287"/>
      <c r="E231" s="287"/>
      <c r="F231" s="287"/>
      <c r="G231" s="287"/>
      <c r="H231" s="287"/>
      <c r="I231" s="287"/>
      <c r="J231" s="287"/>
      <c r="K231" s="287"/>
      <c r="L231" s="287"/>
      <c r="M231" s="287"/>
      <c r="N231" s="287"/>
      <c r="O231" s="287"/>
      <c r="P231" s="287"/>
      <c r="Q231" s="287"/>
      <c r="R231" s="287"/>
      <c r="S231" s="287"/>
      <c r="T231" s="287"/>
      <c r="U231" s="287"/>
      <c r="V231" s="287"/>
      <c r="W231" s="287"/>
      <c r="X231" s="287"/>
      <c r="Y231" s="287"/>
      <c r="Z231" s="287"/>
      <c r="AA231" s="287"/>
      <c r="AB231" s="287"/>
      <c r="AC231" s="287"/>
      <c r="AD231" s="287"/>
      <c r="AE231" s="287"/>
      <c r="AF231" s="287"/>
      <c r="AG231" s="287"/>
      <c r="AH231" s="287"/>
      <c r="AI231" s="287"/>
      <c r="AJ231" s="287"/>
      <c r="AK231" s="287"/>
      <c r="AL231" s="287"/>
      <c r="AM231" s="287"/>
      <c r="AN231" s="287"/>
      <c r="AO231" s="287"/>
      <c r="AP231" s="287"/>
      <c r="AQ231" s="287"/>
      <c r="AR231" s="287"/>
      <c r="AS231" s="287"/>
      <c r="AT231" s="287"/>
      <c r="AU231" s="287"/>
      <c r="AV231" s="287"/>
      <c r="AW231" s="287"/>
      <c r="AX231" s="287"/>
      <c r="AY231" s="287"/>
      <c r="AZ231" s="287"/>
      <c r="BA231" s="287"/>
      <c r="BB231" s="287"/>
      <c r="BC231" s="287"/>
    </row>
    <row r="232" ht="15.75" customHeight="1">
      <c r="A232" s="287"/>
      <c r="B232" s="287"/>
      <c r="C232" s="287"/>
      <c r="D232" s="287"/>
      <c r="E232" s="287"/>
      <c r="F232" s="287"/>
      <c r="G232" s="287"/>
      <c r="H232" s="287"/>
      <c r="I232" s="287"/>
      <c r="J232" s="287"/>
      <c r="K232" s="287"/>
      <c r="L232" s="287"/>
      <c r="M232" s="287"/>
      <c r="N232" s="287"/>
      <c r="O232" s="287"/>
      <c r="P232" s="287"/>
      <c r="Q232" s="287"/>
      <c r="R232" s="287"/>
      <c r="S232" s="287"/>
      <c r="T232" s="287"/>
      <c r="U232" s="287"/>
      <c r="V232" s="287"/>
      <c r="W232" s="287"/>
      <c r="X232" s="287"/>
      <c r="Y232" s="287"/>
      <c r="Z232" s="287"/>
      <c r="AA232" s="287"/>
      <c r="AB232" s="287"/>
      <c r="AC232" s="287"/>
      <c r="AD232" s="287"/>
      <c r="AE232" s="287"/>
      <c r="AF232" s="287"/>
      <c r="AG232" s="287"/>
      <c r="AH232" s="287"/>
      <c r="AI232" s="287"/>
      <c r="AJ232" s="287"/>
      <c r="AK232" s="287"/>
      <c r="AL232" s="287"/>
      <c r="AM232" s="287"/>
      <c r="AN232" s="287"/>
      <c r="AO232" s="287"/>
      <c r="AP232" s="287"/>
      <c r="AQ232" s="287"/>
      <c r="AR232" s="287"/>
      <c r="AS232" s="287"/>
      <c r="AT232" s="287"/>
      <c r="AU232" s="287"/>
      <c r="AV232" s="287"/>
      <c r="AW232" s="287"/>
      <c r="AX232" s="287"/>
      <c r="AY232" s="287"/>
      <c r="AZ232" s="287"/>
      <c r="BA232" s="287"/>
      <c r="BB232" s="287"/>
      <c r="BC232" s="287"/>
    </row>
    <row r="233" ht="15.75" customHeight="1">
      <c r="A233" s="287"/>
      <c r="B233" s="287"/>
      <c r="C233" s="287"/>
      <c r="D233" s="287"/>
      <c r="E233" s="287"/>
      <c r="F233" s="287"/>
      <c r="G233" s="287"/>
      <c r="H233" s="287"/>
      <c r="I233" s="287"/>
      <c r="J233" s="287"/>
      <c r="K233" s="287"/>
      <c r="L233" s="287"/>
      <c r="M233" s="287"/>
      <c r="N233" s="287"/>
      <c r="O233" s="287"/>
      <c r="P233" s="287"/>
      <c r="Q233" s="287"/>
      <c r="R233" s="287"/>
      <c r="S233" s="287"/>
      <c r="T233" s="287"/>
      <c r="U233" s="287"/>
      <c r="V233" s="287"/>
      <c r="W233" s="287"/>
      <c r="X233" s="287"/>
      <c r="Y233" s="287"/>
      <c r="Z233" s="287"/>
      <c r="AA233" s="287"/>
      <c r="AB233" s="287"/>
      <c r="AC233" s="287"/>
      <c r="AD233" s="287"/>
      <c r="AE233" s="287"/>
      <c r="AF233" s="287"/>
      <c r="AG233" s="287"/>
      <c r="AH233" s="287"/>
      <c r="AI233" s="287"/>
      <c r="AJ233" s="287"/>
      <c r="AK233" s="287"/>
      <c r="AL233" s="287"/>
      <c r="AM233" s="287"/>
      <c r="AN233" s="287"/>
      <c r="AO233" s="287"/>
      <c r="AP233" s="287"/>
      <c r="AQ233" s="287"/>
      <c r="AR233" s="287"/>
      <c r="AS233" s="287"/>
      <c r="AT233" s="287"/>
      <c r="AU233" s="287"/>
      <c r="AV233" s="287"/>
      <c r="AW233" s="287"/>
      <c r="AX233" s="287"/>
      <c r="AY233" s="287"/>
      <c r="AZ233" s="287"/>
      <c r="BA233" s="287"/>
      <c r="BB233" s="287"/>
      <c r="BC233" s="287"/>
    </row>
    <row r="234" ht="15.75" customHeight="1">
      <c r="A234" s="287"/>
      <c r="B234" s="287"/>
      <c r="C234" s="287"/>
      <c r="D234" s="287"/>
      <c r="E234" s="287"/>
      <c r="F234" s="287"/>
      <c r="G234" s="287"/>
      <c r="H234" s="287"/>
      <c r="I234" s="287"/>
      <c r="J234" s="287"/>
      <c r="K234" s="287"/>
      <c r="L234" s="287"/>
      <c r="M234" s="287"/>
      <c r="N234" s="287"/>
      <c r="O234" s="287"/>
      <c r="P234" s="287"/>
      <c r="Q234" s="287"/>
      <c r="R234" s="287"/>
      <c r="S234" s="287"/>
      <c r="T234" s="287"/>
      <c r="U234" s="287"/>
      <c r="V234" s="287"/>
      <c r="W234" s="287"/>
      <c r="X234" s="287"/>
      <c r="Y234" s="287"/>
      <c r="Z234" s="287"/>
      <c r="AA234" s="287"/>
      <c r="AB234" s="287"/>
      <c r="AC234" s="287"/>
      <c r="AD234" s="287"/>
      <c r="AE234" s="287"/>
      <c r="AF234" s="287"/>
      <c r="AG234" s="287"/>
      <c r="AH234" s="287"/>
      <c r="AI234" s="287"/>
      <c r="AJ234" s="287"/>
      <c r="AK234" s="287"/>
      <c r="AL234" s="287"/>
      <c r="AM234" s="287"/>
      <c r="AN234" s="287"/>
      <c r="AO234" s="287"/>
      <c r="AP234" s="287"/>
      <c r="AQ234" s="287"/>
      <c r="AR234" s="287"/>
      <c r="AS234" s="287"/>
      <c r="AT234" s="287"/>
      <c r="AU234" s="287"/>
      <c r="AV234" s="287"/>
      <c r="AW234" s="287"/>
      <c r="AX234" s="287"/>
      <c r="AY234" s="287"/>
      <c r="AZ234" s="287"/>
      <c r="BA234" s="287"/>
      <c r="BB234" s="287"/>
      <c r="BC234" s="287"/>
    </row>
    <row r="235" ht="15.75" customHeight="1">
      <c r="A235" s="287"/>
      <c r="B235" s="287"/>
      <c r="C235" s="287"/>
      <c r="D235" s="287"/>
      <c r="E235" s="287"/>
      <c r="F235" s="287"/>
      <c r="G235" s="287"/>
      <c r="H235" s="287"/>
      <c r="I235" s="287"/>
      <c r="J235" s="287"/>
      <c r="K235" s="287"/>
      <c r="L235" s="287"/>
      <c r="M235" s="287"/>
      <c r="N235" s="287"/>
      <c r="O235" s="287"/>
      <c r="P235" s="287"/>
      <c r="Q235" s="287"/>
      <c r="R235" s="287"/>
      <c r="S235" s="287"/>
      <c r="T235" s="287"/>
      <c r="U235" s="287"/>
      <c r="V235" s="287"/>
      <c r="W235" s="287"/>
      <c r="X235" s="287"/>
      <c r="Y235" s="287"/>
      <c r="Z235" s="287"/>
      <c r="AA235" s="287"/>
      <c r="AB235" s="287"/>
      <c r="AC235" s="287"/>
      <c r="AD235" s="287"/>
      <c r="AE235" s="287"/>
      <c r="AF235" s="287"/>
      <c r="AG235" s="287"/>
      <c r="AH235" s="287"/>
      <c r="AI235" s="287"/>
      <c r="AJ235" s="287"/>
      <c r="AK235" s="287"/>
      <c r="AL235" s="287"/>
      <c r="AM235" s="287"/>
      <c r="AN235" s="287"/>
      <c r="AO235" s="287"/>
      <c r="AP235" s="287"/>
      <c r="AQ235" s="287"/>
      <c r="AR235" s="287"/>
      <c r="AS235" s="287"/>
      <c r="AT235" s="287"/>
      <c r="AU235" s="287"/>
      <c r="AV235" s="287"/>
      <c r="AW235" s="287"/>
      <c r="AX235" s="287"/>
      <c r="AY235" s="287"/>
      <c r="AZ235" s="287"/>
      <c r="BA235" s="287"/>
      <c r="BB235" s="287"/>
      <c r="BC235" s="287"/>
    </row>
    <row r="236" ht="15.75" customHeight="1">
      <c r="A236" s="287"/>
      <c r="B236" s="287"/>
      <c r="C236" s="287"/>
      <c r="D236" s="287"/>
      <c r="E236" s="287"/>
      <c r="F236" s="287"/>
      <c r="G236" s="287"/>
      <c r="H236" s="287"/>
      <c r="I236" s="287"/>
      <c r="J236" s="287"/>
      <c r="K236" s="287"/>
      <c r="L236" s="287"/>
      <c r="M236" s="287"/>
      <c r="N236" s="287"/>
      <c r="O236" s="287"/>
      <c r="P236" s="287"/>
      <c r="Q236" s="287"/>
      <c r="R236" s="287"/>
      <c r="S236" s="287"/>
      <c r="T236" s="287"/>
      <c r="U236" s="287"/>
      <c r="V236" s="287"/>
      <c r="W236" s="287"/>
      <c r="X236" s="287"/>
      <c r="Y236" s="287"/>
      <c r="Z236" s="287"/>
      <c r="AA236" s="287"/>
      <c r="AB236" s="287"/>
      <c r="AC236" s="287"/>
      <c r="AD236" s="287"/>
      <c r="AE236" s="287"/>
      <c r="AF236" s="287"/>
      <c r="AG236" s="287"/>
      <c r="AH236" s="287"/>
      <c r="AI236" s="287"/>
      <c r="AJ236" s="287"/>
      <c r="AK236" s="287"/>
      <c r="AL236" s="287"/>
      <c r="AM236" s="287"/>
      <c r="AN236" s="287"/>
      <c r="AO236" s="287"/>
      <c r="AP236" s="287"/>
      <c r="AQ236" s="287"/>
      <c r="AR236" s="287"/>
      <c r="AS236" s="287"/>
      <c r="AT236" s="287"/>
      <c r="AU236" s="287"/>
      <c r="AV236" s="287"/>
      <c r="AW236" s="287"/>
      <c r="AX236" s="287"/>
      <c r="AY236" s="287"/>
      <c r="AZ236" s="287"/>
      <c r="BA236" s="287"/>
      <c r="BB236" s="287"/>
      <c r="BC236" s="287"/>
    </row>
    <row r="237" ht="15.75" customHeight="1">
      <c r="A237" s="287"/>
      <c r="B237" s="287"/>
      <c r="C237" s="287"/>
      <c r="D237" s="287"/>
      <c r="E237" s="287"/>
      <c r="F237" s="287"/>
      <c r="G237" s="287"/>
      <c r="H237" s="287"/>
      <c r="I237" s="287"/>
      <c r="J237" s="287"/>
      <c r="K237" s="287"/>
      <c r="L237" s="287"/>
      <c r="M237" s="287"/>
      <c r="N237" s="287"/>
      <c r="O237" s="287"/>
      <c r="P237" s="287"/>
      <c r="Q237" s="287"/>
      <c r="R237" s="287"/>
      <c r="S237" s="287"/>
      <c r="T237" s="287"/>
      <c r="U237" s="287"/>
      <c r="V237" s="287"/>
      <c r="W237" s="287"/>
      <c r="X237" s="287"/>
      <c r="Y237" s="287"/>
      <c r="Z237" s="287"/>
      <c r="AA237" s="287"/>
      <c r="AB237" s="287"/>
      <c r="AC237" s="287"/>
      <c r="AD237" s="287"/>
      <c r="AE237" s="287"/>
      <c r="AF237" s="287"/>
      <c r="AG237" s="287"/>
      <c r="AH237" s="287"/>
      <c r="AI237" s="287"/>
      <c r="AJ237" s="287"/>
      <c r="AK237" s="287"/>
      <c r="AL237" s="287"/>
      <c r="AM237" s="287"/>
      <c r="AN237" s="287"/>
      <c r="AO237" s="287"/>
      <c r="AP237" s="287"/>
      <c r="AQ237" s="287"/>
      <c r="AR237" s="287"/>
      <c r="AS237" s="287"/>
      <c r="AT237" s="287"/>
      <c r="AU237" s="287"/>
      <c r="AV237" s="287"/>
      <c r="AW237" s="287"/>
      <c r="AX237" s="287"/>
      <c r="AY237" s="287"/>
      <c r="AZ237" s="287"/>
      <c r="BA237" s="287"/>
      <c r="BB237" s="287"/>
      <c r="BC237" s="287"/>
    </row>
    <row r="238" ht="15.75" customHeight="1">
      <c r="A238" s="287"/>
      <c r="B238" s="287"/>
      <c r="C238" s="287"/>
      <c r="D238" s="287"/>
      <c r="E238" s="287"/>
      <c r="F238" s="287"/>
      <c r="G238" s="287"/>
      <c r="H238" s="287"/>
      <c r="I238" s="287"/>
      <c r="J238" s="287"/>
      <c r="K238" s="287"/>
      <c r="L238" s="287"/>
      <c r="M238" s="287"/>
      <c r="N238" s="287"/>
      <c r="O238" s="287"/>
      <c r="P238" s="287"/>
      <c r="Q238" s="287"/>
      <c r="R238" s="287"/>
      <c r="S238" s="287"/>
      <c r="T238" s="287"/>
      <c r="U238" s="287"/>
      <c r="V238" s="287"/>
      <c r="W238" s="287"/>
      <c r="X238" s="287"/>
      <c r="Y238" s="287"/>
      <c r="Z238" s="287"/>
      <c r="AA238" s="287"/>
      <c r="AB238" s="287"/>
      <c r="AC238" s="287"/>
      <c r="AD238" s="287"/>
      <c r="AE238" s="287"/>
      <c r="AF238" s="287"/>
      <c r="AG238" s="287"/>
      <c r="AH238" s="287"/>
      <c r="AI238" s="287"/>
      <c r="AJ238" s="287"/>
      <c r="AK238" s="287"/>
      <c r="AL238" s="287"/>
      <c r="AM238" s="287"/>
      <c r="AN238" s="287"/>
      <c r="AO238" s="287"/>
      <c r="AP238" s="287"/>
      <c r="AQ238" s="287"/>
      <c r="AR238" s="287"/>
      <c r="AS238" s="287"/>
      <c r="AT238" s="287"/>
      <c r="AU238" s="287"/>
      <c r="AV238" s="287"/>
      <c r="AW238" s="287"/>
      <c r="AX238" s="287"/>
      <c r="AY238" s="287"/>
      <c r="AZ238" s="287"/>
      <c r="BA238" s="287"/>
      <c r="BB238" s="287"/>
      <c r="BC238" s="287"/>
    </row>
    <row r="239" ht="15.75" customHeight="1">
      <c r="A239" s="287"/>
      <c r="B239" s="287"/>
      <c r="C239" s="287"/>
      <c r="D239" s="287"/>
      <c r="E239" s="287"/>
      <c r="F239" s="287"/>
      <c r="G239" s="287"/>
      <c r="H239" s="287"/>
      <c r="I239" s="287"/>
      <c r="J239" s="287"/>
      <c r="K239" s="287"/>
      <c r="L239" s="287"/>
      <c r="M239" s="287"/>
      <c r="N239" s="287"/>
      <c r="O239" s="287"/>
      <c r="P239" s="287"/>
      <c r="Q239" s="287"/>
      <c r="R239" s="287"/>
      <c r="S239" s="287"/>
      <c r="T239" s="287"/>
      <c r="U239" s="287"/>
      <c r="V239" s="287"/>
      <c r="W239" s="287"/>
      <c r="X239" s="287"/>
      <c r="Y239" s="287"/>
      <c r="Z239" s="287"/>
      <c r="AA239" s="287"/>
      <c r="AB239" s="287"/>
      <c r="AC239" s="287"/>
      <c r="AD239" s="287"/>
      <c r="AE239" s="287"/>
      <c r="AF239" s="287"/>
      <c r="AG239" s="287"/>
      <c r="AH239" s="287"/>
      <c r="AI239" s="287"/>
      <c r="AJ239" s="287"/>
      <c r="AK239" s="287"/>
      <c r="AL239" s="287"/>
      <c r="AM239" s="287"/>
      <c r="AN239" s="287"/>
      <c r="AO239" s="287"/>
      <c r="AP239" s="287"/>
      <c r="AQ239" s="287"/>
      <c r="AR239" s="287"/>
      <c r="AS239" s="287"/>
      <c r="AT239" s="287"/>
      <c r="AU239" s="287"/>
      <c r="AV239" s="287"/>
      <c r="AW239" s="287"/>
      <c r="AX239" s="287"/>
      <c r="AY239" s="287"/>
      <c r="AZ239" s="287"/>
      <c r="BA239" s="287"/>
      <c r="BB239" s="287"/>
      <c r="BC239" s="287"/>
    </row>
    <row r="240" ht="15.75" customHeight="1">
      <c r="A240" s="287"/>
      <c r="B240" s="287"/>
      <c r="C240" s="287"/>
      <c r="D240" s="287"/>
      <c r="E240" s="287"/>
      <c r="F240" s="287"/>
      <c r="G240" s="287"/>
      <c r="H240" s="287"/>
      <c r="I240" s="287"/>
      <c r="J240" s="287"/>
      <c r="K240" s="287"/>
      <c r="L240" s="287"/>
      <c r="M240" s="287"/>
      <c r="N240" s="287"/>
      <c r="O240" s="287"/>
      <c r="P240" s="287"/>
      <c r="Q240" s="287"/>
      <c r="R240" s="287"/>
      <c r="S240" s="287"/>
      <c r="T240" s="287"/>
      <c r="U240" s="287"/>
      <c r="V240" s="287"/>
      <c r="W240" s="287"/>
      <c r="X240" s="287"/>
      <c r="Y240" s="287"/>
      <c r="Z240" s="287"/>
      <c r="AA240" s="287"/>
      <c r="AB240" s="287"/>
      <c r="AC240" s="287"/>
      <c r="AD240" s="287"/>
      <c r="AE240" s="287"/>
      <c r="AF240" s="287"/>
      <c r="AG240" s="287"/>
      <c r="AH240" s="287"/>
      <c r="AI240" s="287"/>
      <c r="AJ240" s="287"/>
      <c r="AK240" s="287"/>
      <c r="AL240" s="287"/>
      <c r="AM240" s="287"/>
      <c r="AN240" s="287"/>
      <c r="AO240" s="287"/>
      <c r="AP240" s="287"/>
      <c r="AQ240" s="287"/>
      <c r="AR240" s="287"/>
      <c r="AS240" s="287"/>
      <c r="AT240" s="287"/>
      <c r="AU240" s="287"/>
      <c r="AV240" s="287"/>
      <c r="AW240" s="287"/>
      <c r="AX240" s="287"/>
      <c r="AY240" s="287"/>
      <c r="AZ240" s="287"/>
      <c r="BA240" s="287"/>
      <c r="BB240" s="287"/>
      <c r="BC240" s="287"/>
    </row>
    <row r="241" ht="15.75" customHeight="1">
      <c r="A241" s="287"/>
      <c r="B241" s="287"/>
      <c r="C241" s="287"/>
      <c r="D241" s="287"/>
      <c r="E241" s="287"/>
      <c r="F241" s="287"/>
      <c r="G241" s="287"/>
      <c r="H241" s="287"/>
      <c r="I241" s="287"/>
      <c r="J241" s="287"/>
      <c r="K241" s="287"/>
      <c r="L241" s="287"/>
      <c r="M241" s="287"/>
      <c r="N241" s="287"/>
      <c r="O241" s="287"/>
      <c r="P241" s="287"/>
      <c r="Q241" s="287"/>
      <c r="R241" s="287"/>
      <c r="S241" s="287"/>
      <c r="T241" s="287"/>
      <c r="U241" s="287"/>
      <c r="V241" s="287"/>
      <c r="W241" s="287"/>
      <c r="X241" s="287"/>
      <c r="Y241" s="287"/>
      <c r="Z241" s="287"/>
      <c r="AA241" s="287"/>
      <c r="AB241" s="287"/>
      <c r="AC241" s="287"/>
      <c r="AD241" s="287"/>
      <c r="AE241" s="287"/>
      <c r="AF241" s="287"/>
      <c r="AG241" s="287"/>
      <c r="AH241" s="287"/>
      <c r="AI241" s="287"/>
      <c r="AJ241" s="287"/>
      <c r="AK241" s="287"/>
      <c r="AL241" s="287"/>
      <c r="AM241" s="287"/>
      <c r="AN241" s="287"/>
      <c r="AO241" s="287"/>
      <c r="AP241" s="287"/>
      <c r="AQ241" s="287"/>
      <c r="AR241" s="287"/>
      <c r="AS241" s="287"/>
      <c r="AT241" s="287"/>
      <c r="AU241" s="287"/>
      <c r="AV241" s="287"/>
      <c r="AW241" s="287"/>
      <c r="AX241" s="287"/>
      <c r="AY241" s="287"/>
      <c r="AZ241" s="287"/>
      <c r="BA241" s="287"/>
      <c r="BB241" s="287"/>
      <c r="BC241" s="287"/>
    </row>
    <row r="242" ht="15.75" customHeight="1">
      <c r="A242" s="287"/>
      <c r="B242" s="287"/>
      <c r="C242" s="287"/>
      <c r="D242" s="287"/>
      <c r="E242" s="287"/>
      <c r="F242" s="287"/>
      <c r="G242" s="287"/>
      <c r="H242" s="287"/>
      <c r="I242" s="287"/>
      <c r="J242" s="287"/>
      <c r="K242" s="287"/>
      <c r="L242" s="287"/>
      <c r="M242" s="287"/>
      <c r="N242" s="287"/>
      <c r="O242" s="287"/>
      <c r="P242" s="287"/>
      <c r="Q242" s="287"/>
      <c r="R242" s="287"/>
      <c r="S242" s="287"/>
      <c r="T242" s="287"/>
      <c r="U242" s="287"/>
      <c r="V242" s="287"/>
      <c r="W242" s="287"/>
      <c r="X242" s="287"/>
      <c r="Y242" s="287"/>
      <c r="Z242" s="287"/>
      <c r="AA242" s="287"/>
      <c r="AB242" s="287"/>
      <c r="AC242" s="287"/>
      <c r="AD242" s="287"/>
      <c r="AE242" s="287"/>
      <c r="AF242" s="287"/>
      <c r="AG242" s="287"/>
      <c r="AH242" s="287"/>
      <c r="AI242" s="287"/>
      <c r="AJ242" s="287"/>
      <c r="AK242" s="287"/>
      <c r="AL242" s="287"/>
      <c r="AM242" s="287"/>
      <c r="AN242" s="287"/>
      <c r="AO242" s="287"/>
      <c r="AP242" s="287"/>
      <c r="AQ242" s="287"/>
      <c r="AR242" s="287"/>
      <c r="AS242" s="287"/>
      <c r="AT242" s="287"/>
      <c r="AU242" s="287"/>
      <c r="AV242" s="287"/>
      <c r="AW242" s="287"/>
      <c r="AX242" s="287"/>
      <c r="AY242" s="287"/>
      <c r="AZ242" s="287"/>
      <c r="BA242" s="287"/>
      <c r="BB242" s="287"/>
      <c r="BC242" s="287"/>
    </row>
    <row r="243" ht="15.75" customHeight="1">
      <c r="A243" s="287"/>
      <c r="B243" s="287"/>
      <c r="C243" s="287"/>
      <c r="D243" s="287"/>
      <c r="E243" s="287"/>
      <c r="F243" s="287"/>
      <c r="G243" s="287"/>
      <c r="H243" s="287"/>
      <c r="I243" s="287"/>
      <c r="J243" s="287"/>
      <c r="K243" s="287"/>
      <c r="L243" s="287"/>
      <c r="M243" s="287"/>
      <c r="N243" s="287"/>
      <c r="O243" s="287"/>
      <c r="P243" s="287"/>
      <c r="Q243" s="287"/>
      <c r="R243" s="287"/>
      <c r="S243" s="287"/>
      <c r="T243" s="287"/>
      <c r="U243" s="287"/>
      <c r="V243" s="287"/>
      <c r="W243" s="287"/>
      <c r="X243" s="287"/>
      <c r="Y243" s="287"/>
      <c r="Z243" s="287"/>
      <c r="AA243" s="287"/>
      <c r="AB243" s="287"/>
      <c r="AC243" s="287"/>
      <c r="AD243" s="287"/>
      <c r="AE243" s="287"/>
      <c r="AF243" s="287"/>
      <c r="AG243" s="287"/>
      <c r="AH243" s="287"/>
      <c r="AI243" s="287"/>
      <c r="AJ243" s="287"/>
      <c r="AK243" s="287"/>
      <c r="AL243" s="287"/>
      <c r="AM243" s="287"/>
      <c r="AN243" s="287"/>
      <c r="AO243" s="287"/>
      <c r="AP243" s="287"/>
      <c r="AQ243" s="287"/>
      <c r="AR243" s="287"/>
      <c r="AS243" s="287"/>
      <c r="AT243" s="287"/>
      <c r="AU243" s="287"/>
      <c r="AV243" s="287"/>
      <c r="AW243" s="287"/>
      <c r="AX243" s="287"/>
      <c r="AY243" s="287"/>
      <c r="AZ243" s="287"/>
      <c r="BA243" s="287"/>
      <c r="BB243" s="287"/>
      <c r="BC243" s="287"/>
    </row>
    <row r="244" ht="15.75" customHeight="1">
      <c r="A244" s="287"/>
      <c r="B244" s="287"/>
      <c r="C244" s="287"/>
      <c r="D244" s="287"/>
      <c r="E244" s="287"/>
      <c r="F244" s="287"/>
      <c r="G244" s="287"/>
      <c r="H244" s="287"/>
      <c r="I244" s="287"/>
      <c r="J244" s="287"/>
      <c r="K244" s="287"/>
      <c r="L244" s="287"/>
      <c r="M244" s="287"/>
      <c r="N244" s="287"/>
      <c r="O244" s="287"/>
      <c r="P244" s="287"/>
      <c r="Q244" s="287"/>
      <c r="R244" s="287"/>
      <c r="S244" s="287"/>
      <c r="T244" s="287"/>
      <c r="U244" s="287"/>
      <c r="V244" s="287"/>
      <c r="W244" s="287"/>
      <c r="X244" s="287"/>
      <c r="Y244" s="287"/>
      <c r="Z244" s="287"/>
      <c r="AA244" s="287"/>
      <c r="AB244" s="287"/>
      <c r="AC244" s="287"/>
      <c r="AD244" s="287"/>
      <c r="AE244" s="287"/>
      <c r="AF244" s="287"/>
      <c r="AG244" s="287"/>
      <c r="AH244" s="287"/>
      <c r="AI244" s="287"/>
      <c r="AJ244" s="287"/>
      <c r="AK244" s="287"/>
      <c r="AL244" s="287"/>
      <c r="AM244" s="287"/>
      <c r="AN244" s="287"/>
      <c r="AO244" s="287"/>
      <c r="AP244" s="287"/>
      <c r="AQ244" s="287"/>
      <c r="AR244" s="287"/>
      <c r="AS244" s="287"/>
      <c r="AT244" s="287"/>
      <c r="AU244" s="287"/>
      <c r="AV244" s="287"/>
      <c r="AW244" s="287"/>
      <c r="AX244" s="287"/>
      <c r="AY244" s="287"/>
      <c r="AZ244" s="287"/>
      <c r="BA244" s="287"/>
      <c r="BB244" s="287"/>
      <c r="BC244" s="287"/>
    </row>
    <row r="245" ht="15.75" customHeight="1">
      <c r="A245" s="287"/>
      <c r="B245" s="287"/>
      <c r="C245" s="287"/>
      <c r="D245" s="287"/>
      <c r="E245" s="287"/>
      <c r="F245" s="287"/>
      <c r="G245" s="287"/>
      <c r="H245" s="287"/>
      <c r="I245" s="287"/>
      <c r="J245" s="287"/>
      <c r="K245" s="287"/>
      <c r="L245" s="287"/>
      <c r="M245" s="287"/>
      <c r="N245" s="287"/>
      <c r="O245" s="287"/>
      <c r="P245" s="287"/>
      <c r="Q245" s="287"/>
      <c r="R245" s="287"/>
      <c r="S245" s="287"/>
      <c r="T245" s="287"/>
      <c r="U245" s="287"/>
      <c r="V245" s="287"/>
      <c r="W245" s="287"/>
      <c r="X245" s="287"/>
      <c r="Y245" s="287"/>
      <c r="Z245" s="287"/>
      <c r="AA245" s="287"/>
      <c r="AB245" s="287"/>
      <c r="AC245" s="287"/>
      <c r="AD245" s="287"/>
      <c r="AE245" s="287"/>
      <c r="AF245" s="287"/>
      <c r="AG245" s="287"/>
      <c r="AH245" s="287"/>
      <c r="AI245" s="287"/>
      <c r="AJ245" s="287"/>
      <c r="AK245" s="287"/>
      <c r="AL245" s="287"/>
      <c r="AM245" s="287"/>
      <c r="AN245" s="287"/>
      <c r="AO245" s="287"/>
      <c r="AP245" s="287"/>
      <c r="AQ245" s="287"/>
      <c r="AR245" s="287"/>
      <c r="AS245" s="287"/>
      <c r="AT245" s="287"/>
      <c r="AU245" s="287"/>
      <c r="AV245" s="287"/>
      <c r="AW245" s="287"/>
      <c r="AX245" s="287"/>
      <c r="AY245" s="287"/>
      <c r="AZ245" s="287"/>
      <c r="BA245" s="287"/>
      <c r="BB245" s="287"/>
      <c r="BC245" s="287"/>
    </row>
    <row r="246" ht="15.75" customHeight="1">
      <c r="A246" s="287"/>
      <c r="B246" s="287"/>
      <c r="C246" s="287"/>
      <c r="D246" s="287"/>
      <c r="E246" s="287"/>
      <c r="F246" s="287"/>
      <c r="G246" s="287"/>
      <c r="H246" s="287"/>
      <c r="I246" s="287"/>
      <c r="J246" s="287"/>
      <c r="K246" s="287"/>
      <c r="L246" s="287"/>
      <c r="M246" s="287"/>
      <c r="N246" s="287"/>
      <c r="O246" s="287"/>
      <c r="P246" s="287"/>
      <c r="Q246" s="287"/>
      <c r="R246" s="287"/>
      <c r="S246" s="287"/>
      <c r="T246" s="287"/>
      <c r="U246" s="287"/>
      <c r="V246" s="287"/>
      <c r="W246" s="287"/>
      <c r="X246" s="287"/>
      <c r="Y246" s="287"/>
      <c r="Z246" s="287"/>
      <c r="AA246" s="287"/>
      <c r="AB246" s="287"/>
      <c r="AC246" s="287"/>
      <c r="AD246" s="287"/>
      <c r="AE246" s="287"/>
      <c r="AF246" s="287"/>
      <c r="AG246" s="287"/>
      <c r="AH246" s="287"/>
      <c r="AI246" s="287"/>
      <c r="AJ246" s="287"/>
      <c r="AK246" s="287"/>
      <c r="AL246" s="287"/>
      <c r="AM246" s="287"/>
      <c r="AN246" s="287"/>
      <c r="AO246" s="287"/>
      <c r="AP246" s="287"/>
      <c r="AQ246" s="287"/>
      <c r="AR246" s="287"/>
      <c r="AS246" s="287"/>
      <c r="AT246" s="287"/>
      <c r="AU246" s="287"/>
      <c r="AV246" s="287"/>
      <c r="AW246" s="287"/>
      <c r="AX246" s="287"/>
      <c r="AY246" s="287"/>
      <c r="AZ246" s="287"/>
      <c r="BA246" s="287"/>
      <c r="BB246" s="287"/>
      <c r="BC246" s="287"/>
    </row>
    <row r="247" ht="15.75" customHeight="1">
      <c r="A247" s="287"/>
      <c r="B247" s="287"/>
      <c r="C247" s="287"/>
      <c r="D247" s="287"/>
      <c r="E247" s="287"/>
      <c r="F247" s="287"/>
      <c r="G247" s="287"/>
      <c r="H247" s="287"/>
      <c r="I247" s="287"/>
      <c r="J247" s="287"/>
      <c r="K247" s="287"/>
      <c r="L247" s="287"/>
      <c r="M247" s="287"/>
      <c r="N247" s="287"/>
      <c r="O247" s="287"/>
      <c r="P247" s="287"/>
      <c r="Q247" s="287"/>
      <c r="R247" s="287"/>
      <c r="S247" s="287"/>
      <c r="T247" s="287"/>
      <c r="U247" s="287"/>
      <c r="V247" s="287"/>
      <c r="W247" s="287"/>
      <c r="X247" s="287"/>
      <c r="Y247" s="287"/>
      <c r="Z247" s="287"/>
      <c r="AA247" s="287"/>
      <c r="AB247" s="287"/>
      <c r="AC247" s="287"/>
      <c r="AD247" s="287"/>
      <c r="AE247" s="287"/>
      <c r="AF247" s="287"/>
      <c r="AG247" s="287"/>
      <c r="AH247" s="287"/>
      <c r="AI247" s="287"/>
      <c r="AJ247" s="287"/>
      <c r="AK247" s="287"/>
      <c r="AL247" s="287"/>
      <c r="AM247" s="287"/>
      <c r="AN247" s="287"/>
      <c r="AO247" s="287"/>
      <c r="AP247" s="287"/>
      <c r="AQ247" s="287"/>
      <c r="AR247" s="287"/>
      <c r="AS247" s="287"/>
      <c r="AT247" s="287"/>
      <c r="AU247" s="287"/>
      <c r="AV247" s="287"/>
      <c r="AW247" s="287"/>
      <c r="AX247" s="287"/>
      <c r="AY247" s="287"/>
      <c r="AZ247" s="287"/>
      <c r="BA247" s="287"/>
      <c r="BB247" s="287"/>
      <c r="BC247" s="287"/>
    </row>
    <row r="248" ht="15.75" customHeight="1">
      <c r="A248" s="287"/>
      <c r="B248" s="287"/>
      <c r="C248" s="287"/>
      <c r="D248" s="287"/>
      <c r="E248" s="287"/>
      <c r="F248" s="287"/>
      <c r="G248" s="287"/>
      <c r="H248" s="287"/>
      <c r="I248" s="287"/>
      <c r="J248" s="287"/>
      <c r="K248" s="287"/>
      <c r="L248" s="287"/>
      <c r="M248" s="287"/>
      <c r="N248" s="287"/>
      <c r="O248" s="287"/>
      <c r="P248" s="287"/>
      <c r="Q248" s="287"/>
      <c r="R248" s="287"/>
      <c r="S248" s="287"/>
      <c r="T248" s="287"/>
      <c r="U248" s="287"/>
      <c r="V248" s="287"/>
      <c r="W248" s="287"/>
      <c r="X248" s="287"/>
      <c r="Y248" s="287"/>
      <c r="Z248" s="287"/>
      <c r="AA248" s="287"/>
      <c r="AB248" s="287"/>
      <c r="AC248" s="287"/>
      <c r="AD248" s="287"/>
      <c r="AE248" s="287"/>
      <c r="AF248" s="287"/>
      <c r="AG248" s="287"/>
      <c r="AH248" s="287"/>
      <c r="AI248" s="287"/>
      <c r="AJ248" s="287"/>
      <c r="AK248" s="287"/>
      <c r="AL248" s="287"/>
      <c r="AM248" s="287"/>
      <c r="AN248" s="287"/>
      <c r="AO248" s="287"/>
      <c r="AP248" s="287"/>
      <c r="AQ248" s="287"/>
      <c r="AR248" s="287"/>
      <c r="AS248" s="287"/>
      <c r="AT248" s="287"/>
      <c r="AU248" s="287"/>
      <c r="AV248" s="287"/>
      <c r="AW248" s="287"/>
      <c r="AX248" s="287"/>
      <c r="AY248" s="287"/>
      <c r="AZ248" s="287"/>
      <c r="BA248" s="287"/>
      <c r="BB248" s="287"/>
      <c r="BC248" s="287"/>
    </row>
    <row r="249" ht="15.75" customHeight="1">
      <c r="A249" s="287"/>
      <c r="B249" s="287"/>
      <c r="C249" s="287"/>
      <c r="D249" s="287"/>
      <c r="E249" s="287"/>
      <c r="F249" s="287"/>
      <c r="G249" s="287"/>
      <c r="H249" s="287"/>
      <c r="I249" s="287"/>
      <c r="J249" s="287"/>
      <c r="K249" s="287"/>
      <c r="L249" s="287"/>
      <c r="M249" s="287"/>
      <c r="N249" s="287"/>
      <c r="O249" s="287"/>
      <c r="P249" s="287"/>
      <c r="Q249" s="287"/>
      <c r="R249" s="287"/>
      <c r="S249" s="287"/>
      <c r="T249" s="287"/>
      <c r="U249" s="287"/>
      <c r="V249" s="287"/>
      <c r="W249" s="287"/>
      <c r="X249" s="287"/>
      <c r="Y249" s="287"/>
      <c r="Z249" s="287"/>
      <c r="AA249" s="287"/>
      <c r="AB249" s="287"/>
      <c r="AC249" s="287"/>
      <c r="AD249" s="287"/>
      <c r="AE249" s="287"/>
      <c r="AF249" s="287"/>
      <c r="AG249" s="287"/>
      <c r="AH249" s="287"/>
      <c r="AI249" s="287"/>
      <c r="AJ249" s="287"/>
      <c r="AK249" s="287"/>
      <c r="AL249" s="287"/>
      <c r="AM249" s="287"/>
      <c r="AN249" s="287"/>
      <c r="AO249" s="287"/>
      <c r="AP249" s="287"/>
      <c r="AQ249" s="287"/>
      <c r="AR249" s="287"/>
      <c r="AS249" s="287"/>
      <c r="AT249" s="287"/>
      <c r="AU249" s="287"/>
      <c r="AV249" s="287"/>
      <c r="AW249" s="287"/>
      <c r="AX249" s="287"/>
      <c r="AY249" s="287"/>
      <c r="AZ249" s="287"/>
      <c r="BA249" s="287"/>
      <c r="BB249" s="287"/>
      <c r="BC249" s="287"/>
    </row>
    <row r="250" ht="15.75" customHeight="1">
      <c r="A250" s="287"/>
      <c r="B250" s="287"/>
      <c r="C250" s="287"/>
      <c r="D250" s="287"/>
      <c r="E250" s="287"/>
      <c r="F250" s="287"/>
      <c r="G250" s="287"/>
      <c r="H250" s="287"/>
      <c r="I250" s="287"/>
      <c r="J250" s="287"/>
      <c r="K250" s="287"/>
      <c r="L250" s="287"/>
      <c r="M250" s="287"/>
      <c r="N250" s="287"/>
      <c r="O250" s="287"/>
      <c r="P250" s="287"/>
      <c r="Q250" s="287"/>
      <c r="R250" s="287"/>
      <c r="S250" s="287"/>
      <c r="T250" s="287"/>
      <c r="U250" s="287"/>
      <c r="V250" s="287"/>
      <c r="W250" s="287"/>
      <c r="X250" s="287"/>
      <c r="Y250" s="287"/>
      <c r="Z250" s="287"/>
      <c r="AA250" s="287"/>
      <c r="AB250" s="287"/>
      <c r="AC250" s="287"/>
      <c r="AD250" s="287"/>
      <c r="AE250" s="287"/>
      <c r="AF250" s="287"/>
      <c r="AG250" s="287"/>
      <c r="AH250" s="287"/>
      <c r="AI250" s="287"/>
      <c r="AJ250" s="287"/>
      <c r="AK250" s="287"/>
      <c r="AL250" s="287"/>
      <c r="AM250" s="287"/>
      <c r="AN250" s="287"/>
      <c r="AO250" s="287"/>
      <c r="AP250" s="287"/>
      <c r="AQ250" s="287"/>
      <c r="AR250" s="287"/>
      <c r="AS250" s="287"/>
      <c r="AT250" s="287"/>
      <c r="AU250" s="287"/>
      <c r="AV250" s="287"/>
      <c r="AW250" s="287"/>
      <c r="AX250" s="287"/>
      <c r="AY250" s="287"/>
      <c r="AZ250" s="287"/>
      <c r="BA250" s="287"/>
      <c r="BB250" s="287"/>
      <c r="BC250" s="287"/>
    </row>
    <row r="251" ht="15.75" customHeight="1">
      <c r="A251" s="287"/>
      <c r="B251" s="287"/>
      <c r="C251" s="287"/>
      <c r="D251" s="287"/>
      <c r="E251" s="287"/>
      <c r="F251" s="287"/>
      <c r="G251" s="287"/>
      <c r="H251" s="287"/>
      <c r="I251" s="287"/>
      <c r="J251" s="287"/>
      <c r="K251" s="287"/>
      <c r="L251" s="287"/>
      <c r="M251" s="287"/>
      <c r="N251" s="287"/>
      <c r="O251" s="287"/>
      <c r="P251" s="287"/>
      <c r="Q251" s="287"/>
      <c r="R251" s="287"/>
      <c r="S251" s="287"/>
      <c r="T251" s="287"/>
      <c r="U251" s="287"/>
      <c r="V251" s="287"/>
      <c r="W251" s="287"/>
      <c r="X251" s="287"/>
      <c r="Y251" s="287"/>
      <c r="Z251" s="287"/>
      <c r="AA251" s="287"/>
      <c r="AB251" s="287"/>
      <c r="AC251" s="287"/>
      <c r="AD251" s="287"/>
      <c r="AE251" s="287"/>
      <c r="AF251" s="287"/>
      <c r="AG251" s="287"/>
      <c r="AH251" s="287"/>
      <c r="AI251" s="287"/>
      <c r="AJ251" s="287"/>
      <c r="AK251" s="287"/>
      <c r="AL251" s="287"/>
      <c r="AM251" s="287"/>
      <c r="AN251" s="287"/>
      <c r="AO251" s="287"/>
      <c r="AP251" s="287"/>
      <c r="AQ251" s="287"/>
      <c r="AR251" s="287"/>
      <c r="AS251" s="287"/>
      <c r="AT251" s="287"/>
      <c r="AU251" s="287"/>
      <c r="AV251" s="287"/>
      <c r="AW251" s="287"/>
      <c r="AX251" s="287"/>
      <c r="AY251" s="287"/>
      <c r="AZ251" s="287"/>
      <c r="BA251" s="287"/>
      <c r="BB251" s="287"/>
      <c r="BC251" s="287"/>
    </row>
    <row r="252" ht="15.75" customHeight="1">
      <c r="A252" s="287"/>
      <c r="B252" s="287"/>
      <c r="C252" s="287"/>
      <c r="D252" s="287"/>
      <c r="E252" s="287"/>
      <c r="F252" s="287"/>
      <c r="G252" s="287"/>
      <c r="H252" s="287"/>
      <c r="I252" s="287"/>
      <c r="J252" s="287"/>
      <c r="K252" s="287"/>
      <c r="L252" s="287"/>
      <c r="M252" s="287"/>
      <c r="N252" s="287"/>
      <c r="O252" s="287"/>
      <c r="P252" s="287"/>
      <c r="Q252" s="287"/>
      <c r="R252" s="287"/>
      <c r="S252" s="287"/>
      <c r="T252" s="287"/>
      <c r="U252" s="287"/>
      <c r="V252" s="287"/>
      <c r="W252" s="287"/>
      <c r="X252" s="287"/>
      <c r="Y252" s="287"/>
      <c r="Z252" s="287"/>
      <c r="AA252" s="287"/>
      <c r="AB252" s="287"/>
      <c r="AC252" s="287"/>
      <c r="AD252" s="287"/>
      <c r="AE252" s="287"/>
      <c r="AF252" s="287"/>
      <c r="AG252" s="287"/>
      <c r="AH252" s="287"/>
      <c r="AI252" s="287"/>
      <c r="AJ252" s="287"/>
      <c r="AK252" s="287"/>
      <c r="AL252" s="287"/>
      <c r="AM252" s="287"/>
      <c r="AN252" s="287"/>
      <c r="AO252" s="287"/>
      <c r="AP252" s="287"/>
      <c r="AQ252" s="287"/>
      <c r="AR252" s="287"/>
      <c r="AS252" s="287"/>
      <c r="AT252" s="287"/>
      <c r="AU252" s="287"/>
      <c r="AV252" s="287"/>
      <c r="AW252" s="287"/>
      <c r="AX252" s="287"/>
      <c r="AY252" s="287"/>
      <c r="AZ252" s="287"/>
      <c r="BA252" s="287"/>
      <c r="BB252" s="287"/>
      <c r="BC252" s="287"/>
    </row>
    <row r="253" ht="15.75" customHeight="1">
      <c r="A253" s="287"/>
      <c r="B253" s="287"/>
      <c r="C253" s="287"/>
      <c r="D253" s="287"/>
      <c r="E253" s="287"/>
      <c r="F253" s="287"/>
      <c r="G253" s="287"/>
      <c r="H253" s="287"/>
      <c r="I253" s="287"/>
      <c r="J253" s="287"/>
      <c r="K253" s="287"/>
      <c r="L253" s="287"/>
      <c r="M253" s="287"/>
      <c r="N253" s="287"/>
      <c r="O253" s="287"/>
      <c r="P253" s="287"/>
      <c r="Q253" s="287"/>
      <c r="R253" s="287"/>
      <c r="S253" s="287"/>
      <c r="T253" s="287"/>
      <c r="U253" s="287"/>
      <c r="V253" s="287"/>
      <c r="W253" s="287"/>
      <c r="X253" s="287"/>
      <c r="Y253" s="287"/>
      <c r="Z253" s="287"/>
      <c r="AA253" s="287"/>
      <c r="AB253" s="287"/>
      <c r="AC253" s="287"/>
      <c r="AD253" s="287"/>
      <c r="AE253" s="287"/>
      <c r="AF253" s="287"/>
      <c r="AG253" s="287"/>
      <c r="AH253" s="287"/>
      <c r="AI253" s="287"/>
      <c r="AJ253" s="287"/>
      <c r="AK253" s="287"/>
      <c r="AL253" s="287"/>
      <c r="AM253" s="287"/>
      <c r="AN253" s="287"/>
      <c r="AO253" s="287"/>
      <c r="AP253" s="287"/>
      <c r="AQ253" s="287"/>
      <c r="AR253" s="287"/>
      <c r="AS253" s="287"/>
      <c r="AT253" s="287"/>
      <c r="AU253" s="287"/>
      <c r="AV253" s="287"/>
      <c r="AW253" s="287"/>
      <c r="AX253" s="287"/>
      <c r="AY253" s="287"/>
      <c r="AZ253" s="287"/>
      <c r="BA253" s="287"/>
      <c r="BB253" s="287"/>
      <c r="BC253" s="287"/>
    </row>
    <row r="254" ht="15.75" customHeight="1">
      <c r="A254" s="287"/>
      <c r="B254" s="287"/>
      <c r="C254" s="287"/>
      <c r="D254" s="287"/>
      <c r="E254" s="287"/>
      <c r="F254" s="287"/>
      <c r="G254" s="287"/>
      <c r="H254" s="287"/>
      <c r="I254" s="287"/>
      <c r="J254" s="287"/>
      <c r="K254" s="287"/>
      <c r="L254" s="287"/>
      <c r="M254" s="287"/>
      <c r="N254" s="287"/>
      <c r="O254" s="287"/>
      <c r="P254" s="287"/>
      <c r="Q254" s="287"/>
      <c r="R254" s="287"/>
      <c r="S254" s="287"/>
      <c r="T254" s="287"/>
      <c r="U254" s="287"/>
      <c r="V254" s="287"/>
      <c r="W254" s="287"/>
      <c r="X254" s="287"/>
      <c r="Y254" s="287"/>
      <c r="Z254" s="287"/>
      <c r="AA254" s="287"/>
      <c r="AB254" s="287"/>
      <c r="AC254" s="287"/>
      <c r="AD254" s="287"/>
      <c r="AE254" s="287"/>
      <c r="AF254" s="287"/>
      <c r="AG254" s="287"/>
      <c r="AH254" s="287"/>
      <c r="AI254" s="287"/>
      <c r="AJ254" s="287"/>
      <c r="AK254" s="287"/>
      <c r="AL254" s="287"/>
      <c r="AM254" s="287"/>
      <c r="AN254" s="287"/>
      <c r="AO254" s="287"/>
      <c r="AP254" s="287"/>
      <c r="AQ254" s="287"/>
      <c r="AR254" s="287"/>
      <c r="AS254" s="287"/>
      <c r="AT254" s="287"/>
      <c r="AU254" s="287"/>
      <c r="AV254" s="287"/>
      <c r="AW254" s="287"/>
      <c r="AX254" s="287"/>
      <c r="AY254" s="287"/>
      <c r="AZ254" s="287"/>
      <c r="BA254" s="287"/>
      <c r="BB254" s="287"/>
      <c r="BC254" s="287"/>
    </row>
    <row r="255" ht="15.75" customHeight="1">
      <c r="A255" s="287"/>
      <c r="B255" s="287"/>
      <c r="C255" s="287"/>
      <c r="D255" s="287"/>
      <c r="E255" s="287"/>
      <c r="F255" s="287"/>
      <c r="G255" s="287"/>
      <c r="H255" s="287"/>
      <c r="I255" s="287"/>
      <c r="J255" s="287"/>
      <c r="K255" s="287"/>
      <c r="L255" s="287"/>
      <c r="M255" s="287"/>
      <c r="N255" s="287"/>
      <c r="O255" s="287"/>
      <c r="P255" s="287"/>
      <c r="Q255" s="287"/>
      <c r="R255" s="287"/>
      <c r="S255" s="287"/>
      <c r="T255" s="287"/>
      <c r="U255" s="287"/>
      <c r="V255" s="287"/>
      <c r="W255" s="287"/>
      <c r="X255" s="287"/>
      <c r="Y255" s="287"/>
      <c r="Z255" s="287"/>
      <c r="AA255" s="287"/>
      <c r="AB255" s="287"/>
      <c r="AC255" s="287"/>
      <c r="AD255" s="287"/>
      <c r="AE255" s="287"/>
      <c r="AF255" s="287"/>
      <c r="AG255" s="287"/>
      <c r="AH255" s="287"/>
      <c r="AI255" s="287"/>
      <c r="AJ255" s="287"/>
      <c r="AK255" s="287"/>
      <c r="AL255" s="287"/>
      <c r="AM255" s="287"/>
      <c r="AN255" s="287"/>
      <c r="AO255" s="287"/>
      <c r="AP255" s="287"/>
      <c r="AQ255" s="287"/>
      <c r="AR255" s="287"/>
      <c r="AS255" s="287"/>
      <c r="AT255" s="287"/>
      <c r="AU255" s="287"/>
      <c r="AV255" s="287"/>
      <c r="AW255" s="287"/>
      <c r="AX255" s="287"/>
      <c r="AY255" s="287"/>
      <c r="AZ255" s="287"/>
      <c r="BA255" s="287"/>
      <c r="BB255" s="287"/>
      <c r="BC255" s="287"/>
    </row>
    <row r="256" ht="15.75" customHeight="1">
      <c r="A256" s="287"/>
      <c r="B256" s="287"/>
      <c r="C256" s="287"/>
      <c r="D256" s="287"/>
      <c r="E256" s="287"/>
      <c r="F256" s="287"/>
      <c r="G256" s="287"/>
      <c r="H256" s="287"/>
      <c r="I256" s="287"/>
      <c r="J256" s="287"/>
      <c r="K256" s="287"/>
      <c r="L256" s="287"/>
      <c r="M256" s="287"/>
      <c r="N256" s="287"/>
      <c r="O256" s="287"/>
      <c r="P256" s="287"/>
      <c r="Q256" s="287"/>
      <c r="R256" s="287"/>
      <c r="S256" s="287"/>
      <c r="T256" s="287"/>
      <c r="U256" s="287"/>
      <c r="V256" s="287"/>
      <c r="W256" s="287"/>
      <c r="X256" s="287"/>
      <c r="Y256" s="287"/>
      <c r="Z256" s="287"/>
      <c r="AA256" s="287"/>
      <c r="AB256" s="287"/>
      <c r="AC256" s="287"/>
      <c r="AD256" s="287"/>
      <c r="AE256" s="287"/>
      <c r="AF256" s="287"/>
      <c r="AG256" s="287"/>
      <c r="AH256" s="287"/>
      <c r="AI256" s="287"/>
      <c r="AJ256" s="287"/>
      <c r="AK256" s="287"/>
      <c r="AL256" s="287"/>
      <c r="AM256" s="287"/>
      <c r="AN256" s="287"/>
      <c r="AO256" s="287"/>
      <c r="AP256" s="287"/>
      <c r="AQ256" s="287"/>
      <c r="AR256" s="287"/>
      <c r="AS256" s="287"/>
      <c r="AT256" s="287"/>
      <c r="AU256" s="287"/>
      <c r="AV256" s="287"/>
      <c r="AW256" s="287"/>
      <c r="AX256" s="287"/>
      <c r="AY256" s="287"/>
      <c r="AZ256" s="287"/>
      <c r="BA256" s="287"/>
      <c r="BB256" s="287"/>
      <c r="BC256" s="287"/>
    </row>
    <row r="257" ht="15.75" customHeight="1">
      <c r="A257" s="287"/>
      <c r="B257" s="287"/>
      <c r="C257" s="287"/>
      <c r="D257" s="287"/>
      <c r="E257" s="287"/>
      <c r="F257" s="287"/>
      <c r="G257" s="287"/>
      <c r="H257" s="287"/>
      <c r="I257" s="287"/>
      <c r="J257" s="287"/>
      <c r="K257" s="287"/>
      <c r="L257" s="287"/>
      <c r="M257" s="287"/>
      <c r="N257" s="287"/>
      <c r="O257" s="287"/>
      <c r="P257" s="287"/>
      <c r="Q257" s="287"/>
      <c r="R257" s="287"/>
      <c r="S257" s="287"/>
      <c r="T257" s="287"/>
      <c r="U257" s="287"/>
      <c r="V257" s="287"/>
      <c r="W257" s="287"/>
      <c r="X257" s="287"/>
      <c r="Y257" s="287"/>
      <c r="Z257" s="287"/>
      <c r="AA257" s="287"/>
      <c r="AB257" s="287"/>
      <c r="AC257" s="287"/>
      <c r="AD257" s="287"/>
      <c r="AE257" s="287"/>
      <c r="AF257" s="287"/>
      <c r="AG257" s="287"/>
      <c r="AH257" s="287"/>
      <c r="AI257" s="287"/>
      <c r="AJ257" s="287"/>
      <c r="AK257" s="287"/>
      <c r="AL257" s="287"/>
      <c r="AM257" s="287"/>
      <c r="AN257" s="287"/>
      <c r="AO257" s="287"/>
      <c r="AP257" s="287"/>
      <c r="AQ257" s="287"/>
      <c r="AR257" s="287"/>
      <c r="AS257" s="287"/>
      <c r="AT257" s="287"/>
      <c r="AU257" s="287"/>
      <c r="AV257" s="287"/>
      <c r="AW257" s="287"/>
      <c r="AX257" s="287"/>
      <c r="AY257" s="287"/>
      <c r="AZ257" s="287"/>
      <c r="BA257" s="287"/>
      <c r="BB257" s="287"/>
      <c r="BC257" s="287"/>
    </row>
    <row r="258" ht="15.75" customHeight="1">
      <c r="A258" s="287"/>
      <c r="B258" s="287"/>
      <c r="C258" s="287"/>
      <c r="D258" s="287"/>
      <c r="E258" s="287"/>
      <c r="F258" s="287"/>
      <c r="G258" s="287"/>
      <c r="H258" s="287"/>
      <c r="I258" s="287"/>
      <c r="J258" s="287"/>
      <c r="K258" s="287"/>
      <c r="L258" s="287"/>
      <c r="M258" s="287"/>
      <c r="N258" s="287"/>
      <c r="O258" s="287"/>
      <c r="P258" s="287"/>
      <c r="Q258" s="287"/>
      <c r="R258" s="287"/>
      <c r="S258" s="287"/>
      <c r="T258" s="287"/>
      <c r="U258" s="287"/>
      <c r="V258" s="287"/>
      <c r="W258" s="287"/>
      <c r="X258" s="287"/>
      <c r="Y258" s="287"/>
      <c r="Z258" s="287"/>
      <c r="AA258" s="287"/>
      <c r="AB258" s="287"/>
      <c r="AC258" s="287"/>
      <c r="AD258" s="287"/>
      <c r="AE258" s="287"/>
      <c r="AF258" s="287"/>
      <c r="AG258" s="287"/>
      <c r="AH258" s="287"/>
      <c r="AI258" s="287"/>
      <c r="AJ258" s="287"/>
      <c r="AK258" s="287"/>
      <c r="AL258" s="287"/>
      <c r="AM258" s="287"/>
      <c r="AN258" s="287"/>
      <c r="AO258" s="287"/>
      <c r="AP258" s="287"/>
      <c r="AQ258" s="287"/>
      <c r="AR258" s="287"/>
      <c r="AS258" s="287"/>
      <c r="AT258" s="287"/>
      <c r="AU258" s="287"/>
      <c r="AV258" s="287"/>
      <c r="AW258" s="287"/>
      <c r="AX258" s="287"/>
      <c r="AY258" s="287"/>
      <c r="AZ258" s="287"/>
      <c r="BA258" s="287"/>
      <c r="BB258" s="287"/>
      <c r="BC258" s="287"/>
    </row>
    <row r="259" ht="15.75" customHeight="1">
      <c r="A259" s="287"/>
      <c r="B259" s="287"/>
      <c r="C259" s="287"/>
      <c r="D259" s="287"/>
      <c r="E259" s="287"/>
      <c r="F259" s="287"/>
      <c r="G259" s="287"/>
      <c r="H259" s="287"/>
      <c r="I259" s="287"/>
      <c r="J259" s="287"/>
      <c r="K259" s="287"/>
      <c r="L259" s="287"/>
      <c r="M259" s="287"/>
      <c r="N259" s="287"/>
      <c r="O259" s="287"/>
      <c r="P259" s="287"/>
      <c r="Q259" s="287"/>
      <c r="R259" s="287"/>
      <c r="S259" s="287"/>
      <c r="T259" s="287"/>
      <c r="U259" s="287"/>
      <c r="V259" s="287"/>
      <c r="W259" s="287"/>
      <c r="X259" s="287"/>
      <c r="Y259" s="287"/>
      <c r="Z259" s="287"/>
      <c r="AA259" s="287"/>
      <c r="AB259" s="287"/>
      <c r="AC259" s="287"/>
      <c r="AD259" s="287"/>
      <c r="AE259" s="287"/>
      <c r="AF259" s="287"/>
      <c r="AG259" s="287"/>
      <c r="AH259" s="287"/>
      <c r="AI259" s="287"/>
      <c r="AJ259" s="287"/>
      <c r="AK259" s="287"/>
      <c r="AL259" s="287"/>
      <c r="AM259" s="287"/>
      <c r="AN259" s="287"/>
      <c r="AO259" s="287"/>
      <c r="AP259" s="287"/>
      <c r="AQ259" s="287"/>
      <c r="AR259" s="287"/>
      <c r="AS259" s="287"/>
      <c r="AT259" s="287"/>
      <c r="AU259" s="287"/>
      <c r="AV259" s="287"/>
      <c r="AW259" s="287"/>
      <c r="AX259" s="287"/>
      <c r="AY259" s="287"/>
      <c r="AZ259" s="287"/>
      <c r="BA259" s="287"/>
      <c r="BB259" s="287"/>
      <c r="BC259" s="287"/>
    </row>
    <row r="260" ht="15.75" customHeight="1">
      <c r="A260" s="287"/>
      <c r="B260" s="287"/>
      <c r="C260" s="287"/>
      <c r="D260" s="287"/>
      <c r="E260" s="287"/>
      <c r="F260" s="287"/>
      <c r="G260" s="287"/>
      <c r="H260" s="287"/>
      <c r="I260" s="287"/>
      <c r="J260" s="287"/>
      <c r="K260" s="287"/>
      <c r="L260" s="287"/>
      <c r="M260" s="287"/>
      <c r="N260" s="287"/>
      <c r="O260" s="287"/>
      <c r="P260" s="287"/>
      <c r="Q260" s="287"/>
      <c r="R260" s="287"/>
      <c r="S260" s="287"/>
      <c r="T260" s="287"/>
      <c r="U260" s="287"/>
      <c r="V260" s="287"/>
      <c r="W260" s="287"/>
      <c r="X260" s="287"/>
      <c r="Y260" s="287"/>
      <c r="Z260" s="287"/>
      <c r="AA260" s="287"/>
      <c r="AB260" s="287"/>
      <c r="AC260" s="287"/>
      <c r="AD260" s="287"/>
      <c r="AE260" s="287"/>
      <c r="AF260" s="287"/>
      <c r="AG260" s="287"/>
      <c r="AH260" s="287"/>
      <c r="AI260" s="287"/>
      <c r="AJ260" s="287"/>
      <c r="AK260" s="287"/>
      <c r="AL260" s="287"/>
      <c r="AM260" s="287"/>
      <c r="AN260" s="287"/>
      <c r="AO260" s="287"/>
      <c r="AP260" s="287"/>
      <c r="AQ260" s="287"/>
      <c r="AR260" s="287"/>
      <c r="AS260" s="287"/>
      <c r="AT260" s="287"/>
      <c r="AU260" s="287"/>
      <c r="AV260" s="287"/>
      <c r="AW260" s="287"/>
      <c r="AX260" s="287"/>
      <c r="AY260" s="287"/>
      <c r="AZ260" s="287"/>
      <c r="BA260" s="287"/>
      <c r="BB260" s="287"/>
      <c r="BC260" s="287"/>
    </row>
    <row r="261" ht="15.75" customHeight="1">
      <c r="A261" s="287"/>
      <c r="B261" s="287"/>
      <c r="C261" s="287"/>
      <c r="D261" s="287"/>
      <c r="E261" s="287"/>
      <c r="F261" s="287"/>
      <c r="G261" s="287"/>
      <c r="H261" s="287"/>
      <c r="I261" s="287"/>
      <c r="J261" s="287"/>
      <c r="K261" s="287"/>
      <c r="L261" s="287"/>
      <c r="M261" s="287"/>
      <c r="N261" s="287"/>
      <c r="O261" s="287"/>
      <c r="P261" s="287"/>
      <c r="Q261" s="287"/>
      <c r="R261" s="287"/>
      <c r="S261" s="287"/>
      <c r="T261" s="287"/>
      <c r="U261" s="287"/>
      <c r="V261" s="287"/>
      <c r="W261" s="287"/>
      <c r="X261" s="287"/>
      <c r="Y261" s="287"/>
      <c r="Z261" s="287"/>
      <c r="AA261" s="287"/>
      <c r="AB261" s="287"/>
      <c r="AC261" s="287"/>
      <c r="AD261" s="287"/>
      <c r="AE261" s="287"/>
      <c r="AF261" s="287"/>
      <c r="AG261" s="287"/>
      <c r="AH261" s="287"/>
      <c r="AI261" s="287"/>
      <c r="AJ261" s="287"/>
      <c r="AK261" s="287"/>
      <c r="AL261" s="287"/>
      <c r="AM261" s="287"/>
      <c r="AN261" s="287"/>
      <c r="AO261" s="287"/>
      <c r="AP261" s="287"/>
      <c r="AQ261" s="287"/>
      <c r="AR261" s="287"/>
      <c r="AS261" s="287"/>
      <c r="AT261" s="287"/>
      <c r="AU261" s="287"/>
      <c r="AV261" s="287"/>
      <c r="AW261" s="287"/>
      <c r="AX261" s="287"/>
      <c r="AY261" s="287"/>
      <c r="AZ261" s="287"/>
      <c r="BA261" s="287"/>
      <c r="BB261" s="287"/>
      <c r="BC261" s="287"/>
    </row>
    <row r="262" ht="15.75" customHeight="1">
      <c r="A262" s="287"/>
      <c r="B262" s="287"/>
      <c r="C262" s="287"/>
      <c r="D262" s="287"/>
      <c r="E262" s="287"/>
      <c r="F262" s="287"/>
      <c r="G262" s="287"/>
      <c r="H262" s="287"/>
      <c r="I262" s="287"/>
      <c r="J262" s="287"/>
      <c r="K262" s="287"/>
      <c r="L262" s="287"/>
      <c r="M262" s="287"/>
      <c r="N262" s="287"/>
      <c r="O262" s="287"/>
      <c r="P262" s="287"/>
      <c r="Q262" s="287"/>
      <c r="R262" s="287"/>
      <c r="S262" s="287"/>
      <c r="T262" s="287"/>
      <c r="U262" s="287"/>
      <c r="V262" s="287"/>
      <c r="W262" s="287"/>
      <c r="X262" s="287"/>
      <c r="Y262" s="287"/>
      <c r="Z262" s="287"/>
      <c r="AA262" s="287"/>
      <c r="AB262" s="287"/>
      <c r="AC262" s="287"/>
      <c r="AD262" s="287"/>
      <c r="AE262" s="287"/>
      <c r="AF262" s="287"/>
      <c r="AG262" s="287"/>
      <c r="AH262" s="287"/>
      <c r="AI262" s="287"/>
      <c r="AJ262" s="287"/>
      <c r="AK262" s="287"/>
      <c r="AL262" s="287"/>
      <c r="AM262" s="287"/>
      <c r="AN262" s="287"/>
      <c r="AO262" s="287"/>
      <c r="AP262" s="287"/>
      <c r="AQ262" s="287"/>
      <c r="AR262" s="287"/>
      <c r="AS262" s="287"/>
      <c r="AT262" s="287"/>
      <c r="AU262" s="287"/>
      <c r="AV262" s="287"/>
      <c r="AW262" s="287"/>
      <c r="AX262" s="287"/>
      <c r="AY262" s="287"/>
      <c r="AZ262" s="287"/>
      <c r="BA262" s="287"/>
      <c r="BB262" s="287"/>
      <c r="BC262" s="287"/>
    </row>
    <row r="263" ht="15.75" customHeight="1">
      <c r="A263" s="287"/>
      <c r="B263" s="287"/>
      <c r="C263" s="287"/>
      <c r="D263" s="287"/>
      <c r="E263" s="287"/>
      <c r="F263" s="287"/>
      <c r="G263" s="287"/>
      <c r="H263" s="287"/>
      <c r="I263" s="287"/>
      <c r="J263" s="287"/>
      <c r="K263" s="287"/>
      <c r="L263" s="287"/>
      <c r="M263" s="287"/>
      <c r="N263" s="287"/>
      <c r="O263" s="287"/>
      <c r="P263" s="287"/>
      <c r="Q263" s="287"/>
      <c r="R263" s="287"/>
      <c r="S263" s="287"/>
      <c r="T263" s="287"/>
      <c r="U263" s="287"/>
      <c r="V263" s="287"/>
      <c r="W263" s="287"/>
      <c r="X263" s="287"/>
      <c r="Y263" s="287"/>
      <c r="Z263" s="287"/>
      <c r="AA263" s="287"/>
      <c r="AB263" s="287"/>
      <c r="AC263" s="287"/>
      <c r="AD263" s="287"/>
      <c r="AE263" s="287"/>
      <c r="AF263" s="287"/>
      <c r="AG263" s="287"/>
      <c r="AH263" s="287"/>
      <c r="AI263" s="287"/>
      <c r="AJ263" s="287"/>
      <c r="AK263" s="287"/>
      <c r="AL263" s="287"/>
      <c r="AM263" s="287"/>
      <c r="AN263" s="287"/>
      <c r="AO263" s="287"/>
      <c r="AP263" s="287"/>
      <c r="AQ263" s="287"/>
      <c r="AR263" s="287"/>
      <c r="AS263" s="287"/>
      <c r="AT263" s="287"/>
      <c r="AU263" s="287"/>
      <c r="AV263" s="287"/>
      <c r="AW263" s="287"/>
      <c r="AX263" s="287"/>
      <c r="AY263" s="287"/>
      <c r="AZ263" s="287"/>
      <c r="BA263" s="287"/>
      <c r="BB263" s="287"/>
      <c r="BC263" s="287"/>
    </row>
    <row r="264" ht="15.75" customHeight="1">
      <c r="A264" s="287"/>
      <c r="B264" s="287"/>
      <c r="C264" s="287"/>
      <c r="D264" s="287"/>
      <c r="E264" s="287"/>
      <c r="F264" s="287"/>
      <c r="G264" s="287"/>
      <c r="H264" s="287"/>
      <c r="I264" s="287"/>
      <c r="J264" s="287"/>
      <c r="K264" s="287"/>
      <c r="L264" s="287"/>
      <c r="M264" s="287"/>
      <c r="N264" s="287"/>
      <c r="O264" s="287"/>
      <c r="P264" s="287"/>
      <c r="Q264" s="287"/>
      <c r="R264" s="287"/>
      <c r="S264" s="287"/>
      <c r="T264" s="287"/>
      <c r="U264" s="287"/>
      <c r="V264" s="287"/>
      <c r="W264" s="287"/>
      <c r="X264" s="287"/>
      <c r="Y264" s="287"/>
      <c r="Z264" s="287"/>
      <c r="AA264" s="287"/>
      <c r="AB264" s="287"/>
      <c r="AC264" s="287"/>
      <c r="AD264" s="287"/>
      <c r="AE264" s="287"/>
      <c r="AF264" s="287"/>
      <c r="AG264" s="287"/>
      <c r="AH264" s="287"/>
      <c r="AI264" s="287"/>
      <c r="AJ264" s="287"/>
      <c r="AK264" s="287"/>
      <c r="AL264" s="287"/>
      <c r="AM264" s="287"/>
      <c r="AN264" s="287"/>
      <c r="AO264" s="287"/>
      <c r="AP264" s="287"/>
      <c r="AQ264" s="287"/>
      <c r="AR264" s="287"/>
      <c r="AS264" s="287"/>
      <c r="AT264" s="287"/>
      <c r="AU264" s="287"/>
      <c r="AV264" s="287"/>
      <c r="AW264" s="287"/>
      <c r="AX264" s="287"/>
      <c r="AY264" s="287"/>
      <c r="AZ264" s="287"/>
      <c r="BA264" s="287"/>
      <c r="BB264" s="287"/>
      <c r="BC264" s="287"/>
    </row>
    <row r="265" ht="15.75" customHeight="1">
      <c r="A265" s="287"/>
      <c r="B265" s="287"/>
      <c r="C265" s="287"/>
      <c r="D265" s="287"/>
      <c r="E265" s="287"/>
      <c r="F265" s="287"/>
      <c r="G265" s="287"/>
      <c r="H265" s="287"/>
      <c r="I265" s="287"/>
      <c r="J265" s="287"/>
      <c r="K265" s="287"/>
      <c r="L265" s="287"/>
      <c r="M265" s="287"/>
      <c r="N265" s="287"/>
      <c r="O265" s="287"/>
      <c r="P265" s="287"/>
      <c r="Q265" s="287"/>
      <c r="R265" s="287"/>
      <c r="S265" s="287"/>
      <c r="T265" s="287"/>
      <c r="U265" s="287"/>
      <c r="V265" s="287"/>
      <c r="W265" s="287"/>
      <c r="X265" s="287"/>
      <c r="Y265" s="287"/>
      <c r="Z265" s="287"/>
      <c r="AA265" s="287"/>
      <c r="AB265" s="287"/>
      <c r="AC265" s="287"/>
      <c r="AD265" s="287"/>
      <c r="AE265" s="287"/>
      <c r="AF265" s="287"/>
      <c r="AG265" s="287"/>
      <c r="AH265" s="287"/>
      <c r="AI265" s="287"/>
      <c r="AJ265" s="287"/>
      <c r="AK265" s="287"/>
      <c r="AL265" s="287"/>
      <c r="AM265" s="287"/>
      <c r="AN265" s="287"/>
      <c r="AO265" s="287"/>
      <c r="AP265" s="287"/>
      <c r="AQ265" s="287"/>
      <c r="AR265" s="287"/>
      <c r="AS265" s="287"/>
      <c r="AT265" s="287"/>
      <c r="AU265" s="287"/>
      <c r="AV265" s="287"/>
      <c r="AW265" s="287"/>
      <c r="AX265" s="287"/>
      <c r="AY265" s="287"/>
      <c r="AZ265" s="287"/>
      <c r="BA265" s="287"/>
      <c r="BB265" s="287"/>
      <c r="BC265" s="287"/>
    </row>
    <row r="266" ht="15.75" customHeight="1">
      <c r="A266" s="287"/>
      <c r="B266" s="287"/>
      <c r="C266" s="287"/>
      <c r="D266" s="287"/>
      <c r="E266" s="287"/>
      <c r="F266" s="287"/>
      <c r="G266" s="287"/>
      <c r="H266" s="287"/>
      <c r="I266" s="287"/>
      <c r="J266" s="287"/>
      <c r="K266" s="287"/>
      <c r="L266" s="287"/>
      <c r="M266" s="287"/>
      <c r="N266" s="287"/>
      <c r="O266" s="287"/>
      <c r="P266" s="287"/>
      <c r="Q266" s="287"/>
      <c r="R266" s="287"/>
      <c r="S266" s="287"/>
      <c r="T266" s="287"/>
      <c r="U266" s="287"/>
      <c r="V266" s="287"/>
      <c r="W266" s="287"/>
      <c r="X266" s="287"/>
      <c r="Y266" s="287"/>
      <c r="Z266" s="287"/>
      <c r="AA266" s="287"/>
      <c r="AB266" s="287"/>
      <c r="AC266" s="287"/>
      <c r="AD266" s="287"/>
      <c r="AE266" s="287"/>
      <c r="AF266" s="287"/>
      <c r="AG266" s="287"/>
      <c r="AH266" s="287"/>
      <c r="AI266" s="287"/>
      <c r="AJ266" s="287"/>
      <c r="AK266" s="287"/>
      <c r="AL266" s="287"/>
      <c r="AM266" s="287"/>
      <c r="AN266" s="287"/>
      <c r="AO266" s="287"/>
      <c r="AP266" s="287"/>
      <c r="AQ266" s="287"/>
      <c r="AR266" s="287"/>
      <c r="AS266" s="287"/>
      <c r="AT266" s="287"/>
      <c r="AU266" s="287"/>
      <c r="AV266" s="287"/>
      <c r="AW266" s="287"/>
      <c r="AX266" s="287"/>
      <c r="AY266" s="287"/>
      <c r="AZ266" s="287"/>
      <c r="BA266" s="287"/>
      <c r="BB266" s="287"/>
      <c r="BC266" s="287"/>
    </row>
    <row r="267" ht="15.75" customHeight="1">
      <c r="A267" s="287"/>
      <c r="B267" s="287"/>
      <c r="C267" s="287"/>
      <c r="D267" s="287"/>
      <c r="E267" s="287"/>
      <c r="F267" s="287"/>
      <c r="G267" s="287"/>
      <c r="H267" s="287"/>
      <c r="I267" s="287"/>
      <c r="J267" s="287"/>
      <c r="K267" s="287"/>
      <c r="L267" s="287"/>
      <c r="M267" s="287"/>
      <c r="N267" s="287"/>
      <c r="O267" s="287"/>
      <c r="P267" s="287"/>
      <c r="Q267" s="287"/>
      <c r="R267" s="287"/>
      <c r="S267" s="287"/>
      <c r="T267" s="287"/>
      <c r="U267" s="287"/>
      <c r="V267" s="287"/>
      <c r="W267" s="287"/>
      <c r="X267" s="287"/>
      <c r="Y267" s="287"/>
      <c r="Z267" s="287"/>
      <c r="AA267" s="287"/>
      <c r="AB267" s="287"/>
      <c r="AC267" s="287"/>
      <c r="AD267" s="287"/>
      <c r="AE267" s="287"/>
      <c r="AF267" s="287"/>
      <c r="AG267" s="287"/>
      <c r="AH267" s="287"/>
      <c r="AI267" s="287"/>
      <c r="AJ267" s="287"/>
      <c r="AK267" s="287"/>
      <c r="AL267" s="287"/>
      <c r="AM267" s="287"/>
      <c r="AN267" s="287"/>
      <c r="AO267" s="287"/>
      <c r="AP267" s="287"/>
      <c r="AQ267" s="287"/>
      <c r="AR267" s="287"/>
      <c r="AS267" s="287"/>
      <c r="AT267" s="287"/>
      <c r="AU267" s="287"/>
      <c r="AV267" s="287"/>
      <c r="AW267" s="287"/>
      <c r="AX267" s="287"/>
      <c r="AY267" s="287"/>
      <c r="AZ267" s="287"/>
      <c r="BA267" s="287"/>
      <c r="BB267" s="287"/>
      <c r="BC267" s="287"/>
    </row>
    <row r="268" ht="15.75" customHeight="1">
      <c r="A268" s="287"/>
      <c r="B268" s="287"/>
      <c r="C268" s="287"/>
      <c r="D268" s="287"/>
      <c r="E268" s="287"/>
      <c r="F268" s="287"/>
      <c r="G268" s="287"/>
      <c r="H268" s="287"/>
      <c r="I268" s="287"/>
      <c r="J268" s="287"/>
      <c r="K268" s="287"/>
      <c r="L268" s="287"/>
      <c r="M268" s="287"/>
      <c r="N268" s="287"/>
      <c r="O268" s="287"/>
      <c r="P268" s="287"/>
      <c r="Q268" s="287"/>
      <c r="R268" s="287"/>
      <c r="S268" s="287"/>
      <c r="T268" s="287"/>
      <c r="U268" s="287"/>
      <c r="V268" s="287"/>
      <c r="W268" s="287"/>
      <c r="X268" s="287"/>
      <c r="Y268" s="287"/>
      <c r="Z268" s="287"/>
      <c r="AA268" s="287"/>
      <c r="AB268" s="287"/>
      <c r="AC268" s="287"/>
      <c r="AD268" s="287"/>
      <c r="AE268" s="287"/>
      <c r="AF268" s="287"/>
      <c r="AG268" s="287"/>
      <c r="AH268" s="287"/>
      <c r="AI268" s="287"/>
      <c r="AJ268" s="287"/>
      <c r="AK268" s="287"/>
      <c r="AL268" s="287"/>
      <c r="AM268" s="287"/>
      <c r="AN268" s="287"/>
      <c r="AO268" s="287"/>
      <c r="AP268" s="287"/>
      <c r="AQ268" s="287"/>
      <c r="AR268" s="287"/>
      <c r="AS268" s="287"/>
      <c r="AT268" s="287"/>
      <c r="AU268" s="287"/>
      <c r="AV268" s="287"/>
      <c r="AW268" s="287"/>
      <c r="AX268" s="287"/>
      <c r="AY268" s="287"/>
      <c r="AZ268" s="287"/>
      <c r="BA268" s="287"/>
      <c r="BB268" s="287"/>
      <c r="BC268" s="287"/>
    </row>
    <row r="269" ht="15.75" customHeight="1">
      <c r="A269" s="287"/>
      <c r="B269" s="287"/>
      <c r="C269" s="287"/>
      <c r="D269" s="287"/>
      <c r="E269" s="287"/>
      <c r="F269" s="287"/>
      <c r="G269" s="287"/>
      <c r="H269" s="287"/>
      <c r="I269" s="287"/>
      <c r="J269" s="287"/>
      <c r="K269" s="287"/>
      <c r="L269" s="287"/>
      <c r="M269" s="287"/>
      <c r="N269" s="287"/>
      <c r="O269" s="287"/>
      <c r="P269" s="287"/>
      <c r="Q269" s="287"/>
      <c r="R269" s="287"/>
      <c r="S269" s="287"/>
      <c r="T269" s="287"/>
      <c r="U269" s="287"/>
      <c r="V269" s="287"/>
      <c r="W269" s="287"/>
      <c r="X269" s="287"/>
      <c r="Y269" s="287"/>
      <c r="Z269" s="287"/>
      <c r="AA269" s="287"/>
      <c r="AB269" s="287"/>
      <c r="AC269" s="287"/>
      <c r="AD269" s="287"/>
      <c r="AE269" s="287"/>
      <c r="AF269" s="287"/>
      <c r="AG269" s="287"/>
      <c r="AH269" s="287"/>
      <c r="AI269" s="287"/>
      <c r="AJ269" s="287"/>
      <c r="AK269" s="287"/>
      <c r="AL269" s="287"/>
      <c r="AM269" s="287"/>
      <c r="AN269" s="287"/>
      <c r="AO269" s="287"/>
      <c r="AP269" s="287"/>
      <c r="AQ269" s="287"/>
      <c r="AR269" s="287"/>
      <c r="AS269" s="287"/>
      <c r="AT269" s="287"/>
      <c r="AU269" s="287"/>
      <c r="AV269" s="287"/>
      <c r="AW269" s="287"/>
      <c r="AX269" s="287"/>
      <c r="AY269" s="287"/>
      <c r="AZ269" s="287"/>
      <c r="BA269" s="287"/>
      <c r="BB269" s="287"/>
      <c r="BC269" s="287"/>
    </row>
    <row r="270" ht="15.75" customHeight="1">
      <c r="A270" s="287"/>
      <c r="B270" s="287"/>
      <c r="C270" s="287"/>
      <c r="D270" s="287"/>
      <c r="E270" s="287"/>
      <c r="F270" s="287"/>
      <c r="G270" s="287"/>
      <c r="H270" s="287"/>
      <c r="I270" s="287"/>
      <c r="J270" s="287"/>
      <c r="K270" s="287"/>
      <c r="L270" s="287"/>
      <c r="M270" s="287"/>
      <c r="N270" s="287"/>
      <c r="O270" s="287"/>
      <c r="P270" s="287"/>
      <c r="Q270" s="287"/>
      <c r="R270" s="287"/>
      <c r="S270" s="287"/>
      <c r="T270" s="287"/>
      <c r="U270" s="287"/>
      <c r="V270" s="287"/>
      <c r="W270" s="287"/>
      <c r="X270" s="287"/>
      <c r="Y270" s="287"/>
      <c r="Z270" s="287"/>
      <c r="AA270" s="287"/>
      <c r="AB270" s="287"/>
      <c r="AC270" s="287"/>
      <c r="AD270" s="287"/>
      <c r="AE270" s="287"/>
      <c r="AF270" s="287"/>
      <c r="AG270" s="287"/>
      <c r="AH270" s="287"/>
      <c r="AI270" s="287"/>
      <c r="AJ270" s="287"/>
      <c r="AK270" s="287"/>
      <c r="AL270" s="287"/>
      <c r="AM270" s="287"/>
      <c r="AN270" s="287"/>
      <c r="AO270" s="287"/>
      <c r="AP270" s="287"/>
      <c r="AQ270" s="287"/>
      <c r="AR270" s="287"/>
      <c r="AS270" s="287"/>
      <c r="AT270" s="287"/>
      <c r="AU270" s="287"/>
      <c r="AV270" s="287"/>
      <c r="AW270" s="287"/>
      <c r="AX270" s="287"/>
      <c r="AY270" s="287"/>
      <c r="AZ270" s="287"/>
      <c r="BA270" s="287"/>
      <c r="BB270" s="287"/>
      <c r="BC270" s="287"/>
    </row>
    <row r="271" ht="15.75" customHeight="1">
      <c r="A271" s="287"/>
      <c r="B271" s="287"/>
      <c r="C271" s="287"/>
      <c r="D271" s="287"/>
      <c r="E271" s="287"/>
      <c r="F271" s="287"/>
      <c r="G271" s="287"/>
      <c r="H271" s="287"/>
      <c r="I271" s="287"/>
      <c r="J271" s="287"/>
      <c r="K271" s="287"/>
      <c r="L271" s="287"/>
      <c r="M271" s="287"/>
      <c r="N271" s="287"/>
      <c r="O271" s="287"/>
      <c r="P271" s="287"/>
      <c r="Q271" s="287"/>
      <c r="R271" s="287"/>
      <c r="S271" s="287"/>
      <c r="T271" s="287"/>
      <c r="U271" s="287"/>
      <c r="V271" s="287"/>
      <c r="W271" s="287"/>
      <c r="X271" s="287"/>
      <c r="Y271" s="287"/>
      <c r="Z271" s="287"/>
      <c r="AA271" s="287"/>
      <c r="AB271" s="287"/>
      <c r="AC271" s="287"/>
      <c r="AD271" s="287"/>
      <c r="AE271" s="287"/>
      <c r="AF271" s="287"/>
      <c r="AG271" s="287"/>
      <c r="AH271" s="287"/>
      <c r="AI271" s="287"/>
      <c r="AJ271" s="287"/>
      <c r="AK271" s="287"/>
      <c r="AL271" s="287"/>
      <c r="AM271" s="287"/>
      <c r="AN271" s="287"/>
      <c r="AO271" s="287"/>
      <c r="AP271" s="287"/>
      <c r="AQ271" s="287"/>
      <c r="AR271" s="287"/>
      <c r="AS271" s="287"/>
      <c r="AT271" s="287"/>
      <c r="AU271" s="287"/>
      <c r="AV271" s="287"/>
      <c r="AW271" s="287"/>
      <c r="AX271" s="287"/>
      <c r="AY271" s="287"/>
      <c r="AZ271" s="287"/>
      <c r="BA271" s="287"/>
      <c r="BB271" s="287"/>
      <c r="BC271" s="287"/>
    </row>
    <row r="272" ht="15.75" customHeight="1">
      <c r="A272" s="287"/>
      <c r="B272" s="287"/>
      <c r="C272" s="287"/>
      <c r="D272" s="287"/>
      <c r="E272" s="287"/>
      <c r="F272" s="287"/>
      <c r="G272" s="287"/>
      <c r="H272" s="287"/>
      <c r="I272" s="287"/>
      <c r="J272" s="287"/>
      <c r="K272" s="287"/>
      <c r="L272" s="287"/>
      <c r="M272" s="287"/>
      <c r="N272" s="287"/>
      <c r="O272" s="287"/>
      <c r="P272" s="287"/>
      <c r="Q272" s="287"/>
      <c r="R272" s="287"/>
      <c r="S272" s="287"/>
      <c r="T272" s="287"/>
      <c r="U272" s="287"/>
      <c r="V272" s="287"/>
      <c r="W272" s="287"/>
      <c r="X272" s="287"/>
      <c r="Y272" s="287"/>
      <c r="Z272" s="287"/>
      <c r="AA272" s="287"/>
      <c r="AB272" s="287"/>
      <c r="AC272" s="287"/>
      <c r="AD272" s="287"/>
      <c r="AE272" s="287"/>
      <c r="AF272" s="287"/>
      <c r="AG272" s="287"/>
      <c r="AH272" s="287"/>
      <c r="AI272" s="287"/>
      <c r="AJ272" s="287"/>
      <c r="AK272" s="287"/>
      <c r="AL272" s="287"/>
      <c r="AM272" s="287"/>
      <c r="AN272" s="287"/>
      <c r="AO272" s="287"/>
      <c r="AP272" s="287"/>
      <c r="AQ272" s="287"/>
      <c r="AR272" s="287"/>
      <c r="AS272" s="287"/>
      <c r="AT272" s="287"/>
      <c r="AU272" s="287"/>
      <c r="AV272" s="287"/>
      <c r="AW272" s="287"/>
      <c r="AX272" s="287"/>
      <c r="AY272" s="287"/>
      <c r="AZ272" s="287"/>
      <c r="BA272" s="287"/>
      <c r="BB272" s="287"/>
      <c r="BC272" s="287"/>
    </row>
    <row r="273" ht="15.75" customHeight="1">
      <c r="A273" s="287"/>
      <c r="B273" s="287"/>
      <c r="C273" s="287"/>
      <c r="D273" s="287"/>
      <c r="E273" s="287"/>
      <c r="F273" s="287"/>
      <c r="G273" s="287"/>
      <c r="H273" s="287"/>
      <c r="I273" s="287"/>
      <c r="J273" s="287"/>
      <c r="K273" s="287"/>
      <c r="L273" s="287"/>
      <c r="M273" s="287"/>
      <c r="N273" s="287"/>
      <c r="O273" s="287"/>
      <c r="P273" s="287"/>
      <c r="Q273" s="287"/>
      <c r="R273" s="287"/>
      <c r="S273" s="287"/>
      <c r="T273" s="287"/>
      <c r="U273" s="287"/>
      <c r="V273" s="287"/>
      <c r="W273" s="287"/>
      <c r="X273" s="287"/>
      <c r="Y273" s="287"/>
      <c r="Z273" s="287"/>
      <c r="AA273" s="287"/>
      <c r="AB273" s="287"/>
      <c r="AC273" s="287"/>
      <c r="AD273" s="287"/>
      <c r="AE273" s="287"/>
      <c r="AF273" s="287"/>
      <c r="AG273" s="287"/>
      <c r="AH273" s="287"/>
      <c r="AI273" s="287"/>
      <c r="AJ273" s="287"/>
      <c r="AK273" s="287"/>
      <c r="AL273" s="287"/>
      <c r="AM273" s="287"/>
      <c r="AN273" s="287"/>
      <c r="AO273" s="287"/>
      <c r="AP273" s="287"/>
      <c r="AQ273" s="287"/>
      <c r="AR273" s="287"/>
      <c r="AS273" s="287"/>
      <c r="AT273" s="287"/>
      <c r="AU273" s="287"/>
      <c r="AV273" s="287"/>
      <c r="AW273" s="287"/>
      <c r="AX273" s="287"/>
      <c r="AY273" s="287"/>
      <c r="AZ273" s="287"/>
      <c r="BA273" s="287"/>
      <c r="BB273" s="287"/>
      <c r="BC273" s="287"/>
    </row>
    <row r="274" ht="15.75" customHeight="1">
      <c r="A274" s="287"/>
      <c r="B274" s="287"/>
      <c r="C274" s="287"/>
      <c r="D274" s="287"/>
      <c r="E274" s="287"/>
      <c r="F274" s="287"/>
      <c r="G274" s="287"/>
      <c r="H274" s="287"/>
      <c r="I274" s="287"/>
      <c r="J274" s="287"/>
      <c r="K274" s="287"/>
      <c r="L274" s="287"/>
      <c r="M274" s="287"/>
      <c r="N274" s="287"/>
      <c r="O274" s="287"/>
      <c r="P274" s="287"/>
      <c r="Q274" s="287"/>
      <c r="R274" s="287"/>
      <c r="S274" s="287"/>
      <c r="T274" s="287"/>
      <c r="U274" s="287"/>
      <c r="V274" s="287"/>
      <c r="W274" s="287"/>
      <c r="X274" s="287"/>
      <c r="Y274" s="287"/>
      <c r="Z274" s="287"/>
      <c r="AA274" s="287"/>
      <c r="AB274" s="287"/>
      <c r="AC274" s="287"/>
      <c r="AD274" s="287"/>
      <c r="AE274" s="287"/>
      <c r="AF274" s="287"/>
      <c r="AG274" s="287"/>
      <c r="AH274" s="287"/>
      <c r="AI274" s="287"/>
      <c r="AJ274" s="287"/>
      <c r="AK274" s="287"/>
      <c r="AL274" s="287"/>
      <c r="AM274" s="287"/>
      <c r="AN274" s="287"/>
      <c r="AO274" s="287"/>
      <c r="AP274" s="287"/>
      <c r="AQ274" s="287"/>
      <c r="AR274" s="287"/>
      <c r="AS274" s="287"/>
      <c r="AT274" s="287"/>
      <c r="AU274" s="287"/>
      <c r="AV274" s="287"/>
      <c r="AW274" s="287"/>
      <c r="AX274" s="287"/>
      <c r="AY274" s="287"/>
      <c r="AZ274" s="287"/>
      <c r="BA274" s="287"/>
      <c r="BB274" s="287"/>
      <c r="BC274" s="287"/>
    </row>
    <row r="275" ht="15.75" customHeight="1">
      <c r="A275" s="287"/>
      <c r="B275" s="287"/>
      <c r="C275" s="287"/>
      <c r="D275" s="287"/>
      <c r="E275" s="287"/>
      <c r="F275" s="287"/>
      <c r="G275" s="287"/>
      <c r="H275" s="287"/>
      <c r="I275" s="287"/>
      <c r="J275" s="287"/>
      <c r="K275" s="287"/>
      <c r="L275" s="287"/>
      <c r="M275" s="287"/>
      <c r="N275" s="287"/>
      <c r="O275" s="287"/>
      <c r="P275" s="287"/>
      <c r="Q275" s="287"/>
      <c r="R275" s="287"/>
      <c r="S275" s="287"/>
      <c r="T275" s="287"/>
      <c r="U275" s="287"/>
      <c r="V275" s="287"/>
      <c r="W275" s="287"/>
      <c r="X275" s="287"/>
      <c r="Y275" s="287"/>
      <c r="Z275" s="287"/>
      <c r="AA275" s="287"/>
      <c r="AB275" s="287"/>
      <c r="AC275" s="287"/>
      <c r="AD275" s="287"/>
      <c r="AE275" s="287"/>
      <c r="AF275" s="287"/>
      <c r="AG275" s="287"/>
      <c r="AH275" s="287"/>
      <c r="AI275" s="287"/>
      <c r="AJ275" s="287"/>
      <c r="AK275" s="287"/>
      <c r="AL275" s="287"/>
      <c r="AM275" s="287"/>
      <c r="AN275" s="287"/>
      <c r="AO275" s="287"/>
      <c r="AP275" s="287"/>
      <c r="AQ275" s="287"/>
      <c r="AR275" s="287"/>
      <c r="AS275" s="287"/>
      <c r="AT275" s="287"/>
      <c r="AU275" s="287"/>
      <c r="AV275" s="287"/>
      <c r="AW275" s="287"/>
      <c r="AX275" s="287"/>
      <c r="AY275" s="287"/>
      <c r="AZ275" s="287"/>
      <c r="BA275" s="287"/>
      <c r="BB275" s="287"/>
      <c r="BC275" s="287"/>
    </row>
    <row r="276" ht="15.75" customHeight="1">
      <c r="A276" s="287"/>
      <c r="B276" s="287"/>
      <c r="C276" s="287"/>
      <c r="D276" s="287"/>
      <c r="E276" s="287"/>
      <c r="F276" s="287"/>
      <c r="G276" s="287"/>
      <c r="H276" s="287"/>
      <c r="I276" s="287"/>
      <c r="J276" s="287"/>
      <c r="K276" s="287"/>
      <c r="L276" s="287"/>
      <c r="M276" s="287"/>
      <c r="N276" s="287"/>
      <c r="O276" s="287"/>
      <c r="P276" s="287"/>
      <c r="Q276" s="287"/>
      <c r="R276" s="287"/>
      <c r="S276" s="287"/>
      <c r="T276" s="287"/>
      <c r="U276" s="287"/>
      <c r="V276" s="287"/>
      <c r="W276" s="287"/>
      <c r="X276" s="287"/>
      <c r="Y276" s="287"/>
      <c r="Z276" s="287"/>
      <c r="AA276" s="287"/>
      <c r="AB276" s="287"/>
      <c r="AC276" s="287"/>
      <c r="AD276" s="287"/>
      <c r="AE276" s="287"/>
      <c r="AF276" s="287"/>
      <c r="AG276" s="287"/>
      <c r="AH276" s="287"/>
      <c r="AI276" s="287"/>
      <c r="AJ276" s="287"/>
      <c r="AK276" s="287"/>
      <c r="AL276" s="287"/>
      <c r="AM276" s="287"/>
      <c r="AN276" s="287"/>
      <c r="AO276" s="287"/>
      <c r="AP276" s="287"/>
      <c r="AQ276" s="287"/>
      <c r="AR276" s="287"/>
      <c r="AS276" s="287"/>
      <c r="AT276" s="287"/>
      <c r="AU276" s="287"/>
      <c r="AV276" s="287"/>
      <c r="AW276" s="287"/>
      <c r="AX276" s="287"/>
      <c r="AY276" s="287"/>
      <c r="AZ276" s="287"/>
      <c r="BA276" s="287"/>
      <c r="BB276" s="287"/>
      <c r="BC276" s="287"/>
    </row>
    <row r="277" ht="15.75" customHeight="1">
      <c r="A277" s="287"/>
      <c r="B277" s="287"/>
      <c r="C277" s="287"/>
      <c r="D277" s="287"/>
      <c r="E277" s="287"/>
      <c r="F277" s="287"/>
      <c r="G277" s="287"/>
      <c r="H277" s="287"/>
      <c r="I277" s="287"/>
      <c r="J277" s="287"/>
      <c r="K277" s="287"/>
      <c r="L277" s="287"/>
      <c r="M277" s="287"/>
      <c r="N277" s="287"/>
      <c r="O277" s="287"/>
      <c r="P277" s="287"/>
      <c r="Q277" s="287"/>
      <c r="R277" s="287"/>
      <c r="S277" s="287"/>
      <c r="T277" s="287"/>
      <c r="U277" s="287"/>
      <c r="V277" s="287"/>
      <c r="W277" s="287"/>
      <c r="X277" s="287"/>
      <c r="Y277" s="287"/>
      <c r="Z277" s="287"/>
      <c r="AA277" s="287"/>
      <c r="AB277" s="287"/>
      <c r="AC277" s="287"/>
      <c r="AD277" s="287"/>
      <c r="AE277" s="287"/>
      <c r="AF277" s="287"/>
      <c r="AG277" s="287"/>
      <c r="AH277" s="287"/>
      <c r="AI277" s="287"/>
      <c r="AJ277" s="287"/>
      <c r="AK277" s="287"/>
      <c r="AL277" s="287"/>
      <c r="AM277" s="287"/>
      <c r="AN277" s="287"/>
      <c r="AO277" s="287"/>
      <c r="AP277" s="287"/>
      <c r="AQ277" s="287"/>
      <c r="AR277" s="287"/>
      <c r="AS277" s="287"/>
      <c r="AT277" s="287"/>
      <c r="AU277" s="287"/>
      <c r="AV277" s="287"/>
      <c r="AW277" s="287"/>
      <c r="AX277" s="287"/>
      <c r="AY277" s="287"/>
      <c r="AZ277" s="287"/>
      <c r="BA277" s="287"/>
      <c r="BB277" s="287"/>
      <c r="BC277" s="287"/>
    </row>
    <row r="278" ht="15.75" customHeight="1">
      <c r="A278" s="287"/>
      <c r="B278" s="287"/>
      <c r="C278" s="287"/>
      <c r="D278" s="287"/>
      <c r="E278" s="287"/>
      <c r="F278" s="287"/>
      <c r="G278" s="287"/>
      <c r="H278" s="287"/>
      <c r="I278" s="287"/>
      <c r="J278" s="287"/>
      <c r="K278" s="287"/>
      <c r="L278" s="287"/>
      <c r="M278" s="287"/>
      <c r="N278" s="287"/>
      <c r="O278" s="287"/>
      <c r="P278" s="287"/>
      <c r="Q278" s="287"/>
      <c r="R278" s="287"/>
      <c r="S278" s="287"/>
      <c r="T278" s="287"/>
      <c r="U278" s="287"/>
      <c r="V278" s="287"/>
      <c r="W278" s="287"/>
      <c r="X278" s="287"/>
      <c r="Y278" s="287"/>
      <c r="Z278" s="287"/>
      <c r="AA278" s="287"/>
      <c r="AB278" s="287"/>
      <c r="AC278" s="287"/>
      <c r="AD278" s="287"/>
      <c r="AE278" s="287"/>
      <c r="AF278" s="287"/>
      <c r="AG278" s="287"/>
      <c r="AH278" s="287"/>
      <c r="AI278" s="287"/>
      <c r="AJ278" s="287"/>
      <c r="AK278" s="287"/>
      <c r="AL278" s="287"/>
      <c r="AM278" s="287"/>
      <c r="AN278" s="287"/>
      <c r="AO278" s="287"/>
      <c r="AP278" s="287"/>
      <c r="AQ278" s="287"/>
      <c r="AR278" s="287"/>
      <c r="AS278" s="287"/>
      <c r="AT278" s="287"/>
      <c r="AU278" s="287"/>
      <c r="AV278" s="287"/>
      <c r="AW278" s="287"/>
      <c r="AX278" s="287"/>
      <c r="AY278" s="287"/>
      <c r="AZ278" s="287"/>
      <c r="BA278" s="287"/>
      <c r="BB278" s="287"/>
      <c r="BC278" s="287"/>
    </row>
    <row r="279" ht="15.75" customHeight="1">
      <c r="A279" s="287"/>
      <c r="B279" s="287"/>
      <c r="C279" s="287"/>
      <c r="D279" s="287"/>
      <c r="E279" s="287"/>
      <c r="F279" s="287"/>
      <c r="G279" s="287"/>
      <c r="H279" s="287"/>
      <c r="I279" s="287"/>
      <c r="J279" s="287"/>
      <c r="K279" s="287"/>
      <c r="L279" s="287"/>
      <c r="M279" s="287"/>
      <c r="N279" s="287"/>
      <c r="O279" s="287"/>
      <c r="P279" s="287"/>
      <c r="Q279" s="287"/>
      <c r="R279" s="287"/>
      <c r="S279" s="287"/>
      <c r="T279" s="287"/>
      <c r="U279" s="287"/>
      <c r="V279" s="287"/>
      <c r="W279" s="287"/>
      <c r="X279" s="287"/>
      <c r="Y279" s="287"/>
      <c r="Z279" s="287"/>
      <c r="AA279" s="287"/>
      <c r="AB279" s="287"/>
      <c r="AC279" s="287"/>
      <c r="AD279" s="287"/>
      <c r="AE279" s="287"/>
      <c r="AF279" s="287"/>
      <c r="AG279" s="287"/>
      <c r="AH279" s="287"/>
      <c r="AI279" s="287"/>
      <c r="AJ279" s="287"/>
      <c r="AK279" s="287"/>
      <c r="AL279" s="287"/>
      <c r="AM279" s="287"/>
      <c r="AN279" s="287"/>
      <c r="AO279" s="287"/>
      <c r="AP279" s="287"/>
      <c r="AQ279" s="287"/>
      <c r="AR279" s="287"/>
      <c r="AS279" s="287"/>
      <c r="AT279" s="287"/>
      <c r="AU279" s="287"/>
      <c r="AV279" s="287"/>
      <c r="AW279" s="287"/>
      <c r="AX279" s="287"/>
      <c r="AY279" s="287"/>
      <c r="AZ279" s="287"/>
      <c r="BA279" s="287"/>
      <c r="BB279" s="287"/>
      <c r="BC279" s="287"/>
    </row>
    <row r="280" ht="15.75" customHeight="1">
      <c r="A280" s="287"/>
      <c r="B280" s="287"/>
      <c r="C280" s="287"/>
      <c r="D280" s="287"/>
      <c r="E280" s="287"/>
      <c r="F280" s="287"/>
      <c r="G280" s="287"/>
      <c r="H280" s="287"/>
      <c r="I280" s="287"/>
      <c r="J280" s="287"/>
      <c r="K280" s="287"/>
      <c r="L280" s="287"/>
      <c r="M280" s="287"/>
      <c r="N280" s="287"/>
      <c r="O280" s="287"/>
      <c r="P280" s="287"/>
      <c r="Q280" s="287"/>
      <c r="R280" s="287"/>
      <c r="S280" s="287"/>
      <c r="T280" s="287"/>
      <c r="U280" s="287"/>
      <c r="V280" s="287"/>
      <c r="W280" s="287"/>
      <c r="X280" s="287"/>
      <c r="Y280" s="287"/>
      <c r="Z280" s="287"/>
      <c r="AA280" s="287"/>
      <c r="AB280" s="287"/>
      <c r="AC280" s="287"/>
      <c r="AD280" s="287"/>
      <c r="AE280" s="287"/>
      <c r="AF280" s="287"/>
      <c r="AG280" s="287"/>
      <c r="AH280" s="287"/>
      <c r="AI280" s="287"/>
      <c r="AJ280" s="287"/>
      <c r="AK280" s="287"/>
      <c r="AL280" s="287"/>
      <c r="AM280" s="287"/>
      <c r="AN280" s="287"/>
      <c r="AO280" s="287"/>
      <c r="AP280" s="287"/>
      <c r="AQ280" s="287"/>
      <c r="AR280" s="287"/>
      <c r="AS280" s="287"/>
      <c r="AT280" s="287"/>
      <c r="AU280" s="287"/>
      <c r="AV280" s="287"/>
      <c r="AW280" s="287"/>
      <c r="AX280" s="287"/>
      <c r="AY280" s="287"/>
      <c r="AZ280" s="287"/>
      <c r="BA280" s="287"/>
      <c r="BB280" s="287"/>
      <c r="BC280" s="287"/>
    </row>
    <row r="281" ht="15.75" customHeight="1">
      <c r="A281" s="287"/>
      <c r="B281" s="287"/>
      <c r="C281" s="287"/>
      <c r="D281" s="287"/>
      <c r="E281" s="287"/>
      <c r="F281" s="287"/>
      <c r="G281" s="287"/>
      <c r="H281" s="287"/>
      <c r="I281" s="287"/>
      <c r="J281" s="287"/>
      <c r="K281" s="287"/>
      <c r="L281" s="287"/>
      <c r="M281" s="287"/>
      <c r="N281" s="287"/>
      <c r="O281" s="287"/>
      <c r="P281" s="287"/>
      <c r="Q281" s="287"/>
      <c r="R281" s="287"/>
      <c r="S281" s="287"/>
      <c r="T281" s="287"/>
      <c r="U281" s="287"/>
      <c r="V281" s="287"/>
      <c r="W281" s="287"/>
      <c r="X281" s="287"/>
      <c r="Y281" s="287"/>
      <c r="Z281" s="287"/>
      <c r="AA281" s="287"/>
      <c r="AB281" s="287"/>
      <c r="AC281" s="287"/>
      <c r="AD281" s="287"/>
      <c r="AE281" s="287"/>
      <c r="AF281" s="287"/>
      <c r="AG281" s="287"/>
      <c r="AH281" s="287"/>
      <c r="AI281" s="287"/>
      <c r="AJ281" s="287"/>
      <c r="AK281" s="287"/>
      <c r="AL281" s="287"/>
      <c r="AM281" s="287"/>
      <c r="AN281" s="287"/>
      <c r="AO281" s="287"/>
      <c r="AP281" s="287"/>
      <c r="AQ281" s="287"/>
      <c r="AR281" s="287"/>
      <c r="AS281" s="287"/>
      <c r="AT281" s="287"/>
      <c r="AU281" s="287"/>
      <c r="AV281" s="287"/>
      <c r="AW281" s="287"/>
      <c r="AX281" s="287"/>
      <c r="AY281" s="287"/>
      <c r="AZ281" s="287"/>
      <c r="BA281" s="287"/>
      <c r="BB281" s="287"/>
      <c r="BC281" s="287"/>
    </row>
    <row r="282" ht="15.75" customHeight="1">
      <c r="A282" s="287"/>
      <c r="B282" s="287"/>
      <c r="C282" s="287"/>
      <c r="D282" s="287"/>
      <c r="E282" s="287"/>
      <c r="F282" s="287"/>
      <c r="G282" s="287"/>
      <c r="H282" s="287"/>
      <c r="I282" s="287"/>
      <c r="J282" s="287"/>
      <c r="K282" s="287"/>
      <c r="L282" s="287"/>
      <c r="M282" s="287"/>
      <c r="N282" s="287"/>
      <c r="O282" s="287"/>
      <c r="P282" s="287"/>
      <c r="Q282" s="287"/>
      <c r="R282" s="287"/>
      <c r="S282" s="287"/>
      <c r="T282" s="287"/>
      <c r="U282" s="287"/>
      <c r="V282" s="287"/>
      <c r="W282" s="287"/>
      <c r="X282" s="287"/>
      <c r="Y282" s="287"/>
      <c r="Z282" s="287"/>
      <c r="AA282" s="287"/>
      <c r="AB282" s="287"/>
      <c r="AC282" s="287"/>
      <c r="AD282" s="287"/>
      <c r="AE282" s="287"/>
      <c r="AF282" s="287"/>
      <c r="AG282" s="287"/>
      <c r="AH282" s="287"/>
      <c r="AI282" s="287"/>
      <c r="AJ282" s="287"/>
      <c r="AK282" s="287"/>
      <c r="AL282" s="287"/>
      <c r="AM282" s="287"/>
      <c r="AN282" s="287"/>
      <c r="AO282" s="287"/>
      <c r="AP282" s="287"/>
      <c r="AQ282" s="287"/>
      <c r="AR282" s="287"/>
      <c r="AS282" s="287"/>
      <c r="AT282" s="287"/>
      <c r="AU282" s="287"/>
      <c r="AV282" s="287"/>
      <c r="AW282" s="287"/>
      <c r="AX282" s="287"/>
      <c r="AY282" s="287"/>
      <c r="AZ282" s="287"/>
      <c r="BA282" s="287"/>
      <c r="BB282" s="287"/>
      <c r="BC282" s="287"/>
    </row>
    <row r="283" ht="15.75" customHeight="1">
      <c r="A283" s="287"/>
      <c r="B283" s="287"/>
      <c r="C283" s="287"/>
      <c r="D283" s="287"/>
      <c r="E283" s="287"/>
      <c r="F283" s="287"/>
      <c r="G283" s="287"/>
      <c r="H283" s="287"/>
      <c r="I283" s="287"/>
      <c r="J283" s="287"/>
      <c r="K283" s="287"/>
      <c r="L283" s="287"/>
      <c r="M283" s="287"/>
      <c r="N283" s="287"/>
      <c r="O283" s="287"/>
      <c r="P283" s="287"/>
      <c r="Q283" s="287"/>
      <c r="R283" s="287"/>
      <c r="S283" s="287"/>
      <c r="T283" s="287"/>
      <c r="U283" s="287"/>
      <c r="V283" s="287"/>
      <c r="W283" s="287"/>
      <c r="X283" s="287"/>
      <c r="Y283" s="287"/>
      <c r="Z283" s="287"/>
      <c r="AA283" s="287"/>
      <c r="AB283" s="287"/>
      <c r="AC283" s="287"/>
      <c r="AD283" s="287"/>
      <c r="AE283" s="287"/>
      <c r="AF283" s="287"/>
      <c r="AG283" s="287"/>
      <c r="AH283" s="287"/>
      <c r="AI283" s="287"/>
      <c r="AJ283" s="287"/>
      <c r="AK283" s="287"/>
      <c r="AL283" s="287"/>
      <c r="AM283" s="287"/>
      <c r="AN283" s="287"/>
      <c r="AO283" s="287"/>
      <c r="AP283" s="287"/>
      <c r="AQ283" s="287"/>
      <c r="AR283" s="287"/>
      <c r="AS283" s="287"/>
      <c r="AT283" s="287"/>
      <c r="AU283" s="287"/>
      <c r="AV283" s="287"/>
      <c r="AW283" s="287"/>
      <c r="AX283" s="287"/>
      <c r="AY283" s="287"/>
      <c r="AZ283" s="287"/>
      <c r="BA283" s="287"/>
      <c r="BB283" s="287"/>
      <c r="BC283" s="287"/>
    </row>
    <row r="284" ht="15.75" customHeight="1">
      <c r="A284" s="287"/>
      <c r="B284" s="287"/>
      <c r="C284" s="287"/>
      <c r="D284" s="287"/>
      <c r="E284" s="287"/>
      <c r="F284" s="287"/>
      <c r="G284" s="287"/>
      <c r="H284" s="287"/>
      <c r="I284" s="287"/>
      <c r="J284" s="287"/>
      <c r="K284" s="287"/>
      <c r="L284" s="287"/>
      <c r="M284" s="287"/>
      <c r="N284" s="287"/>
      <c r="O284" s="287"/>
      <c r="P284" s="287"/>
      <c r="Q284" s="287"/>
      <c r="R284" s="287"/>
      <c r="S284" s="287"/>
      <c r="T284" s="287"/>
      <c r="U284" s="287"/>
      <c r="V284" s="287"/>
      <c r="W284" s="287"/>
      <c r="X284" s="287"/>
      <c r="Y284" s="287"/>
      <c r="Z284" s="287"/>
      <c r="AA284" s="287"/>
      <c r="AB284" s="287"/>
      <c r="AC284" s="287"/>
      <c r="AD284" s="287"/>
      <c r="AE284" s="287"/>
      <c r="AF284" s="287"/>
      <c r="AG284" s="287"/>
      <c r="AH284" s="287"/>
      <c r="AI284" s="287"/>
      <c r="AJ284" s="287"/>
      <c r="AK284" s="287"/>
      <c r="AL284" s="287"/>
      <c r="AM284" s="287"/>
      <c r="AN284" s="287"/>
      <c r="AO284" s="287"/>
      <c r="AP284" s="287"/>
      <c r="AQ284" s="287"/>
      <c r="AR284" s="287"/>
      <c r="AS284" s="287"/>
      <c r="AT284" s="287"/>
      <c r="AU284" s="287"/>
      <c r="AV284" s="287"/>
      <c r="AW284" s="287"/>
      <c r="AX284" s="287"/>
      <c r="AY284" s="287"/>
      <c r="AZ284" s="287"/>
      <c r="BA284" s="287"/>
      <c r="BB284" s="287"/>
      <c r="BC284" s="287"/>
    </row>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sheetData>
  <mergeCells count="460">
    <mergeCell ref="M21:P21"/>
    <mergeCell ref="M22:P22"/>
    <mergeCell ref="M23:P23"/>
    <mergeCell ref="M24:P24"/>
    <mergeCell ref="M25:P25"/>
    <mergeCell ref="M26:P26"/>
    <mergeCell ref="M27:P27"/>
    <mergeCell ref="M35:P35"/>
    <mergeCell ref="M36:P36"/>
    <mergeCell ref="M28:P28"/>
    <mergeCell ref="M29:P29"/>
    <mergeCell ref="M30:P30"/>
    <mergeCell ref="M31:P31"/>
    <mergeCell ref="M32:P32"/>
    <mergeCell ref="M33:P33"/>
    <mergeCell ref="M34:P34"/>
    <mergeCell ref="B10:D10"/>
    <mergeCell ref="B11:D11"/>
    <mergeCell ref="E12:I12"/>
    <mergeCell ref="J12:K12"/>
    <mergeCell ref="L12:P12"/>
    <mergeCell ref="R12:U13"/>
    <mergeCell ref="V12:W13"/>
    <mergeCell ref="L13:P13"/>
    <mergeCell ref="J15:K15"/>
    <mergeCell ref="L15:P15"/>
    <mergeCell ref="E13:I13"/>
    <mergeCell ref="J13:K13"/>
    <mergeCell ref="E14:I14"/>
    <mergeCell ref="J14:K14"/>
    <mergeCell ref="L14:P14"/>
    <mergeCell ref="R14:U15"/>
    <mergeCell ref="V14:W15"/>
    <mergeCell ref="B15:D15"/>
    <mergeCell ref="E15:I15"/>
    <mergeCell ref="B17:N18"/>
    <mergeCell ref="O17:S18"/>
    <mergeCell ref="T17:W18"/>
    <mergeCell ref="X17:AB18"/>
    <mergeCell ref="AC17:AG18"/>
    <mergeCell ref="C19:F19"/>
    <mergeCell ref="M19:P19"/>
    <mergeCell ref="W19:Z19"/>
    <mergeCell ref="C20:F20"/>
    <mergeCell ref="M20:P20"/>
    <mergeCell ref="C21:F21"/>
    <mergeCell ref="W22:Z22"/>
    <mergeCell ref="W20:Z20"/>
    <mergeCell ref="W21:Z21"/>
    <mergeCell ref="W23:Z23"/>
    <mergeCell ref="W24:Z24"/>
    <mergeCell ref="W25:Z25"/>
    <mergeCell ref="W26:Z26"/>
    <mergeCell ref="W27:Z27"/>
    <mergeCell ref="W28:Z28"/>
    <mergeCell ref="W29:Z29"/>
    <mergeCell ref="W30:Z30"/>
    <mergeCell ref="W31:Z31"/>
    <mergeCell ref="W32:Z32"/>
    <mergeCell ref="W33:Z33"/>
    <mergeCell ref="W34:Z34"/>
    <mergeCell ref="B2:AS6"/>
    <mergeCell ref="AT2:AV3"/>
    <mergeCell ref="AW2:AY3"/>
    <mergeCell ref="AZ2:BB3"/>
    <mergeCell ref="AT4:AV6"/>
    <mergeCell ref="AW4:AY6"/>
    <mergeCell ref="AZ4:BB6"/>
    <mergeCell ref="X10:Y10"/>
    <mergeCell ref="Z10:AC11"/>
    <mergeCell ref="X11:Y11"/>
    <mergeCell ref="X12:Y12"/>
    <mergeCell ref="Z12:AC13"/>
    <mergeCell ref="X13:Y13"/>
    <mergeCell ref="AD10:AE11"/>
    <mergeCell ref="AF10:AG10"/>
    <mergeCell ref="AF11:AG11"/>
    <mergeCell ref="AD12:AE13"/>
    <mergeCell ref="AF12:AG12"/>
    <mergeCell ref="AF13:AG13"/>
    <mergeCell ref="B8:P9"/>
    <mergeCell ref="R8:AO9"/>
    <mergeCell ref="AQ8:BB9"/>
    <mergeCell ref="E10:P10"/>
    <mergeCell ref="R10:U11"/>
    <mergeCell ref="V10:W11"/>
    <mergeCell ref="AN10:AO10"/>
    <mergeCell ref="E11:P11"/>
    <mergeCell ref="B12:D12"/>
    <mergeCell ref="B13:D13"/>
    <mergeCell ref="B14:D14"/>
    <mergeCell ref="X14:Y14"/>
    <mergeCell ref="Z14:AC15"/>
    <mergeCell ref="AD14:AE15"/>
    <mergeCell ref="AF14:AG14"/>
    <mergeCell ref="X15:Y15"/>
    <mergeCell ref="AF15:AG15"/>
    <mergeCell ref="AN13:AO13"/>
    <mergeCell ref="AN14:AO14"/>
    <mergeCell ref="AY28:BB28"/>
    <mergeCell ref="AY29:BB29"/>
    <mergeCell ref="AQ26:AV26"/>
    <mergeCell ref="AW26:BB26"/>
    <mergeCell ref="AQ27:AT28"/>
    <mergeCell ref="AU27:AX28"/>
    <mergeCell ref="AY27:BB27"/>
    <mergeCell ref="AQ29:AT30"/>
    <mergeCell ref="AU29:AX30"/>
    <mergeCell ref="AY30:BB30"/>
    <mergeCell ref="C29:F29"/>
    <mergeCell ref="C30:F30"/>
    <mergeCell ref="C31:F31"/>
    <mergeCell ref="C32:F32"/>
    <mergeCell ref="C33:F33"/>
    <mergeCell ref="C34:F34"/>
    <mergeCell ref="C35:F35"/>
    <mergeCell ref="C36:F36"/>
    <mergeCell ref="C22:F22"/>
    <mergeCell ref="C23:F23"/>
    <mergeCell ref="C24:F24"/>
    <mergeCell ref="C25:F25"/>
    <mergeCell ref="C26:F26"/>
    <mergeCell ref="C27:F27"/>
    <mergeCell ref="C28:F28"/>
    <mergeCell ref="AG32:AJ32"/>
    <mergeCell ref="AG33:AJ33"/>
    <mergeCell ref="AG35:AJ35"/>
    <mergeCell ref="AG25:AJ25"/>
    <mergeCell ref="AG26:AJ26"/>
    <mergeCell ref="AG27:AJ27"/>
    <mergeCell ref="AG28:AJ28"/>
    <mergeCell ref="AG29:AJ29"/>
    <mergeCell ref="AG30:AJ30"/>
    <mergeCell ref="AG31:AJ31"/>
    <mergeCell ref="AU33:AV34"/>
    <mergeCell ref="AW33:AZ34"/>
    <mergeCell ref="AG34:AJ34"/>
    <mergeCell ref="AQ31:AT32"/>
    <mergeCell ref="AU31:AX32"/>
    <mergeCell ref="AY31:AZ31"/>
    <mergeCell ref="BA31:BB31"/>
    <mergeCell ref="AY32:AZ32"/>
    <mergeCell ref="BA32:BB32"/>
    <mergeCell ref="BA33:BB34"/>
    <mergeCell ref="AH12:AK13"/>
    <mergeCell ref="AH14:AK15"/>
    <mergeCell ref="AL14:AM15"/>
    <mergeCell ref="AH17:AK18"/>
    <mergeCell ref="AH10:AK11"/>
    <mergeCell ref="AL10:AM11"/>
    <mergeCell ref="AQ10:BB19"/>
    <mergeCell ref="AN11:AO11"/>
    <mergeCell ref="AL12:AM13"/>
    <mergeCell ref="AN12:AO12"/>
    <mergeCell ref="AN15:AO15"/>
    <mergeCell ref="AY25:AZ25"/>
    <mergeCell ref="BA25:BB25"/>
    <mergeCell ref="AL17:AO18"/>
    <mergeCell ref="AG19:AJ19"/>
    <mergeCell ref="AG20:AJ20"/>
    <mergeCell ref="AG21:AJ21"/>
    <mergeCell ref="AG22:AJ22"/>
    <mergeCell ref="AG23:AJ23"/>
    <mergeCell ref="AG24:AJ24"/>
    <mergeCell ref="AQ21:BB22"/>
    <mergeCell ref="AQ23:AV23"/>
    <mergeCell ref="AW23:BB23"/>
    <mergeCell ref="AQ24:AV24"/>
    <mergeCell ref="AW24:BB24"/>
    <mergeCell ref="AQ25:AV25"/>
    <mergeCell ref="AW25:AX25"/>
    <mergeCell ref="AQ40:BB40"/>
    <mergeCell ref="AQ41:BB41"/>
    <mergeCell ref="AQ42:BB42"/>
    <mergeCell ref="AQ43:BB43"/>
    <mergeCell ref="AQ33:AT34"/>
    <mergeCell ref="AQ35:AT36"/>
    <mergeCell ref="AU35:AV36"/>
    <mergeCell ref="AW35:AZ36"/>
    <mergeCell ref="BA35:BB36"/>
    <mergeCell ref="AG36:AJ36"/>
    <mergeCell ref="AQ38:BB39"/>
    <mergeCell ref="S40:X40"/>
    <mergeCell ref="Y40:AB40"/>
    <mergeCell ref="S41:X41"/>
    <mergeCell ref="Y41:AB41"/>
    <mergeCell ref="AC40:AG40"/>
    <mergeCell ref="AH40:AK40"/>
    <mergeCell ref="AC41:AG41"/>
    <mergeCell ref="AH41:AK41"/>
    <mergeCell ref="AL41:AO41"/>
    <mergeCell ref="W35:Z35"/>
    <mergeCell ref="W36:Z36"/>
    <mergeCell ref="B38:AO39"/>
    <mergeCell ref="J40:L40"/>
    <mergeCell ref="M40:O40"/>
    <mergeCell ref="P40:R40"/>
    <mergeCell ref="AL40:AO40"/>
    <mergeCell ref="M42:O42"/>
    <mergeCell ref="P42:R42"/>
    <mergeCell ref="S42:X42"/>
    <mergeCell ref="Y42:AB42"/>
    <mergeCell ref="AC42:AG42"/>
    <mergeCell ref="AH42:AK42"/>
    <mergeCell ref="AL42:AO42"/>
    <mergeCell ref="B40:I40"/>
    <mergeCell ref="B41:I41"/>
    <mergeCell ref="J41:L41"/>
    <mergeCell ref="M41:O41"/>
    <mergeCell ref="P41:R41"/>
    <mergeCell ref="B42:I42"/>
    <mergeCell ref="J42:L42"/>
    <mergeCell ref="AH43:AK43"/>
    <mergeCell ref="AL43:AO43"/>
    <mergeCell ref="B43:I43"/>
    <mergeCell ref="J43:L43"/>
    <mergeCell ref="M43:O43"/>
    <mergeCell ref="P43:R43"/>
    <mergeCell ref="S43:X43"/>
    <mergeCell ref="Y43:AB43"/>
    <mergeCell ref="AC43:AG43"/>
    <mergeCell ref="Q58:U59"/>
    <mergeCell ref="V58:Z59"/>
    <mergeCell ref="Q60:U61"/>
    <mergeCell ref="G58:K59"/>
    <mergeCell ref="L58:P59"/>
    <mergeCell ref="B60:F61"/>
    <mergeCell ref="G60:K61"/>
    <mergeCell ref="L60:P61"/>
    <mergeCell ref="B66:R70"/>
    <mergeCell ref="B71:Q72"/>
    <mergeCell ref="B56:F57"/>
    <mergeCell ref="G56:K57"/>
    <mergeCell ref="L56:P57"/>
    <mergeCell ref="Q56:U57"/>
    <mergeCell ref="V56:Z57"/>
    <mergeCell ref="AA56:AE57"/>
    <mergeCell ref="B58:F59"/>
    <mergeCell ref="AA58:AE59"/>
    <mergeCell ref="AF58:AJ59"/>
    <mergeCell ref="AK58:AO59"/>
    <mergeCell ref="V60:AN60"/>
    <mergeCell ref="V61:AO61"/>
    <mergeCell ref="B63:BB64"/>
    <mergeCell ref="B65:R65"/>
    <mergeCell ref="W73:Z73"/>
    <mergeCell ref="AA73:AD73"/>
    <mergeCell ref="Z77:AK80"/>
    <mergeCell ref="AL77:AW80"/>
    <mergeCell ref="AY77:BB80"/>
    <mergeCell ref="S65:AI65"/>
    <mergeCell ref="AJ65:BB65"/>
    <mergeCell ref="S66:AI70"/>
    <mergeCell ref="AJ66:BB73"/>
    <mergeCell ref="W71:Z72"/>
    <mergeCell ref="AA71:AD72"/>
    <mergeCell ref="AE71:AI72"/>
    <mergeCell ref="AE73:AI73"/>
    <mergeCell ref="B73:R73"/>
    <mergeCell ref="B75:M76"/>
    <mergeCell ref="N75:Y76"/>
    <mergeCell ref="Z75:AK76"/>
    <mergeCell ref="AL75:AW76"/>
    <mergeCell ref="AY75:BB76"/>
    <mergeCell ref="B84:E87"/>
    <mergeCell ref="F84:I87"/>
    <mergeCell ref="J84:M87"/>
    <mergeCell ref="N84:Q87"/>
    <mergeCell ref="R84:U87"/>
    <mergeCell ref="V84:Y87"/>
    <mergeCell ref="Z84:AC87"/>
    <mergeCell ref="A89:BC89"/>
    <mergeCell ref="A90:BC90"/>
    <mergeCell ref="A91:BC91"/>
    <mergeCell ref="A92:BC92"/>
    <mergeCell ref="A93:BC93"/>
    <mergeCell ref="A94:BC94"/>
    <mergeCell ref="A95:BC95"/>
    <mergeCell ref="AH47:AK47"/>
    <mergeCell ref="AL47:AO47"/>
    <mergeCell ref="AQ47:BB47"/>
    <mergeCell ref="B47:I47"/>
    <mergeCell ref="J47:L47"/>
    <mergeCell ref="M47:O47"/>
    <mergeCell ref="P47:R47"/>
    <mergeCell ref="S47:X47"/>
    <mergeCell ref="Y47:AB47"/>
    <mergeCell ref="AC47:AG47"/>
    <mergeCell ref="B48:T49"/>
    <mergeCell ref="V48:AN49"/>
    <mergeCell ref="AQ48:BB48"/>
    <mergeCell ref="B50:F51"/>
    <mergeCell ref="G50:K51"/>
    <mergeCell ref="L50:P51"/>
    <mergeCell ref="Q50:U51"/>
    <mergeCell ref="AF50:AJ51"/>
    <mergeCell ref="V50:Z51"/>
    <mergeCell ref="AA50:AE51"/>
    <mergeCell ref="G52:K53"/>
    <mergeCell ref="L52:P53"/>
    <mergeCell ref="Q52:U53"/>
    <mergeCell ref="V52:Z53"/>
    <mergeCell ref="AA52:AE53"/>
    <mergeCell ref="AQ49:BA54"/>
    <mergeCell ref="AQ55:BB58"/>
    <mergeCell ref="AQ59:BA59"/>
    <mergeCell ref="AQ60:BB60"/>
    <mergeCell ref="AQ61:AX61"/>
    <mergeCell ref="AY61:BB61"/>
    <mergeCell ref="AF56:AJ57"/>
    <mergeCell ref="AK56:AO57"/>
    <mergeCell ref="AH46:AK46"/>
    <mergeCell ref="AL46:AO46"/>
    <mergeCell ref="AQ46:BB46"/>
    <mergeCell ref="BB49:BB54"/>
    <mergeCell ref="AK50:AO51"/>
    <mergeCell ref="AF52:AJ53"/>
    <mergeCell ref="AK52:AO53"/>
    <mergeCell ref="AH44:AK44"/>
    <mergeCell ref="AL44:AO44"/>
    <mergeCell ref="AQ44:BB44"/>
    <mergeCell ref="B44:I44"/>
    <mergeCell ref="J44:L44"/>
    <mergeCell ref="M44:O44"/>
    <mergeCell ref="P44:R44"/>
    <mergeCell ref="S44:X44"/>
    <mergeCell ref="Y44:AB44"/>
    <mergeCell ref="AC44:AG44"/>
    <mergeCell ref="AH45:AK45"/>
    <mergeCell ref="AL45:AO45"/>
    <mergeCell ref="AQ45:BB45"/>
    <mergeCell ref="B45:I45"/>
    <mergeCell ref="J45:L45"/>
    <mergeCell ref="M45:O45"/>
    <mergeCell ref="P45:R45"/>
    <mergeCell ref="S45:X45"/>
    <mergeCell ref="Y45:AB45"/>
    <mergeCell ref="AC45:AG45"/>
    <mergeCell ref="B46:I46"/>
    <mergeCell ref="J46:L46"/>
    <mergeCell ref="M46:O46"/>
    <mergeCell ref="P46:R46"/>
    <mergeCell ref="S46:X46"/>
    <mergeCell ref="Y46:AB46"/>
    <mergeCell ref="AC46:AG46"/>
    <mergeCell ref="AF54:AJ55"/>
    <mergeCell ref="AK54:AO55"/>
    <mergeCell ref="B52:F53"/>
    <mergeCell ref="B54:F55"/>
    <mergeCell ref="G54:K55"/>
    <mergeCell ref="L54:P55"/>
    <mergeCell ref="Q54:U55"/>
    <mergeCell ref="V54:Z55"/>
    <mergeCell ref="AA54:AE55"/>
    <mergeCell ref="S71:V72"/>
    <mergeCell ref="S73:V73"/>
    <mergeCell ref="N77:Y80"/>
    <mergeCell ref="B77:M80"/>
    <mergeCell ref="B82:E83"/>
    <mergeCell ref="F82:I83"/>
    <mergeCell ref="J82:M83"/>
    <mergeCell ref="N82:Q83"/>
    <mergeCell ref="R82:U83"/>
    <mergeCell ref="V82:Y83"/>
    <mergeCell ref="Z82:AC83"/>
    <mergeCell ref="AD82:AG83"/>
    <mergeCell ref="AH82:AK83"/>
    <mergeCell ref="AL82:AO83"/>
    <mergeCell ref="AP82:AS83"/>
    <mergeCell ref="AT82:AW83"/>
    <mergeCell ref="AX82:BB83"/>
    <mergeCell ref="AD84:AG87"/>
    <mergeCell ref="AH84:AK87"/>
    <mergeCell ref="AL84:AO87"/>
    <mergeCell ref="AP84:AS87"/>
    <mergeCell ref="AT84:AW87"/>
    <mergeCell ref="AX84:BB87"/>
    <mergeCell ref="AX88:BB88"/>
    <mergeCell ref="A145:BC145"/>
    <mergeCell ref="A146:BC146"/>
    <mergeCell ref="A147:BC147"/>
    <mergeCell ref="A148:BC148"/>
    <mergeCell ref="A149:BC149"/>
    <mergeCell ref="A150:BC150"/>
    <mergeCell ref="A151:BC151"/>
    <mergeCell ref="A152:BC152"/>
    <mergeCell ref="A153:BC153"/>
    <mergeCell ref="A154:BC154"/>
    <mergeCell ref="A155:BC155"/>
    <mergeCell ref="A156:BC156"/>
    <mergeCell ref="A157:BC157"/>
    <mergeCell ref="A158:BC158"/>
    <mergeCell ref="A159:BC159"/>
    <mergeCell ref="A160:BC160"/>
    <mergeCell ref="A161:BC161"/>
    <mergeCell ref="A162:BC162"/>
    <mergeCell ref="A163:BC163"/>
    <mergeCell ref="A164:BC164"/>
    <mergeCell ref="A165:BC165"/>
    <mergeCell ref="A173:BC173"/>
    <mergeCell ref="A174:BC174"/>
    <mergeCell ref="A175:BC175"/>
    <mergeCell ref="A176:BC176"/>
    <mergeCell ref="A177:BC177"/>
    <mergeCell ref="A166:BC166"/>
    <mergeCell ref="A167:BC167"/>
    <mergeCell ref="A168:BC168"/>
    <mergeCell ref="A169:BC169"/>
    <mergeCell ref="A170:BC170"/>
    <mergeCell ref="A171:BC171"/>
    <mergeCell ref="A172:BC172"/>
    <mergeCell ref="A96:BC96"/>
    <mergeCell ref="A97:BC97"/>
    <mergeCell ref="A98:BC98"/>
    <mergeCell ref="A99:BC99"/>
    <mergeCell ref="A100:BC100"/>
    <mergeCell ref="A101:BC101"/>
    <mergeCell ref="A102:BC102"/>
    <mergeCell ref="A103:BC103"/>
    <mergeCell ref="A104:BC104"/>
    <mergeCell ref="A105:BC105"/>
    <mergeCell ref="A106:BC106"/>
    <mergeCell ref="A107:BC107"/>
    <mergeCell ref="A108:BC108"/>
    <mergeCell ref="A109:BC109"/>
    <mergeCell ref="A110:BC110"/>
    <mergeCell ref="A111:BC111"/>
    <mergeCell ref="A112:BC112"/>
    <mergeCell ref="A113:BC113"/>
    <mergeCell ref="A114:BC114"/>
    <mergeCell ref="A115:BC115"/>
    <mergeCell ref="A116:BC116"/>
    <mergeCell ref="A117:BC117"/>
    <mergeCell ref="A118:BC118"/>
    <mergeCell ref="A119:BC119"/>
    <mergeCell ref="A120:BC120"/>
    <mergeCell ref="A121:BC121"/>
    <mergeCell ref="A122:BC122"/>
    <mergeCell ref="A123:BC123"/>
    <mergeCell ref="A124:BC124"/>
    <mergeCell ref="A125:BC125"/>
    <mergeCell ref="A126:BC126"/>
    <mergeCell ref="A127:BC127"/>
    <mergeCell ref="A128:BC128"/>
    <mergeCell ref="A129:BC129"/>
    <mergeCell ref="A130:BC130"/>
    <mergeCell ref="A131:BC131"/>
    <mergeCell ref="A132:BC132"/>
    <mergeCell ref="A133:BC133"/>
    <mergeCell ref="A134:BC134"/>
    <mergeCell ref="A135:BC135"/>
    <mergeCell ref="A136:BC136"/>
    <mergeCell ref="A137:BC137"/>
    <mergeCell ref="A138:BC138"/>
    <mergeCell ref="A139:BC139"/>
    <mergeCell ref="A140:BC140"/>
    <mergeCell ref="A141:BC141"/>
    <mergeCell ref="A142:BC142"/>
    <mergeCell ref="A143:BC143"/>
    <mergeCell ref="A144:BC144"/>
  </mergeCells>
  <conditionalFormatting sqref="B19:B36 L19:L36 V19:V36 AF19:AF36">
    <cfRule type="containsText" dxfId="11" priority="1" operator="containsText" text="✖">
      <formula>NOT(ISERROR(SEARCH(("✖"),(B19))))</formula>
    </cfRule>
  </conditionalFormatting>
  <conditionalFormatting sqref="B19:B36 L19:L36 V19:V36 AF19:AF36">
    <cfRule type="containsText" dxfId="1" priority="2" operator="containsText" text="✔">
      <formula>NOT(ISERROR(SEARCH(("✔"),(B19))))</formula>
    </cfRule>
  </conditionalFormatting>
  <conditionalFormatting sqref="C19:F36">
    <cfRule type="expression" dxfId="12" priority="3">
      <formula>H19&gt;0</formula>
    </cfRule>
  </conditionalFormatting>
  <conditionalFormatting sqref="M19:P36">
    <cfRule type="expression" dxfId="12" priority="4">
      <formula>R19&gt;0</formula>
    </cfRule>
  </conditionalFormatting>
  <conditionalFormatting sqref="W19:Z36">
    <cfRule type="cellIs" dxfId="12" priority="5" operator="greaterThan">
      <formula>AB19&gt;0</formula>
    </cfRule>
  </conditionalFormatting>
  <conditionalFormatting sqref="AG19:AJ36">
    <cfRule type="expression" dxfId="12" priority="6">
      <formula>AL19&gt;0</formula>
    </cfRule>
  </conditionalFormatting>
  <dataValidations>
    <dataValidation type="list" allowBlank="1" sqref="U49 AO49 BB49 BB59 AO60 R72">
      <formula1>"1,2,3,4,5,6,7,8,9,10"</formula1>
    </dataValidation>
    <dataValidation type="list" allowBlank="1" sqref="AU33 BA33 AU35 BA35 B19:B36 L19:L36 V19:V36 AF19:AF36">
      <formula1>"✖,✔"</formula1>
    </dataValidation>
    <dataValidation type="list" allowBlank="1" sqref="E12">
      <formula1>"간호사,갱 보스,건달,건 몰,건축가,경관,고고학자,곡예사,골동품상,골동품 연구가,과학자,광부,광신자,교수,교주,기술자,기자,깡패,노조 활동가,농부,단독 범죄자,대학생,도둑,도박사,등반가,디자이너,디프로그래머,딜레탕트,떠돌이,리포터,매춘부,맹수사냥꾼,미술가,밀수꾼,밀주업자,바텐더,박물관 큐레이터,배우,벌목꾼,법의학자,변호사,병사,병원 보조원,복서/레슬러,부랑자,부족민,부하 조직원,비서,비행사,사기꾼,사립탐정,사무원,사서,사육사,사진가,사진기자,서적상,선교"&amp;"사,선원,선출직 공무원,성직자,소방관,수병,스턴트맨,스턴트우먼,스파이,신비학자,신사/숙녀,심령학자,심리학자,약사,엔지니어,연구실 조수,연구자,연방 요원,연예인,연주자,외신 기자,운동선수,운전사,웨이터,웨이트리스,위조업자,은행강도,의사,인턴,자객,자연 애호가,작가,잠수부,장교,장물아비,장의사,장인,전속 기사,점장,정신감정사,정신과 의사,정신병원 직원,정신분석가,조련사,조종사,중상급 관리자,집사,카우걸/카우보이,컴퓨터 테크니션,탐광인,탐험가,택시 운전사,판"&amp;"매원,판사,편집자,폭력배,프로그래머,하녀,하인,해커,현상금 사냥꾼,형사,회계사,회사 탐정,ETC"</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55" width="2.5"/>
  </cols>
  <sheetData>
    <row r="1" ht="11.25" customHeight="1">
      <c r="A1" s="1">
        <v>35.0</v>
      </c>
      <c r="B1" s="2"/>
      <c r="C1" s="2"/>
      <c r="D1" s="2"/>
      <c r="E1" s="2"/>
      <c r="F1" s="2"/>
      <c r="G1" s="2"/>
      <c r="H1" s="2"/>
      <c r="I1" s="2"/>
      <c r="J1" s="2"/>
      <c r="K1" s="2"/>
      <c r="L1" s="2"/>
      <c r="M1" s="2"/>
      <c r="N1" s="2"/>
      <c r="O1" s="2"/>
      <c r="P1" s="2"/>
      <c r="Q1" s="2"/>
      <c r="R1" s="2"/>
      <c r="S1" s="2"/>
      <c r="T1" s="2"/>
      <c r="U1" s="2"/>
      <c r="V1" s="2"/>
      <c r="W1" s="2"/>
      <c r="X1" s="2"/>
      <c r="Y1" s="2"/>
      <c r="Z1" s="2"/>
      <c r="AA1" s="2"/>
      <c r="AB1" s="2"/>
      <c r="AC1" s="3"/>
      <c r="AD1" s="3"/>
      <c r="AE1" s="3"/>
      <c r="AF1" s="3"/>
      <c r="AG1" s="3"/>
      <c r="AH1" s="3"/>
      <c r="AI1" s="3"/>
      <c r="AJ1" s="3"/>
      <c r="AK1" s="3"/>
      <c r="AL1" s="3"/>
      <c r="AM1" s="3"/>
      <c r="AN1" s="3"/>
      <c r="AO1" s="3"/>
      <c r="AP1" s="3"/>
      <c r="AQ1" s="3"/>
      <c r="AR1" s="3"/>
      <c r="AS1" s="3"/>
      <c r="AT1" s="3"/>
      <c r="AU1" s="3"/>
      <c r="AV1" s="3"/>
      <c r="AW1" s="3"/>
      <c r="AX1" s="3"/>
      <c r="AY1" s="3"/>
      <c r="AZ1" s="3"/>
      <c r="BA1" s="3"/>
      <c r="BB1" s="3"/>
      <c r="BC1" s="3"/>
    </row>
    <row r="2" ht="9.0" customHeight="1">
      <c r="A2" s="2"/>
      <c r="B2" s="720" t="s">
        <v>0</v>
      </c>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721" t="s">
        <v>1</v>
      </c>
      <c r="AU2" s="5"/>
      <c r="AV2" s="7"/>
      <c r="AW2" s="721" t="s">
        <v>2</v>
      </c>
      <c r="AX2" s="5"/>
      <c r="AY2" s="7"/>
      <c r="AZ2" s="721" t="s">
        <v>3</v>
      </c>
      <c r="BA2" s="5"/>
      <c r="BB2" s="7"/>
      <c r="BC2" s="3"/>
    </row>
    <row r="3" ht="9.0" customHeight="1">
      <c r="A3" s="8"/>
      <c r="B3" s="9"/>
      <c r="AT3" s="10"/>
      <c r="AU3" s="11"/>
      <c r="AV3" s="12"/>
      <c r="AW3" s="10"/>
      <c r="AX3" s="11"/>
      <c r="AY3" s="12"/>
      <c r="AZ3" s="10"/>
      <c r="BA3" s="11"/>
      <c r="BB3" s="12"/>
      <c r="BC3" s="3"/>
    </row>
    <row r="4" ht="9.0" customHeight="1">
      <c r="A4" s="8"/>
      <c r="B4" s="9"/>
      <c r="AT4" s="13"/>
      <c r="AU4" s="5"/>
      <c r="AV4" s="7"/>
      <c r="AW4" s="721" t="s">
        <v>4</v>
      </c>
      <c r="AX4" s="5"/>
      <c r="AY4" s="7"/>
      <c r="AZ4" s="722" t="s">
        <v>5</v>
      </c>
      <c r="BA4" s="5"/>
      <c r="BB4" s="7"/>
      <c r="BC4" s="3"/>
    </row>
    <row r="5" ht="9.0" customHeight="1">
      <c r="A5" s="8"/>
      <c r="B5" s="9"/>
      <c r="AT5" s="9"/>
      <c r="AV5" s="15"/>
      <c r="AW5" s="9"/>
      <c r="AY5" s="15"/>
      <c r="AZ5" s="9"/>
      <c r="BB5" s="15"/>
      <c r="BC5" s="3"/>
    </row>
    <row r="6" ht="9.0" customHeight="1">
      <c r="A6" s="2"/>
      <c r="B6" s="9"/>
      <c r="AT6" s="10"/>
      <c r="AU6" s="11"/>
      <c r="AV6" s="12"/>
      <c r="AW6" s="10"/>
      <c r="AX6" s="11"/>
      <c r="AY6" s="12"/>
      <c r="AZ6" s="10"/>
      <c r="BA6" s="11"/>
      <c r="BB6" s="12"/>
      <c r="BC6" s="2"/>
    </row>
    <row r="7" ht="13.5" customHeight="1">
      <c r="A7" s="16"/>
      <c r="B7" s="17"/>
      <c r="C7" s="17"/>
      <c r="D7" s="17"/>
      <c r="E7" s="17"/>
      <c r="F7" s="17"/>
      <c r="G7" s="17"/>
      <c r="H7" s="17"/>
      <c r="I7" s="17"/>
      <c r="J7" s="17"/>
      <c r="K7" s="17"/>
      <c r="L7" s="17"/>
      <c r="M7" s="17"/>
      <c r="N7" s="17"/>
      <c r="O7" s="18"/>
      <c r="P7" s="18"/>
      <c r="Q7" s="19"/>
      <c r="R7" s="18"/>
      <c r="S7" s="18"/>
      <c r="T7" s="18"/>
      <c r="U7" s="18"/>
      <c r="V7" s="18"/>
      <c r="W7" s="18"/>
      <c r="X7" s="18"/>
      <c r="Y7" s="18"/>
      <c r="Z7" s="18"/>
      <c r="AA7" s="18"/>
      <c r="AB7" s="18"/>
      <c r="AC7" s="18"/>
      <c r="AD7" s="18"/>
      <c r="AE7" s="18"/>
      <c r="AF7" s="18"/>
      <c r="AG7" s="18"/>
      <c r="AH7" s="18"/>
      <c r="AI7" s="18"/>
      <c r="AJ7" s="18"/>
      <c r="AK7" s="18"/>
      <c r="AL7" s="18"/>
      <c r="AM7" s="18"/>
      <c r="AN7" s="18"/>
      <c r="AO7" s="18"/>
      <c r="AP7" s="20"/>
      <c r="AQ7" s="17"/>
      <c r="AR7" s="17"/>
      <c r="AS7" s="17"/>
      <c r="AT7" s="17"/>
      <c r="AU7" s="17"/>
      <c r="AV7" s="17"/>
      <c r="AW7" s="17"/>
      <c r="AX7" s="17"/>
      <c r="AY7" s="17"/>
      <c r="AZ7" s="17"/>
      <c r="BA7" s="17"/>
      <c r="BB7" s="17"/>
      <c r="BC7" s="21"/>
    </row>
    <row r="8" ht="13.5" customHeight="1">
      <c r="A8" s="22"/>
      <c r="B8" s="723" t="s">
        <v>6</v>
      </c>
      <c r="C8" s="24"/>
      <c r="D8" s="24"/>
      <c r="E8" s="24"/>
      <c r="F8" s="24"/>
      <c r="G8" s="24"/>
      <c r="H8" s="24"/>
      <c r="I8" s="24"/>
      <c r="J8" s="24"/>
      <c r="K8" s="24"/>
      <c r="L8" s="24"/>
      <c r="M8" s="24"/>
      <c r="N8" s="24"/>
      <c r="O8" s="24"/>
      <c r="P8" s="25"/>
      <c r="Q8" s="26"/>
      <c r="R8" s="723" t="s">
        <v>7</v>
      </c>
      <c r="S8" s="24"/>
      <c r="T8" s="24"/>
      <c r="U8" s="24"/>
      <c r="V8" s="24"/>
      <c r="W8" s="24"/>
      <c r="X8" s="24"/>
      <c r="Y8" s="24"/>
      <c r="Z8" s="24"/>
      <c r="AA8" s="24"/>
      <c r="AB8" s="24"/>
      <c r="AC8" s="24"/>
      <c r="AD8" s="24"/>
      <c r="AE8" s="24"/>
      <c r="AF8" s="24"/>
      <c r="AG8" s="24"/>
      <c r="AH8" s="24"/>
      <c r="AI8" s="24"/>
      <c r="AJ8" s="24"/>
      <c r="AK8" s="24"/>
      <c r="AL8" s="24"/>
      <c r="AM8" s="24"/>
      <c r="AN8" s="24"/>
      <c r="AO8" s="25"/>
      <c r="AP8" s="27"/>
      <c r="AQ8" s="723" t="s">
        <v>8</v>
      </c>
      <c r="AR8" s="24"/>
      <c r="AS8" s="24"/>
      <c r="AT8" s="24"/>
      <c r="AU8" s="24"/>
      <c r="AV8" s="24"/>
      <c r="AW8" s="24"/>
      <c r="AX8" s="24"/>
      <c r="AY8" s="24"/>
      <c r="AZ8" s="24"/>
      <c r="BA8" s="24"/>
      <c r="BB8" s="25"/>
      <c r="BC8" s="28"/>
    </row>
    <row r="9" ht="13.5" customHeight="1">
      <c r="A9" s="29"/>
      <c r="B9" s="30"/>
      <c r="C9" s="31"/>
      <c r="D9" s="31"/>
      <c r="E9" s="31"/>
      <c r="F9" s="31"/>
      <c r="G9" s="31"/>
      <c r="H9" s="31"/>
      <c r="I9" s="31"/>
      <c r="J9" s="31"/>
      <c r="K9" s="31"/>
      <c r="L9" s="31"/>
      <c r="M9" s="31"/>
      <c r="N9" s="31"/>
      <c r="O9" s="31"/>
      <c r="P9" s="32"/>
      <c r="Q9" s="26"/>
      <c r="R9" s="30"/>
      <c r="S9" s="31"/>
      <c r="T9" s="31"/>
      <c r="U9" s="31"/>
      <c r="V9" s="31"/>
      <c r="W9" s="31"/>
      <c r="X9" s="31"/>
      <c r="Y9" s="31"/>
      <c r="Z9" s="31"/>
      <c r="AA9" s="31"/>
      <c r="AB9" s="31"/>
      <c r="AC9" s="31"/>
      <c r="AD9" s="31"/>
      <c r="AE9" s="31"/>
      <c r="AF9" s="31"/>
      <c r="AG9" s="31"/>
      <c r="AH9" s="31"/>
      <c r="AI9" s="31"/>
      <c r="AJ9" s="31"/>
      <c r="AK9" s="31"/>
      <c r="AL9" s="31"/>
      <c r="AM9" s="31"/>
      <c r="AN9" s="31"/>
      <c r="AO9" s="32"/>
      <c r="AP9" s="27"/>
      <c r="AQ9" s="30"/>
      <c r="AR9" s="31"/>
      <c r="AS9" s="31"/>
      <c r="AT9" s="31"/>
      <c r="AU9" s="31"/>
      <c r="AV9" s="31"/>
      <c r="AW9" s="31"/>
      <c r="AX9" s="31"/>
      <c r="AY9" s="31"/>
      <c r="AZ9" s="31"/>
      <c r="BA9" s="31"/>
      <c r="BB9" s="32"/>
      <c r="BC9" s="28"/>
    </row>
    <row r="10" ht="13.5" customHeight="1">
      <c r="A10" s="22"/>
      <c r="B10" s="724" t="s">
        <v>9</v>
      </c>
      <c r="C10" s="34"/>
      <c r="D10" s="35"/>
      <c r="E10" s="36"/>
      <c r="F10" s="34"/>
      <c r="G10" s="34"/>
      <c r="H10" s="34"/>
      <c r="I10" s="34"/>
      <c r="J10" s="34"/>
      <c r="K10" s="34"/>
      <c r="L10" s="34"/>
      <c r="M10" s="34"/>
      <c r="N10" s="34"/>
      <c r="O10" s="34"/>
      <c r="P10" s="35"/>
      <c r="Q10" s="26"/>
      <c r="R10" s="725" t="s">
        <v>10</v>
      </c>
      <c r="S10" s="24"/>
      <c r="T10" s="24"/>
      <c r="U10" s="25"/>
      <c r="V10" s="38"/>
      <c r="W10" s="25"/>
      <c r="X10" s="726">
        <f>Int(DIVIDE(V10,2))</f>
        <v>0</v>
      </c>
      <c r="Y10" s="35"/>
      <c r="Z10" s="727" t="s">
        <v>11</v>
      </c>
      <c r="AA10" s="24"/>
      <c r="AB10" s="24"/>
      <c r="AC10" s="25"/>
      <c r="AD10" s="38"/>
      <c r="AE10" s="25"/>
      <c r="AF10" s="726">
        <f>Int(DIVIDE(AD10,2))</f>
        <v>0</v>
      </c>
      <c r="AG10" s="35"/>
      <c r="AH10" s="727" t="s">
        <v>12</v>
      </c>
      <c r="AI10" s="24"/>
      <c r="AJ10" s="24"/>
      <c r="AK10" s="25"/>
      <c r="AL10" s="38"/>
      <c r="AM10" s="25"/>
      <c r="AN10" s="726">
        <f>Int(DIVIDE(AL10,2))</f>
        <v>0</v>
      </c>
      <c r="AO10" s="35"/>
      <c r="AP10" s="28"/>
      <c r="AQ10" s="290"/>
      <c r="BB10" s="15"/>
      <c r="BC10" s="3"/>
    </row>
    <row r="11" ht="13.5" customHeight="1">
      <c r="A11" s="22"/>
      <c r="B11" s="724" t="s">
        <v>13</v>
      </c>
      <c r="C11" s="34"/>
      <c r="D11" s="35"/>
      <c r="E11" s="42"/>
      <c r="F11" s="34"/>
      <c r="G11" s="34"/>
      <c r="H11" s="34"/>
      <c r="I11" s="34"/>
      <c r="J11" s="34"/>
      <c r="K11" s="34"/>
      <c r="L11" s="34"/>
      <c r="M11" s="34"/>
      <c r="N11" s="34"/>
      <c r="O11" s="34"/>
      <c r="P11" s="35"/>
      <c r="Q11" s="26"/>
      <c r="R11" s="30"/>
      <c r="S11" s="31"/>
      <c r="T11" s="31"/>
      <c r="U11" s="32"/>
      <c r="V11" s="30"/>
      <c r="W11" s="32"/>
      <c r="X11" s="728">
        <f>int(DIVIDE(V10,5))</f>
        <v>0</v>
      </c>
      <c r="Y11" s="35"/>
      <c r="Z11" s="30"/>
      <c r="AA11" s="31"/>
      <c r="AB11" s="31"/>
      <c r="AC11" s="32"/>
      <c r="AD11" s="30"/>
      <c r="AE11" s="32"/>
      <c r="AF11" s="728">
        <f>int(DIVIDE(AD10,5))</f>
        <v>0</v>
      </c>
      <c r="AG11" s="35"/>
      <c r="AH11" s="30"/>
      <c r="AI11" s="31"/>
      <c r="AJ11" s="31"/>
      <c r="AK11" s="32"/>
      <c r="AL11" s="30"/>
      <c r="AM11" s="32"/>
      <c r="AN11" s="728">
        <f>int(DIVIDE(AL10,5))</f>
        <v>0</v>
      </c>
      <c r="AO11" s="35"/>
      <c r="AP11" s="28"/>
      <c r="AQ11" s="9"/>
      <c r="BB11" s="15"/>
      <c r="BC11" s="2"/>
    </row>
    <row r="12" ht="13.5" customHeight="1">
      <c r="A12" s="22"/>
      <c r="B12" s="729" t="s">
        <v>14</v>
      </c>
      <c r="C12" s="34"/>
      <c r="D12" s="35"/>
      <c r="E12" s="45" t="s">
        <v>164</v>
      </c>
      <c r="J12" s="730" t="s">
        <v>16</v>
      </c>
      <c r="K12" s="35"/>
      <c r="L12" s="36"/>
      <c r="M12" s="34"/>
      <c r="N12" s="34"/>
      <c r="O12" s="34"/>
      <c r="P12" s="35"/>
      <c r="Q12" s="26"/>
      <c r="R12" s="725" t="s">
        <v>17</v>
      </c>
      <c r="S12" s="24"/>
      <c r="T12" s="24"/>
      <c r="U12" s="25"/>
      <c r="V12" s="38"/>
      <c r="W12" s="25"/>
      <c r="X12" s="726">
        <f>Int(DIVIDE(V12,2))</f>
        <v>0</v>
      </c>
      <c r="Y12" s="35"/>
      <c r="Z12" s="725" t="s">
        <v>18</v>
      </c>
      <c r="AA12" s="24"/>
      <c r="AB12" s="24"/>
      <c r="AC12" s="25"/>
      <c r="AD12" s="38"/>
      <c r="AE12" s="25"/>
      <c r="AF12" s="726">
        <f>Int(DIVIDE(AD12,2))</f>
        <v>0</v>
      </c>
      <c r="AG12" s="35"/>
      <c r="AH12" s="727" t="s">
        <v>19</v>
      </c>
      <c r="AI12" s="24"/>
      <c r="AJ12" s="24"/>
      <c r="AK12" s="25"/>
      <c r="AL12" s="38"/>
      <c r="AM12" s="25"/>
      <c r="AN12" s="726">
        <f>Int(DIVIDE(AL12,2))</f>
        <v>0</v>
      </c>
      <c r="AO12" s="35"/>
      <c r="AP12" s="28"/>
      <c r="AQ12" s="9"/>
      <c r="BB12" s="15"/>
      <c r="BC12" s="3"/>
    </row>
    <row r="13" ht="13.5" customHeight="1">
      <c r="A13" s="22"/>
      <c r="B13" s="724" t="s">
        <v>20</v>
      </c>
      <c r="C13" s="34"/>
      <c r="D13" s="35"/>
      <c r="E13" s="47"/>
      <c r="F13" s="34"/>
      <c r="G13" s="34"/>
      <c r="H13" s="34"/>
      <c r="I13" s="35"/>
      <c r="J13" s="731" t="s">
        <v>21</v>
      </c>
      <c r="K13" s="35"/>
      <c r="L13" s="36"/>
      <c r="M13" s="34"/>
      <c r="N13" s="34"/>
      <c r="O13" s="34"/>
      <c r="P13" s="35"/>
      <c r="Q13" s="26"/>
      <c r="R13" s="30"/>
      <c r="S13" s="31"/>
      <c r="T13" s="31"/>
      <c r="U13" s="32"/>
      <c r="V13" s="30"/>
      <c r="W13" s="32"/>
      <c r="X13" s="728">
        <f>int(DIVIDE(V12,5))</f>
        <v>0</v>
      </c>
      <c r="Y13" s="35"/>
      <c r="Z13" s="30"/>
      <c r="AA13" s="31"/>
      <c r="AB13" s="31"/>
      <c r="AC13" s="32"/>
      <c r="AD13" s="30"/>
      <c r="AE13" s="32"/>
      <c r="AF13" s="728">
        <f>int(DIVIDE(AD12,5))</f>
        <v>0</v>
      </c>
      <c r="AG13" s="35"/>
      <c r="AH13" s="30"/>
      <c r="AI13" s="31"/>
      <c r="AJ13" s="31"/>
      <c r="AK13" s="32"/>
      <c r="AL13" s="30"/>
      <c r="AM13" s="32"/>
      <c r="AN13" s="728">
        <f>int(DIVIDE(AL12,5))</f>
        <v>0</v>
      </c>
      <c r="AO13" s="35"/>
      <c r="AP13" s="28"/>
      <c r="AQ13" s="9"/>
      <c r="BB13" s="15"/>
      <c r="BC13" s="3"/>
    </row>
    <row r="14" ht="13.5" customHeight="1">
      <c r="A14" s="22"/>
      <c r="B14" s="724" t="s">
        <v>22</v>
      </c>
      <c r="C14" s="34"/>
      <c r="D14" s="35"/>
      <c r="E14" s="47"/>
      <c r="F14" s="34"/>
      <c r="G14" s="34"/>
      <c r="H14" s="34"/>
      <c r="I14" s="35"/>
      <c r="J14" s="731" t="s">
        <v>23</v>
      </c>
      <c r="K14" s="35"/>
      <c r="L14" s="36"/>
      <c r="M14" s="34"/>
      <c r="N14" s="34"/>
      <c r="O14" s="34"/>
      <c r="P14" s="35"/>
      <c r="Q14" s="26"/>
      <c r="R14" s="725" t="s">
        <v>24</v>
      </c>
      <c r="S14" s="24"/>
      <c r="T14" s="24"/>
      <c r="U14" s="25"/>
      <c r="V14" s="38"/>
      <c r="W14" s="25"/>
      <c r="X14" s="732">
        <f>Int(DIVIDE(V14,2))</f>
        <v>0</v>
      </c>
      <c r="Y14" s="35"/>
      <c r="Z14" s="727" t="s">
        <v>25</v>
      </c>
      <c r="AA14" s="24"/>
      <c r="AB14" s="24"/>
      <c r="AC14" s="25"/>
      <c r="AD14" s="38"/>
      <c r="AE14" s="25"/>
      <c r="AF14" s="732">
        <f>Int(DIVIDE(AD14,2))</f>
        <v>0</v>
      </c>
      <c r="AG14" s="35"/>
      <c r="AH14" s="725" t="s">
        <v>26</v>
      </c>
      <c r="AI14" s="24"/>
      <c r="AJ14" s="24"/>
      <c r="AK14" s="25"/>
      <c r="AL14" s="38"/>
      <c r="AM14" s="25"/>
      <c r="AN14" s="732">
        <f>Int(DIVIDE(AL14,2))</f>
        <v>0</v>
      </c>
      <c r="AO14" s="35"/>
      <c r="AP14" s="28"/>
      <c r="AQ14" s="9"/>
      <c r="BB14" s="15"/>
      <c r="BC14" s="3"/>
    </row>
    <row r="15" ht="13.5" customHeight="1">
      <c r="A15" s="22"/>
      <c r="B15" s="724" t="s">
        <v>27</v>
      </c>
      <c r="C15" s="34"/>
      <c r="D15" s="35"/>
      <c r="E15" s="47"/>
      <c r="F15" s="34"/>
      <c r="G15" s="34"/>
      <c r="H15" s="34"/>
      <c r="I15" s="35"/>
      <c r="J15" s="731" t="s">
        <v>28</v>
      </c>
      <c r="K15" s="35"/>
      <c r="L15" s="36"/>
      <c r="M15" s="34"/>
      <c r="N15" s="34"/>
      <c r="O15" s="34"/>
      <c r="P15" s="35"/>
      <c r="Q15" s="26"/>
      <c r="R15" s="30"/>
      <c r="S15" s="31"/>
      <c r="T15" s="31"/>
      <c r="U15" s="32"/>
      <c r="V15" s="30"/>
      <c r="W15" s="32"/>
      <c r="X15" s="733">
        <f>int(DIVIDE(V14,5))</f>
        <v>0</v>
      </c>
      <c r="Y15" s="35"/>
      <c r="Z15" s="30"/>
      <c r="AA15" s="31"/>
      <c r="AB15" s="31"/>
      <c r="AC15" s="32"/>
      <c r="AD15" s="30"/>
      <c r="AE15" s="32"/>
      <c r="AF15" s="733">
        <f>int(DIVIDE(AD14,5))</f>
        <v>0</v>
      </c>
      <c r="AG15" s="35"/>
      <c r="AH15" s="30"/>
      <c r="AI15" s="31"/>
      <c r="AJ15" s="31"/>
      <c r="AK15" s="32"/>
      <c r="AL15" s="30"/>
      <c r="AM15" s="32"/>
      <c r="AN15" s="733">
        <f>int(DIVIDE(AL14,5))</f>
        <v>0</v>
      </c>
      <c r="AO15" s="35"/>
      <c r="AP15" s="28"/>
      <c r="AQ15" s="9"/>
      <c r="BB15" s="15"/>
      <c r="BC15" s="3"/>
    </row>
    <row r="16" ht="13.5" customHeight="1">
      <c r="A16" s="2"/>
      <c r="B16" s="51"/>
      <c r="C16" s="51"/>
      <c r="D16" s="51"/>
      <c r="E16" s="51"/>
      <c r="F16" s="51"/>
      <c r="G16" s="51"/>
      <c r="H16" s="51"/>
      <c r="I16" s="51"/>
      <c r="J16" s="51"/>
      <c r="K16" s="51"/>
      <c r="L16" s="51"/>
      <c r="M16" s="51"/>
      <c r="N16" s="51"/>
      <c r="O16" s="51"/>
      <c r="P16" s="51"/>
      <c r="Q16" s="52"/>
      <c r="R16" s="51"/>
      <c r="S16" s="51"/>
      <c r="T16" s="51"/>
      <c r="U16" s="51"/>
      <c r="V16" s="51"/>
      <c r="W16" s="51"/>
      <c r="X16" s="51"/>
      <c r="Y16" s="51"/>
      <c r="Z16" s="51"/>
      <c r="AA16" s="51"/>
      <c r="AB16" s="51"/>
      <c r="AC16" s="53"/>
      <c r="AD16" s="53"/>
      <c r="AE16" s="53"/>
      <c r="AF16" s="53"/>
      <c r="AG16" s="53"/>
      <c r="AH16" s="53"/>
      <c r="AI16" s="53"/>
      <c r="AJ16" s="53"/>
      <c r="AK16" s="53"/>
      <c r="AL16" s="53"/>
      <c r="AM16" s="53"/>
      <c r="AN16" s="53"/>
      <c r="AO16" s="53"/>
      <c r="AP16" s="3"/>
      <c r="AQ16" s="9"/>
      <c r="BB16" s="15"/>
      <c r="BC16" s="3"/>
    </row>
    <row r="17" ht="13.5" customHeight="1">
      <c r="A17" s="22"/>
      <c r="B17" s="734" t="s">
        <v>29</v>
      </c>
      <c r="C17" s="5"/>
      <c r="D17" s="5"/>
      <c r="E17" s="5"/>
      <c r="F17" s="5"/>
      <c r="G17" s="5"/>
      <c r="H17" s="5"/>
      <c r="I17" s="5"/>
      <c r="J17" s="5"/>
      <c r="K17" s="5"/>
      <c r="L17" s="5"/>
      <c r="M17" s="5"/>
      <c r="N17" s="55"/>
      <c r="O17" s="735" t="s">
        <v>30</v>
      </c>
      <c r="P17" s="5"/>
      <c r="Q17" s="5"/>
      <c r="R17" s="5"/>
      <c r="S17" s="5"/>
      <c r="T17" s="736">
        <f>IF(E12="간호사", AL12*4,
IF(E12="갱 보스", AL12*2+AD12*2,
IF(E12="건달", AL12*2+MAX(V10*2,AD10*2),
IF(E12="건 몰", AL12*2+AD12*2,
IF(E12="건축가", AL12*4,
IF(E12="경관", AL12*2+MAX(V10*2,AD10*2),
IF(E12="고고학자", AL12*4,
IF(E12="곡예사", AL12*2+AD10*2,
IF(E12="골동품상", AL12*4,
IF(E12="골동품 연구가", AL12*4,
IF(E12="과학자", AL12*4,
IF(E12="광부", AL12*2+MAX(V10*2,AD10*2),
IF(E12="광신자", AL12*2+MAX(AD12*2,AL10*2),
IF(E12="교수", AL12*4,
IF(E12="교주", AL12*2+AD12*2,
IF(E12="기술자", AL12*4,
IF(E12="기자", AL12*4,
IF(E12="깡패", AL12*2+V10*2,
IF(E12="노조 활동가", AL12*4,
IF(E12="농부", AL12*2+MAX(V10*2,AD10*2),
IF(E12="단독 범죄자", AL12*2+MAX(AD10*2,AD12*2),
IF(E12="대학생", AL12*4,
IF(E12="도둑", AL12*2+AD10*2,
IF(E12="도박사", AL12*2+MAX(AD10*2,AD12*2),
IF(E12="등반가", AL12*2+MAX(V10*2,AD10*2),
IF(E12="디자이너", AL12*4,
IF(E12="디프로그래머", AL12*4,
IF(E12="딜레탕트", AL12*2+AD12*2,
IF(E12="떠돌이", AL12*2+MAX(AD10*2,AD12*2),
IF(E12="리포터", AL12*4,
IF(E12="매춘부", AL12*2+AD12*2,
IF(E12="맹수사냥꾼", AL12*2+MAX(V10*2,AD10*2),
IF(E12="미술가", AL12*2+MAX(AD10*2,AL10*2),
IF(E12="밀수꾼", AL12*2+MAX(AD10*2,AD12*2),
IF(E12="밀주업자", AL12*2+V10*2,
IF(E12="바텐더", AL12*2+AD12*2,
IF(E12="박물관 큐레이터", AL12*4,
IF(E12="배우", AL12*2+AD12*2,
IF(E12="벌목꾼", AL12*2+MAX(V10*2,AD10*2),
IF(E12="법의학자", AL12*4,
IF(E12="변호사", AL12*4,
IF(E12="병사", AL12*2+MAX(V10*2,AD10*2),
IF(E12="병원 보조원", AL12*2+V10*2,
IF(E12="복서/레슬러", AL12*2+V10*2,
IF(E12="부랑자", AL12*2+MAX(AD12*2,V10*2,AD10*2),
IF(E12="부족민", AL12*2+MAX(V10*2,AD10*2),
IF(E12="부하 조직원", AL12*2+MAX(V10*2,AD10*2),
IF(E12="비서", AL12*2+MAX(AD10*2,AD12*2),
IF(E12="비숙련공", AL12*2+MAX(V10*2,AD10*2),
IF(E12="비행사", AL12*4,
IF(E12="사립탐정", AL12*2+MAX(V10*2,AD10*2),
IF(E12="사무원", AL12*4,
IF(E12="사서", AL12*4,
IF(E12="사육사", AL12*4,
IF(E12="사진가", AL12*4,
IF(E12="사진기자", AL12*4,
IF(E12="서적상", AL12*4,
IF(E12="선교사", AL12*2+AD12*2,
IF(E12="선원", AL12*2+MAX(V10*2,AD10*2),
IF(E12="선출직 공무원", AL12*2+AD12*2,
IF(E12="성직자", AL12*4,
IF(E12="소방관", AL12*2+MAX(V10*2,AD10*2),
IF(E12="수병", AL12*2+MAX(V10*2,AD10*2),
IF(E12="스턴트맨", AL12*2+MAX(V10*2,AD10*2),
IF(E12="스턴트우먼", AL12*2+MAX(V10*2,AD10*2),
IF(E12="스파이", AL12*2+MAX(AD10*2,AD12*2),
IF(E12="신비학자", AL12*4,
IF(E12="신사/숙녀", AL12*2+AD12*2,
IF(E12="심령학자", AL12*4,
IF(E12="심리학자", AL12*4,
IF(E12="약사", AL12*4,
IF(E12="엔지니어", AL12*4,
IF(E12="연구실 조수", AL12*4,
IF(E12="연구자", AL12*4,
IF(E12="연방 요원", AL12*4,
IF(E12="연예인", AL12*2+AD12*2,
IF(E12="연주자", AL12*2+MAX(AD10*2,AD12*2),
IF(E12="외신 기자", AL12*4,
IF(E12="운동선수", AL12*2+MAX(V10*2,AD10*2),
IF(E12="운전사", AL12*2+MAX(V10*2,AD10*2),
IF(E12="웨이터", AL12*2+MAX(AD10*2,AD12*2),
IF(E12="웨이트리스", AL12*2+MAX(AD10*2,AD12*2),
IF(E12="위조업자", AL12*4,
IF(E12="은행강도", AL12*2+MAX(V10*2,AD10*2),
IF(E12="의사", AL12*4,
IF(E12="인턴", AL12*4,
IF(E12="자객", AL12*2+MAX(V10*2,AD10*2),
IF(E12="자연 애호가", ,
IF(E12="작가", AL12*4,
IF(E12="잠수부", AL12*2+AD10*2,
IF(E12="장교", AL12*2+MAX(V10*2,AD10*2),
IF(E12="장물아비", AL12*2+AD12*2,
IF(E12="장의사", AL12*4,
IF(E12="장인", AL12*2+AD10*2,
IF(E12="전속 기사", AL12*2+AD10*2,
IF(E12="점장", AL12*2+MAX(AD10*2,AD12*2),
IF(E12="정신감정사", AL12*4,
IF(E12="정신과 의사", AL12*4,
IF(E12="정신병원 직원", AL12*2+MAX(V10*2,AD10*2),
IF(E12="정신분석가", AL12*4,
IF(E12="조련사", AL12*2+MAX(AD12*2,AL10*2),
IF(E12="조종사", AL12*2+AD10*2,
IF(E12="중상급 관리자", AL12*4,
IF(E12="집사", AL12*4,
IF(E12="카우걸/카우보이", AL12*2+MAX(V10*2,AD10*2),
IF(E12="컴퓨터 테크니션", AL12*4,
IF(E12="탐광인", AL12*2+MAX(V10*2,AD10*2),
IF(E12="탐험가", AL12*2+MAX(AD12*2,V10*2,AD10*2),
IF(E12="택시 운전사", AL12*2+AD10*2,
IF(E12="판매원", AL12*2+AD12*2,
IF(E12="판사", AL12*4,
IF(E12="편집자", AL12*4,
IF(E12="폭력배", AL12*2+V10*2,
IF(E12="프로그래머", AL12*4,
IF(E12="하녀", AL12*4,
IF(E12="하인", AL12*4,
IF(E12="해커", AL12*4,
IF(E12="현상금 사냥꾼", AL12*2+MAX(V10*2,AD10*2),
IF(E12="형사", AL12*2+MAX(V10*2,AD10*2),
IF(E12="회계사", AL12*4,
IF(E12="ETC", AL12*4,
IF(E12="회사 탐정", AL12*2+MAX(V10*2,AD10*2),"0"))))))))))))))))))))))))))))))))))))))))))))))))))))))))))))))))))))))))))))))))))))))))))))))))))))))))))))))))))))))))))</f>
        <v>0</v>
      </c>
      <c r="U17" s="5"/>
      <c r="V17" s="5"/>
      <c r="W17" s="7"/>
      <c r="X17" s="735" t="s">
        <v>31</v>
      </c>
      <c r="Y17" s="5"/>
      <c r="Z17" s="5"/>
      <c r="AA17" s="5"/>
      <c r="AB17" s="5"/>
      <c r="AC17" s="736">
        <f>(AD14*2)</f>
        <v>0</v>
      </c>
      <c r="AD17" s="5"/>
      <c r="AE17" s="5"/>
      <c r="AF17" s="5"/>
      <c r="AG17" s="7"/>
      <c r="AH17" s="735" t="s">
        <v>32</v>
      </c>
      <c r="AI17" s="5"/>
      <c r="AJ17" s="5"/>
      <c r="AK17" s="5"/>
      <c r="AL17" s="736">
        <f>(SUM(T17,AC17))-(SUM(H19:H36,R19:R36,AB19:AB36,AL19:AL36))+AY61+AB19</f>
        <v>0</v>
      </c>
      <c r="AM17" s="5"/>
      <c r="AN17" s="5"/>
      <c r="AO17" s="7"/>
      <c r="AP17" s="28"/>
      <c r="AQ17" s="9"/>
      <c r="BB17" s="15"/>
      <c r="BC17" s="3"/>
    </row>
    <row r="18" ht="13.5" customHeight="1">
      <c r="A18" s="22"/>
      <c r="B18" s="10"/>
      <c r="C18" s="11"/>
      <c r="D18" s="11"/>
      <c r="E18" s="11"/>
      <c r="F18" s="11"/>
      <c r="G18" s="11"/>
      <c r="H18" s="11"/>
      <c r="I18" s="11"/>
      <c r="J18" s="11"/>
      <c r="K18" s="11"/>
      <c r="L18" s="11"/>
      <c r="M18" s="11"/>
      <c r="N18" s="58"/>
      <c r="O18" s="10"/>
      <c r="P18" s="11"/>
      <c r="Q18" s="11"/>
      <c r="R18" s="11"/>
      <c r="S18" s="11"/>
      <c r="T18" s="59"/>
      <c r="U18" s="11"/>
      <c r="V18" s="11"/>
      <c r="W18" s="12"/>
      <c r="X18" s="10"/>
      <c r="Y18" s="11"/>
      <c r="Z18" s="11"/>
      <c r="AA18" s="11"/>
      <c r="AB18" s="11"/>
      <c r="AC18" s="59"/>
      <c r="AD18" s="11"/>
      <c r="AE18" s="11"/>
      <c r="AF18" s="11"/>
      <c r="AG18" s="12"/>
      <c r="AH18" s="10"/>
      <c r="AI18" s="11"/>
      <c r="AJ18" s="11"/>
      <c r="AK18" s="11"/>
      <c r="AL18" s="59"/>
      <c r="AM18" s="11"/>
      <c r="AN18" s="11"/>
      <c r="AO18" s="12"/>
      <c r="AP18" s="60"/>
      <c r="AQ18" s="9"/>
      <c r="BB18" s="15"/>
      <c r="BC18" s="3"/>
    </row>
    <row r="19" ht="16.5" customHeight="1">
      <c r="A19" s="22"/>
      <c r="B19" s="737" t="s">
        <v>33</v>
      </c>
      <c r="C19" s="738" t="s">
        <v>34</v>
      </c>
      <c r="G19" s="738">
        <v>25.0</v>
      </c>
      <c r="H19" s="404"/>
      <c r="I19" s="739">
        <f t="shared" ref="I19:I36" si="1">SUM(G19,H19)</f>
        <v>25</v>
      </c>
      <c r="J19" s="740">
        <f>int(DIVIDE(I19,2))</f>
        <v>12</v>
      </c>
      <c r="K19" s="741">
        <f t="shared" ref="K19:K36" si="2">int(DIVIDE(I19,5))</f>
        <v>5</v>
      </c>
      <c r="L19" s="742" t="s">
        <v>33</v>
      </c>
      <c r="M19" s="738" t="s">
        <v>35</v>
      </c>
      <c r="Q19" s="738">
        <v>0.0</v>
      </c>
      <c r="R19" s="408"/>
      <c r="S19" s="739">
        <f t="shared" ref="S19:S36" si="3">SUM(Q19,R19)</f>
        <v>0</v>
      </c>
      <c r="T19" s="743">
        <f t="shared" ref="T19:T36" si="4">Int(DIVIDE(S19,2))</f>
        <v>0</v>
      </c>
      <c r="U19" s="744">
        <f t="shared" ref="U19:U36" si="5">int(DIVIDE(S19,5))</f>
        <v>0</v>
      </c>
      <c r="V19" s="742" t="s">
        <v>33</v>
      </c>
      <c r="W19" s="738" t="s">
        <v>36</v>
      </c>
      <c r="AA19" s="738">
        <v>0.0</v>
      </c>
      <c r="AB19" s="411"/>
      <c r="AC19" s="739">
        <f t="shared" ref="AC19:AC36" si="6">SUM(AA19,AB19)</f>
        <v>0</v>
      </c>
      <c r="AD19" s="743">
        <f t="shared" ref="AD19:AD36" si="7">Int(DIVIDE(AC19,2))</f>
        <v>0</v>
      </c>
      <c r="AE19" s="744">
        <f t="shared" ref="AE19:AE36" si="8">int(DIVIDE(AC19,5))</f>
        <v>0</v>
      </c>
      <c r="AF19" s="742" t="s">
        <v>33</v>
      </c>
      <c r="AG19" s="738" t="s">
        <v>37</v>
      </c>
      <c r="AK19" s="745">
        <v>1.0</v>
      </c>
      <c r="AL19" s="408"/>
      <c r="AM19" s="746">
        <f t="shared" ref="AM19:AM36" si="9">SUM(AK19,AL19)</f>
        <v>1</v>
      </c>
      <c r="AN19" s="740">
        <f t="shared" ref="AN19:AN36" si="10">Int(DIVIDE(AM19,2))</f>
        <v>0</v>
      </c>
      <c r="AO19" s="741">
        <f t="shared" ref="AO19:AO36" si="11">int(DIVIDE(AM19,5))</f>
        <v>0</v>
      </c>
      <c r="AP19" s="60"/>
      <c r="AQ19" s="10"/>
      <c r="AR19" s="11"/>
      <c r="AS19" s="11"/>
      <c r="AT19" s="11"/>
      <c r="AU19" s="11"/>
      <c r="AV19" s="11"/>
      <c r="AW19" s="11"/>
      <c r="AX19" s="11"/>
      <c r="AY19" s="11"/>
      <c r="AZ19" s="11"/>
      <c r="BA19" s="11"/>
      <c r="BB19" s="12"/>
      <c r="BC19" s="3"/>
    </row>
    <row r="20" ht="16.5" customHeight="1">
      <c r="A20" s="22"/>
      <c r="B20" s="747" t="s">
        <v>33</v>
      </c>
      <c r="C20" s="738" t="s">
        <v>38</v>
      </c>
      <c r="G20" s="738">
        <v>20.0</v>
      </c>
      <c r="H20" s="408"/>
      <c r="I20" s="739">
        <f t="shared" si="1"/>
        <v>20</v>
      </c>
      <c r="J20" s="740">
        <f t="shared" ref="J20:J22" si="12">Int(DIVIDE(I20,2))</f>
        <v>10</v>
      </c>
      <c r="K20" s="741">
        <f t="shared" si="2"/>
        <v>4</v>
      </c>
      <c r="L20" s="742" t="s">
        <v>33</v>
      </c>
      <c r="M20" s="738" t="s">
        <v>39</v>
      </c>
      <c r="Q20" s="738">
        <v>5.0</v>
      </c>
      <c r="R20" s="408"/>
      <c r="S20" s="739">
        <f t="shared" si="3"/>
        <v>5</v>
      </c>
      <c r="T20" s="743">
        <f t="shared" si="4"/>
        <v>2</v>
      </c>
      <c r="U20" s="744">
        <f t="shared" si="5"/>
        <v>1</v>
      </c>
      <c r="V20" s="748" t="s">
        <v>33</v>
      </c>
      <c r="W20" s="738" t="s">
        <v>40</v>
      </c>
      <c r="AA20" s="738">
        <v>5.0</v>
      </c>
      <c r="AB20" s="408"/>
      <c r="AC20" s="739">
        <f t="shared" si="6"/>
        <v>5</v>
      </c>
      <c r="AD20" s="743">
        <f t="shared" si="7"/>
        <v>2</v>
      </c>
      <c r="AE20" s="744">
        <f t="shared" si="8"/>
        <v>1</v>
      </c>
      <c r="AF20" s="742" t="s">
        <v>33</v>
      </c>
      <c r="AG20" s="738" t="s">
        <v>41</v>
      </c>
      <c r="AK20" s="745">
        <v>30.0</v>
      </c>
      <c r="AL20" s="408"/>
      <c r="AM20" s="746">
        <f t="shared" si="9"/>
        <v>30</v>
      </c>
      <c r="AN20" s="740">
        <f t="shared" si="10"/>
        <v>15</v>
      </c>
      <c r="AO20" s="741">
        <f t="shared" si="11"/>
        <v>6</v>
      </c>
      <c r="AP20" s="28"/>
      <c r="AQ20" s="98"/>
      <c r="AR20" s="98"/>
      <c r="AS20" s="98"/>
      <c r="AT20" s="98"/>
      <c r="AU20" s="98"/>
      <c r="AV20" s="98"/>
      <c r="AW20" s="98"/>
      <c r="AX20" s="98"/>
      <c r="AY20" s="98"/>
      <c r="AZ20" s="98"/>
      <c r="BA20" s="98"/>
      <c r="BB20" s="98"/>
      <c r="BC20" s="3"/>
    </row>
    <row r="21" ht="16.5" customHeight="1">
      <c r="A21" s="22"/>
      <c r="B21" s="747" t="s">
        <v>33</v>
      </c>
      <c r="C21" s="738" t="s">
        <v>42</v>
      </c>
      <c r="G21" s="738">
        <v>20.0</v>
      </c>
      <c r="H21" s="408"/>
      <c r="I21" s="739">
        <f t="shared" si="1"/>
        <v>20</v>
      </c>
      <c r="J21" s="740">
        <f t="shared" si="12"/>
        <v>10</v>
      </c>
      <c r="K21" s="741">
        <f t="shared" si="2"/>
        <v>4</v>
      </c>
      <c r="L21" s="742" t="s">
        <v>33</v>
      </c>
      <c r="M21" s="738" t="s">
        <v>43</v>
      </c>
      <c r="Q21" s="738">
        <v>10.0</v>
      </c>
      <c r="R21" s="413"/>
      <c r="S21" s="739">
        <f t="shared" si="3"/>
        <v>10</v>
      </c>
      <c r="T21" s="743">
        <f t="shared" si="4"/>
        <v>5</v>
      </c>
      <c r="U21" s="744">
        <f t="shared" si="5"/>
        <v>2</v>
      </c>
      <c r="V21" s="742" t="s">
        <v>33</v>
      </c>
      <c r="W21" s="738" t="s">
        <v>44</v>
      </c>
      <c r="AA21" s="738">
        <v>1.0</v>
      </c>
      <c r="AB21" s="413"/>
      <c r="AC21" s="739">
        <f t="shared" si="6"/>
        <v>1</v>
      </c>
      <c r="AD21" s="743">
        <f t="shared" si="7"/>
        <v>0</v>
      </c>
      <c r="AE21" s="744">
        <f t="shared" si="8"/>
        <v>0</v>
      </c>
      <c r="AF21" s="742" t="s">
        <v>33</v>
      </c>
      <c r="AG21" s="738" t="s">
        <v>45</v>
      </c>
      <c r="AK21" s="745">
        <v>10.0</v>
      </c>
      <c r="AL21" s="413"/>
      <c r="AM21" s="746">
        <f t="shared" si="9"/>
        <v>10</v>
      </c>
      <c r="AN21" s="740">
        <f t="shared" si="10"/>
        <v>5</v>
      </c>
      <c r="AO21" s="741">
        <f t="shared" si="11"/>
        <v>2</v>
      </c>
      <c r="AP21" s="99"/>
      <c r="AQ21" s="734" t="s">
        <v>46</v>
      </c>
      <c r="AR21" s="5"/>
      <c r="AS21" s="5"/>
      <c r="AT21" s="5"/>
      <c r="AU21" s="5"/>
      <c r="AV21" s="5"/>
      <c r="AW21" s="5"/>
      <c r="AX21" s="5"/>
      <c r="AY21" s="5"/>
      <c r="AZ21" s="5"/>
      <c r="BA21" s="5"/>
      <c r="BB21" s="7"/>
      <c r="BC21" s="3"/>
    </row>
    <row r="22" ht="16.5" customHeight="1">
      <c r="A22" s="22"/>
      <c r="B22" s="747" t="s">
        <v>33</v>
      </c>
      <c r="C22" s="738" t="s">
        <v>47</v>
      </c>
      <c r="G22" s="738">
        <v>5.0</v>
      </c>
      <c r="H22" s="408"/>
      <c r="I22" s="739">
        <f t="shared" si="1"/>
        <v>5</v>
      </c>
      <c r="J22" s="740">
        <f t="shared" si="12"/>
        <v>2</v>
      </c>
      <c r="K22" s="741">
        <f t="shared" si="2"/>
        <v>1</v>
      </c>
      <c r="L22" s="742" t="s">
        <v>33</v>
      </c>
      <c r="M22" s="749" t="s">
        <v>48</v>
      </c>
      <c r="Q22" s="738">
        <v>1.0</v>
      </c>
      <c r="R22" s="408"/>
      <c r="S22" s="739">
        <f t="shared" si="3"/>
        <v>1</v>
      </c>
      <c r="T22" s="743">
        <f t="shared" si="4"/>
        <v>0</v>
      </c>
      <c r="U22" s="744">
        <f t="shared" si="5"/>
        <v>0</v>
      </c>
      <c r="V22" s="742" t="s">
        <v>33</v>
      </c>
      <c r="W22" s="738" t="s">
        <v>49</v>
      </c>
      <c r="AA22" s="738">
        <v>10.0</v>
      </c>
      <c r="AB22" s="408"/>
      <c r="AC22" s="739">
        <f t="shared" si="6"/>
        <v>10</v>
      </c>
      <c r="AD22" s="743">
        <f t="shared" si="7"/>
        <v>5</v>
      </c>
      <c r="AE22" s="744">
        <f t="shared" si="8"/>
        <v>2</v>
      </c>
      <c r="AF22" s="742" t="s">
        <v>33</v>
      </c>
      <c r="AG22" s="738" t="s">
        <v>50</v>
      </c>
      <c r="AK22" s="745">
        <v>20.0</v>
      </c>
      <c r="AL22" s="408"/>
      <c r="AM22" s="746">
        <f t="shared" si="9"/>
        <v>20</v>
      </c>
      <c r="AN22" s="740">
        <f t="shared" si="10"/>
        <v>10</v>
      </c>
      <c r="AO22" s="741">
        <f t="shared" si="11"/>
        <v>4</v>
      </c>
      <c r="AP22" s="28"/>
      <c r="AQ22" s="10"/>
      <c r="AR22" s="11"/>
      <c r="AS22" s="11"/>
      <c r="AT22" s="11"/>
      <c r="AU22" s="11"/>
      <c r="AV22" s="11"/>
      <c r="AW22" s="11"/>
      <c r="AX22" s="11"/>
      <c r="AY22" s="11"/>
      <c r="AZ22" s="11"/>
      <c r="BA22" s="11"/>
      <c r="BB22" s="12"/>
      <c r="BC22" s="3"/>
    </row>
    <row r="23" ht="16.5" customHeight="1">
      <c r="A23" s="22"/>
      <c r="B23" s="747" t="s">
        <v>33</v>
      </c>
      <c r="C23" s="738" t="s">
        <v>51</v>
      </c>
      <c r="G23" s="738">
        <v>1.0</v>
      </c>
      <c r="H23" s="408"/>
      <c r="I23" s="739">
        <f t="shared" si="1"/>
        <v>1</v>
      </c>
      <c r="J23" s="740">
        <f>int(DIVIDE(I23,2))</f>
        <v>0</v>
      </c>
      <c r="K23" s="741">
        <f t="shared" si="2"/>
        <v>0</v>
      </c>
      <c r="L23" s="742" t="s">
        <v>33</v>
      </c>
      <c r="M23" s="750"/>
      <c r="Q23" s="738"/>
      <c r="R23" s="413"/>
      <c r="S23" s="739">
        <f t="shared" si="3"/>
        <v>0</v>
      </c>
      <c r="T23" s="743">
        <f t="shared" si="4"/>
        <v>0</v>
      </c>
      <c r="U23" s="744">
        <f t="shared" si="5"/>
        <v>0</v>
      </c>
      <c r="V23" s="742" t="s">
        <v>33</v>
      </c>
      <c r="W23" s="738" t="s">
        <v>52</v>
      </c>
      <c r="AA23" s="738">
        <v>15.0</v>
      </c>
      <c r="AB23" s="408"/>
      <c r="AC23" s="739">
        <f t="shared" si="6"/>
        <v>15</v>
      </c>
      <c r="AD23" s="743">
        <f t="shared" si="7"/>
        <v>7</v>
      </c>
      <c r="AE23" s="744">
        <f t="shared" si="8"/>
        <v>3</v>
      </c>
      <c r="AF23" s="742" t="s">
        <v>33</v>
      </c>
      <c r="AG23" s="738" t="s">
        <v>53</v>
      </c>
      <c r="AK23" s="745">
        <v>20.0</v>
      </c>
      <c r="AL23" s="408"/>
      <c r="AM23" s="746">
        <f t="shared" si="9"/>
        <v>20</v>
      </c>
      <c r="AN23" s="740">
        <f t="shared" si="10"/>
        <v>10</v>
      </c>
      <c r="AO23" s="741">
        <f t="shared" si="11"/>
        <v>4</v>
      </c>
      <c r="AP23" s="28"/>
      <c r="AQ23" s="751" t="s">
        <v>54</v>
      </c>
      <c r="AR23" s="105"/>
      <c r="AS23" s="105"/>
      <c r="AT23" s="105"/>
      <c r="AU23" s="105"/>
      <c r="AV23" s="105"/>
      <c r="AW23" s="752">
        <f>if((V10+V14)&lt;=64,-2,if((V10+V14)&lt;=84,-1,if((V10+V14)&lt;=124,0,if((V10+V14)&lt;=164,"+1D4",if((V10+V14)&lt;=204,"+1D6",if((V10+V14)&lt;=284,"+2D6",if((V10+V14)&lt;=20364,"+3D6",if((V10+V14)&lt;=444,"+4D6",if((V10+V14)&lt;=524,"+5D6")))))))))
</f>
        <v>-2</v>
      </c>
      <c r="AX23" s="105"/>
      <c r="AY23" s="105"/>
      <c r="AZ23" s="105"/>
      <c r="BA23" s="105"/>
      <c r="BB23" s="107"/>
      <c r="BC23" s="3"/>
    </row>
    <row r="24" ht="16.5" customHeight="1">
      <c r="A24" s="22"/>
      <c r="B24" s="747" t="s">
        <v>33</v>
      </c>
      <c r="C24" s="738" t="s">
        <v>55</v>
      </c>
      <c r="G24" s="738">
        <v>10.0</v>
      </c>
      <c r="H24" s="408"/>
      <c r="I24" s="739">
        <f t="shared" si="1"/>
        <v>10</v>
      </c>
      <c r="J24" s="740">
        <f t="shared" ref="J24:J26" si="13">Int(DIVIDE(I24,2))</f>
        <v>5</v>
      </c>
      <c r="K24" s="741">
        <f t="shared" si="2"/>
        <v>2</v>
      </c>
      <c r="L24" s="742" t="s">
        <v>33</v>
      </c>
      <c r="M24" s="750"/>
      <c r="Q24" s="738"/>
      <c r="R24" s="413"/>
      <c r="S24" s="739">
        <f t="shared" si="3"/>
        <v>0</v>
      </c>
      <c r="T24" s="743">
        <f t="shared" si="4"/>
        <v>0</v>
      </c>
      <c r="U24" s="744">
        <f t="shared" si="5"/>
        <v>0</v>
      </c>
      <c r="V24" s="742" t="s">
        <v>33</v>
      </c>
      <c r="W24" s="738" t="s">
        <v>56</v>
      </c>
      <c r="AA24" s="738">
        <v>15.0</v>
      </c>
      <c r="AB24" s="408"/>
      <c r="AC24" s="739">
        <f t="shared" si="6"/>
        <v>15</v>
      </c>
      <c r="AD24" s="743">
        <f t="shared" si="7"/>
        <v>7</v>
      </c>
      <c r="AE24" s="744">
        <f t="shared" si="8"/>
        <v>3</v>
      </c>
      <c r="AF24" s="742" t="s">
        <v>33</v>
      </c>
      <c r="AG24" s="738" t="s">
        <v>57</v>
      </c>
      <c r="AK24" s="745">
        <v>20.0</v>
      </c>
      <c r="AL24" s="408"/>
      <c r="AM24" s="746">
        <f t="shared" si="9"/>
        <v>20</v>
      </c>
      <c r="AN24" s="740">
        <f t="shared" si="10"/>
        <v>10</v>
      </c>
      <c r="AO24" s="741">
        <f t="shared" si="11"/>
        <v>4</v>
      </c>
      <c r="AP24" s="28"/>
      <c r="AQ24" s="751" t="s">
        <v>58</v>
      </c>
      <c r="AR24" s="105"/>
      <c r="AS24" s="105"/>
      <c r="AT24" s="105"/>
      <c r="AU24" s="105"/>
      <c r="AV24" s="105"/>
      <c r="AW24" s="752">
        <f>if((V10+V14)&lt;=64,-2,if((V10+V14)&lt;=84,-1,if((V10+V14)&lt;=124,0,if((V10+V14)&lt;=164,"+1",if((V10+V14)&lt;=204,"+2",if((V10+V14)&lt;=284,"+3",if((V10+V14)&lt;=20364,"+4",if((V10+V14)&lt;=444,"+5",if((V10+V14)&lt;=524,"+6")))))))))</f>
        <v>-2</v>
      </c>
      <c r="AX24" s="105"/>
      <c r="AY24" s="105"/>
      <c r="AZ24" s="105"/>
      <c r="BA24" s="105"/>
      <c r="BB24" s="107"/>
      <c r="BC24" s="3"/>
    </row>
    <row r="25" ht="16.5" customHeight="1">
      <c r="A25" s="22"/>
      <c r="B25" s="747" t="s">
        <v>33</v>
      </c>
      <c r="C25" s="738" t="s">
        <v>59</v>
      </c>
      <c r="G25" s="738">
        <v>10.0</v>
      </c>
      <c r="H25" s="413"/>
      <c r="I25" s="739">
        <f t="shared" si="1"/>
        <v>10</v>
      </c>
      <c r="J25" s="740">
        <f t="shared" si="13"/>
        <v>5</v>
      </c>
      <c r="K25" s="741">
        <f t="shared" si="2"/>
        <v>2</v>
      </c>
      <c r="L25" s="742" t="s">
        <v>33</v>
      </c>
      <c r="M25" s="738" t="s">
        <v>60</v>
      </c>
      <c r="Q25" s="738">
        <v>5.0</v>
      </c>
      <c r="R25" s="408"/>
      <c r="S25" s="739">
        <f t="shared" si="3"/>
        <v>5</v>
      </c>
      <c r="T25" s="743">
        <f t="shared" si="4"/>
        <v>2</v>
      </c>
      <c r="U25" s="744">
        <f t="shared" si="5"/>
        <v>1</v>
      </c>
      <c r="V25" s="742" t="s">
        <v>33</v>
      </c>
      <c r="W25" s="738" t="s">
        <v>61</v>
      </c>
      <c r="AA25" s="738">
        <v>5.0</v>
      </c>
      <c r="AB25" s="408"/>
      <c r="AC25" s="739">
        <f t="shared" si="6"/>
        <v>5</v>
      </c>
      <c r="AD25" s="743">
        <f t="shared" si="7"/>
        <v>2</v>
      </c>
      <c r="AE25" s="744">
        <f t="shared" si="8"/>
        <v>1</v>
      </c>
      <c r="AF25" s="742" t="s">
        <v>33</v>
      </c>
      <c r="AG25" s="738" t="s">
        <v>62</v>
      </c>
      <c r="AK25" s="745">
        <f>Int(DIVIDE(AD10,2))</f>
        <v>0</v>
      </c>
      <c r="AL25" s="413"/>
      <c r="AM25" s="746">
        <f t="shared" si="9"/>
        <v>0</v>
      </c>
      <c r="AN25" s="740">
        <f t="shared" si="10"/>
        <v>0</v>
      </c>
      <c r="AO25" s="741">
        <f t="shared" si="11"/>
        <v>0</v>
      </c>
      <c r="AP25" s="60"/>
      <c r="AQ25" s="751" t="s">
        <v>62</v>
      </c>
      <c r="AR25" s="105"/>
      <c r="AS25" s="105"/>
      <c r="AT25" s="105"/>
      <c r="AU25" s="105"/>
      <c r="AV25" s="105"/>
      <c r="AW25" s="752">
        <f>Int(DIVIDE(AD10,2))</f>
        <v>0</v>
      </c>
      <c r="AX25" s="105"/>
      <c r="AY25" s="753">
        <f>int(AW25/2)</f>
        <v>0</v>
      </c>
      <c r="AZ25" s="105"/>
      <c r="BA25" s="754">
        <f>int(AW25/5)</f>
        <v>0</v>
      </c>
      <c r="BB25" s="107"/>
      <c r="BC25" s="3"/>
    </row>
    <row r="26" ht="16.5" customHeight="1">
      <c r="A26" s="22"/>
      <c r="B26" s="747" t="s">
        <v>33</v>
      </c>
      <c r="C26" s="738" t="s">
        <v>63</v>
      </c>
      <c r="G26" s="738">
        <v>20.0</v>
      </c>
      <c r="H26" s="408"/>
      <c r="I26" s="739">
        <f t="shared" si="1"/>
        <v>20</v>
      </c>
      <c r="J26" s="740">
        <f t="shared" si="13"/>
        <v>10</v>
      </c>
      <c r="K26" s="741">
        <f t="shared" si="2"/>
        <v>4</v>
      </c>
      <c r="L26" s="742" t="s">
        <v>33</v>
      </c>
      <c r="M26" s="738" t="s">
        <v>64</v>
      </c>
      <c r="Q26" s="738">
        <v>1.0</v>
      </c>
      <c r="R26" s="413"/>
      <c r="S26" s="739">
        <f t="shared" si="3"/>
        <v>1</v>
      </c>
      <c r="T26" s="743">
        <f t="shared" si="4"/>
        <v>0</v>
      </c>
      <c r="U26" s="744">
        <f t="shared" si="5"/>
        <v>0</v>
      </c>
      <c r="V26" s="742" t="s">
        <v>33</v>
      </c>
      <c r="W26" s="738" t="s">
        <v>65</v>
      </c>
      <c r="AA26" s="738">
        <v>10.0</v>
      </c>
      <c r="AB26" s="408"/>
      <c r="AC26" s="739">
        <f t="shared" si="6"/>
        <v>10</v>
      </c>
      <c r="AD26" s="743">
        <f t="shared" si="7"/>
        <v>5</v>
      </c>
      <c r="AE26" s="744">
        <f t="shared" si="8"/>
        <v>2</v>
      </c>
      <c r="AF26" s="742" t="s">
        <v>33</v>
      </c>
      <c r="AG26" s="738" t="s">
        <v>66</v>
      </c>
      <c r="AK26" s="745">
        <v>5.0</v>
      </c>
      <c r="AL26" s="408"/>
      <c r="AM26" s="746">
        <f t="shared" si="9"/>
        <v>5</v>
      </c>
      <c r="AN26" s="740">
        <f t="shared" si="10"/>
        <v>2</v>
      </c>
      <c r="AO26" s="741">
        <f t="shared" si="11"/>
        <v>1</v>
      </c>
      <c r="AP26" s="60"/>
      <c r="AQ26" s="755" t="s">
        <v>67</v>
      </c>
      <c r="AR26" s="105"/>
      <c r="AS26" s="105"/>
      <c r="AT26" s="105"/>
      <c r="AU26" s="105"/>
      <c r="AV26" s="107"/>
      <c r="AW26" s="756">
        <f>IF(AND(V10&gt;V14,AD10&gt;V14),if(int(divide(L13,10))&gt;=4,12-int(divide(L13,10)),9),if(and(V10&lt;V14,AD10&lt;V14),if(int(divide(L13,10))&gt;=4,10-int(divide(L13,10)),7),if(int(divide(L13,10))&gt;=4,11-int(divide(L13,10)),8)))</f>
        <v>8</v>
      </c>
      <c r="AX26" s="105"/>
      <c r="AY26" s="105"/>
      <c r="AZ26" s="105"/>
      <c r="BA26" s="105"/>
      <c r="BB26" s="107"/>
      <c r="BC26" s="3"/>
    </row>
    <row r="27" ht="16.5" customHeight="1">
      <c r="A27" s="22"/>
      <c r="B27" s="747" t="s">
        <v>33</v>
      </c>
      <c r="C27" s="738" t="s">
        <v>68</v>
      </c>
      <c r="G27" s="738">
        <v>1.0</v>
      </c>
      <c r="H27" s="413"/>
      <c r="I27" s="739">
        <f t="shared" si="1"/>
        <v>1</v>
      </c>
      <c r="J27" s="740">
        <f>int(DIVIDE(I27,2))</f>
        <v>0</v>
      </c>
      <c r="K27" s="741">
        <f t="shared" si="2"/>
        <v>0</v>
      </c>
      <c r="L27" s="742" t="s">
        <v>33</v>
      </c>
      <c r="M27" s="738" t="s">
        <v>69</v>
      </c>
      <c r="Q27" s="738">
        <v>5.0</v>
      </c>
      <c r="R27" s="413"/>
      <c r="S27" s="739">
        <f t="shared" si="3"/>
        <v>5</v>
      </c>
      <c r="T27" s="743">
        <f t="shared" si="4"/>
        <v>2</v>
      </c>
      <c r="U27" s="744">
        <f t="shared" si="5"/>
        <v>1</v>
      </c>
      <c r="V27" s="742" t="s">
        <v>33</v>
      </c>
      <c r="W27" s="750" t="str">
        <f>"모국어"&amp;IF(ISBLANK(L14),"",":"&amp;L14)</f>
        <v>모국어</v>
      </c>
      <c r="AA27" s="738">
        <f>(AL12*1)</f>
        <v>0</v>
      </c>
      <c r="AB27" s="413"/>
      <c r="AC27" s="739">
        <f t="shared" si="6"/>
        <v>0</v>
      </c>
      <c r="AD27" s="743">
        <f t="shared" si="7"/>
        <v>0</v>
      </c>
      <c r="AE27" s="744">
        <f t="shared" si="8"/>
        <v>0</v>
      </c>
      <c r="AF27" s="742" t="s">
        <v>33</v>
      </c>
      <c r="AG27" s="738" t="s">
        <v>70</v>
      </c>
      <c r="AK27" s="745">
        <v>20.0</v>
      </c>
      <c r="AL27" s="413"/>
      <c r="AM27" s="746">
        <f t="shared" si="9"/>
        <v>20</v>
      </c>
      <c r="AN27" s="740">
        <f t="shared" si="10"/>
        <v>10</v>
      </c>
      <c r="AO27" s="741">
        <f t="shared" si="11"/>
        <v>4</v>
      </c>
      <c r="AP27" s="60"/>
      <c r="AQ27" s="757" t="s">
        <v>71</v>
      </c>
      <c r="AR27" s="5"/>
      <c r="AS27" s="5"/>
      <c r="AT27" s="7"/>
      <c r="AU27" s="113"/>
      <c r="AV27" s="5"/>
      <c r="AW27" s="5"/>
      <c r="AX27" s="7"/>
      <c r="AY27" s="758" t="s">
        <v>72</v>
      </c>
      <c r="AZ27" s="105"/>
      <c r="BA27" s="105"/>
      <c r="BB27" s="107"/>
      <c r="BC27" s="3"/>
    </row>
    <row r="28" ht="16.5" customHeight="1">
      <c r="A28" s="22"/>
      <c r="B28" s="747" t="s">
        <v>33</v>
      </c>
      <c r="C28" s="750" t="s">
        <v>73</v>
      </c>
      <c r="G28" s="738">
        <v>1.0</v>
      </c>
      <c r="H28" s="413"/>
      <c r="I28" s="739">
        <f t="shared" si="1"/>
        <v>1</v>
      </c>
      <c r="J28" s="740">
        <f t="shared" ref="J28:J29" si="14">Int(DIVIDE(I28,2))</f>
        <v>0</v>
      </c>
      <c r="K28" s="741">
        <f t="shared" si="2"/>
        <v>0</v>
      </c>
      <c r="L28" s="742" t="s">
        <v>33</v>
      </c>
      <c r="M28" s="738" t="s">
        <v>74</v>
      </c>
      <c r="Q28" s="738">
        <v>1.0</v>
      </c>
      <c r="R28" s="413"/>
      <c r="S28" s="739">
        <f t="shared" si="3"/>
        <v>1</v>
      </c>
      <c r="T28" s="743">
        <f t="shared" si="4"/>
        <v>0</v>
      </c>
      <c r="U28" s="744">
        <f t="shared" si="5"/>
        <v>0</v>
      </c>
      <c r="V28" s="742" t="s">
        <v>33</v>
      </c>
      <c r="W28" s="750" t="s">
        <v>75</v>
      </c>
      <c r="AA28" s="738">
        <v>1.0</v>
      </c>
      <c r="AB28" s="413"/>
      <c r="AC28" s="739">
        <f t="shared" si="6"/>
        <v>1</v>
      </c>
      <c r="AD28" s="743">
        <f t="shared" si="7"/>
        <v>0</v>
      </c>
      <c r="AE28" s="744">
        <f t="shared" si="8"/>
        <v>0</v>
      </c>
      <c r="AF28" s="742" t="s">
        <v>33</v>
      </c>
      <c r="AG28" s="738" t="s">
        <v>76</v>
      </c>
      <c r="AK28" s="745">
        <v>10.0</v>
      </c>
      <c r="AL28" s="408"/>
      <c r="AM28" s="746">
        <f t="shared" si="9"/>
        <v>10</v>
      </c>
      <c r="AN28" s="740">
        <f t="shared" si="10"/>
        <v>5</v>
      </c>
      <c r="AO28" s="741">
        <f t="shared" si="11"/>
        <v>2</v>
      </c>
      <c r="AP28" s="60"/>
      <c r="AQ28" s="10"/>
      <c r="AR28" s="11"/>
      <c r="AS28" s="11"/>
      <c r="AT28" s="12"/>
      <c r="AU28" s="10"/>
      <c r="AV28" s="11"/>
      <c r="AW28" s="11"/>
      <c r="AX28" s="12"/>
      <c r="AY28" s="759">
        <f>Int((V14+V12)/10)</f>
        <v>0</v>
      </c>
      <c r="AZ28" s="105"/>
      <c r="BA28" s="105"/>
      <c r="BB28" s="107"/>
      <c r="BC28" s="3"/>
    </row>
    <row r="29" ht="16.5" customHeight="1">
      <c r="A29" s="22"/>
      <c r="B29" s="747" t="s">
        <v>33</v>
      </c>
      <c r="C29" s="749"/>
      <c r="G29" s="760"/>
      <c r="H29" s="408"/>
      <c r="I29" s="739">
        <f t="shared" si="1"/>
        <v>0</v>
      </c>
      <c r="J29" s="740">
        <f t="shared" si="14"/>
        <v>0</v>
      </c>
      <c r="K29" s="741">
        <f t="shared" si="2"/>
        <v>0</v>
      </c>
      <c r="L29" s="742" t="s">
        <v>33</v>
      </c>
      <c r="M29" s="738" t="s">
        <v>77</v>
      </c>
      <c r="Q29" s="738">
        <v>5.0</v>
      </c>
      <c r="R29" s="413"/>
      <c r="S29" s="739">
        <f t="shared" si="3"/>
        <v>5</v>
      </c>
      <c r="T29" s="743">
        <f t="shared" si="4"/>
        <v>2</v>
      </c>
      <c r="U29" s="744">
        <f t="shared" si="5"/>
        <v>1</v>
      </c>
      <c r="V29" s="742" t="s">
        <v>33</v>
      </c>
      <c r="W29" s="750"/>
      <c r="AA29" s="738"/>
      <c r="AB29" s="413"/>
      <c r="AC29" s="739">
        <f t="shared" si="6"/>
        <v>0</v>
      </c>
      <c r="AD29" s="743">
        <f t="shared" si="7"/>
        <v>0</v>
      </c>
      <c r="AE29" s="744">
        <f t="shared" si="8"/>
        <v>0</v>
      </c>
      <c r="AF29" s="742" t="s">
        <v>33</v>
      </c>
      <c r="AG29" s="738" t="s">
        <v>78</v>
      </c>
      <c r="AK29" s="745">
        <v>1.0</v>
      </c>
      <c r="AL29" s="413"/>
      <c r="AM29" s="746">
        <f t="shared" si="9"/>
        <v>1</v>
      </c>
      <c r="AN29" s="740">
        <f t="shared" si="10"/>
        <v>0</v>
      </c>
      <c r="AO29" s="741">
        <f t="shared" si="11"/>
        <v>0</v>
      </c>
      <c r="AP29" s="28"/>
      <c r="AQ29" s="757" t="s">
        <v>79</v>
      </c>
      <c r="AR29" s="5"/>
      <c r="AS29" s="5"/>
      <c r="AT29" s="7"/>
      <c r="AU29" s="113"/>
      <c r="AV29" s="5"/>
      <c r="AW29" s="5"/>
      <c r="AX29" s="7"/>
      <c r="AY29" s="758" t="s">
        <v>80</v>
      </c>
      <c r="AZ29" s="105"/>
      <c r="BA29" s="105"/>
      <c r="BB29" s="107"/>
      <c r="BC29" s="3"/>
    </row>
    <row r="30" ht="16.5" customHeight="1">
      <c r="A30" s="22"/>
      <c r="B30" s="747" t="s">
        <v>33</v>
      </c>
      <c r="C30" s="738" t="s">
        <v>81</v>
      </c>
      <c r="G30" s="745">
        <v>10.0</v>
      </c>
      <c r="H30" s="413"/>
      <c r="I30" s="739">
        <f t="shared" si="1"/>
        <v>10</v>
      </c>
      <c r="J30" s="740">
        <f>int(DIVIDE(I30,2))</f>
        <v>5</v>
      </c>
      <c r="K30" s="741">
        <f t="shared" si="2"/>
        <v>2</v>
      </c>
      <c r="L30" s="742" t="s">
        <v>33</v>
      </c>
      <c r="M30" s="738" t="s">
        <v>82</v>
      </c>
      <c r="Q30" s="738">
        <v>5.0</v>
      </c>
      <c r="R30" s="408"/>
      <c r="S30" s="739">
        <f t="shared" si="3"/>
        <v>5</v>
      </c>
      <c r="T30" s="743">
        <f t="shared" si="4"/>
        <v>2</v>
      </c>
      <c r="U30" s="744">
        <f t="shared" si="5"/>
        <v>1</v>
      </c>
      <c r="V30" s="742" t="s">
        <v>33</v>
      </c>
      <c r="W30" s="738" t="s">
        <v>83</v>
      </c>
      <c r="AA30" s="745">
        <v>20.0</v>
      </c>
      <c r="AB30" s="408"/>
      <c r="AC30" s="746">
        <f t="shared" si="6"/>
        <v>20</v>
      </c>
      <c r="AD30" s="740">
        <f t="shared" si="7"/>
        <v>10</v>
      </c>
      <c r="AE30" s="741">
        <f t="shared" si="8"/>
        <v>4</v>
      </c>
      <c r="AF30" s="742" t="s">
        <v>33</v>
      </c>
      <c r="AG30" s="750" t="s">
        <v>84</v>
      </c>
      <c r="AK30" s="745">
        <v>20.0</v>
      </c>
      <c r="AL30" s="413"/>
      <c r="AM30" s="739">
        <f t="shared" si="9"/>
        <v>20</v>
      </c>
      <c r="AN30" s="743">
        <f t="shared" si="10"/>
        <v>10</v>
      </c>
      <c r="AO30" s="744">
        <f t="shared" si="11"/>
        <v>4</v>
      </c>
      <c r="AP30" s="28"/>
      <c r="AQ30" s="10"/>
      <c r="AR30" s="11"/>
      <c r="AS30" s="11"/>
      <c r="AT30" s="12"/>
      <c r="AU30" s="10"/>
      <c r="AV30" s="11"/>
      <c r="AW30" s="11"/>
      <c r="AX30" s="12"/>
      <c r="AY30" s="759">
        <f>int(AL10/5)</f>
        <v>0</v>
      </c>
      <c r="AZ30" s="105"/>
      <c r="BA30" s="105"/>
      <c r="BB30" s="107"/>
      <c r="BC30" s="3"/>
    </row>
    <row r="31" ht="16.5" customHeight="1">
      <c r="A31" s="22"/>
      <c r="B31" s="747" t="s">
        <v>33</v>
      </c>
      <c r="C31" s="738" t="s">
        <v>85</v>
      </c>
      <c r="G31" s="745">
        <v>10.0</v>
      </c>
      <c r="H31" s="413"/>
      <c r="I31" s="739">
        <f t="shared" si="1"/>
        <v>10</v>
      </c>
      <c r="J31" s="740">
        <f t="shared" ref="J31:J36" si="15">Int(DIVIDE(I31,2))</f>
        <v>5</v>
      </c>
      <c r="K31" s="741">
        <f t="shared" si="2"/>
        <v>2</v>
      </c>
      <c r="L31" s="742" t="s">
        <v>33</v>
      </c>
      <c r="M31" s="738"/>
      <c r="Q31" s="738"/>
      <c r="R31" s="413"/>
      <c r="S31" s="739">
        <f t="shared" si="3"/>
        <v>0</v>
      </c>
      <c r="T31" s="743">
        <f t="shared" si="4"/>
        <v>0</v>
      </c>
      <c r="U31" s="744">
        <f t="shared" si="5"/>
        <v>0</v>
      </c>
      <c r="V31" s="742" t="s">
        <v>33</v>
      </c>
      <c r="W31" s="750" t="s">
        <v>86</v>
      </c>
      <c r="AA31" s="745">
        <v>25.0</v>
      </c>
      <c r="AB31" s="408"/>
      <c r="AC31" s="746">
        <f t="shared" si="6"/>
        <v>25</v>
      </c>
      <c r="AD31" s="740">
        <f t="shared" si="7"/>
        <v>12</v>
      </c>
      <c r="AE31" s="741">
        <f t="shared" si="8"/>
        <v>5</v>
      </c>
      <c r="AF31" s="742" t="s">
        <v>33</v>
      </c>
      <c r="AG31" s="750" t="s">
        <v>87</v>
      </c>
      <c r="AK31" s="745">
        <v>25.0</v>
      </c>
      <c r="AL31" s="413"/>
      <c r="AM31" s="739">
        <f t="shared" si="9"/>
        <v>25</v>
      </c>
      <c r="AN31" s="743">
        <f t="shared" si="10"/>
        <v>12</v>
      </c>
      <c r="AO31" s="744">
        <f t="shared" si="11"/>
        <v>5</v>
      </c>
      <c r="AP31" s="28"/>
      <c r="AQ31" s="757" t="s">
        <v>88</v>
      </c>
      <c r="AR31" s="5"/>
      <c r="AS31" s="5"/>
      <c r="AT31" s="7"/>
      <c r="AU31" s="113"/>
      <c r="AV31" s="5"/>
      <c r="AW31" s="5"/>
      <c r="AX31" s="7"/>
      <c r="AY31" s="758" t="s">
        <v>89</v>
      </c>
      <c r="AZ31" s="107"/>
      <c r="BA31" s="758" t="s">
        <v>90</v>
      </c>
      <c r="BB31" s="107"/>
      <c r="BC31" s="3"/>
    </row>
    <row r="32" ht="16.5" customHeight="1">
      <c r="A32" s="22"/>
      <c r="B32" s="747" t="s">
        <v>33</v>
      </c>
      <c r="C32" s="738" t="s">
        <v>91</v>
      </c>
      <c r="G32" s="745">
        <v>5.0</v>
      </c>
      <c r="H32" s="408"/>
      <c r="I32" s="739">
        <f t="shared" si="1"/>
        <v>5</v>
      </c>
      <c r="J32" s="740">
        <f t="shared" si="15"/>
        <v>2</v>
      </c>
      <c r="K32" s="741">
        <f t="shared" si="2"/>
        <v>1</v>
      </c>
      <c r="L32" s="742" t="s">
        <v>33</v>
      </c>
      <c r="M32" s="761" t="s">
        <v>92</v>
      </c>
      <c r="Q32" s="745">
        <v>1.0</v>
      </c>
      <c r="R32" s="413"/>
      <c r="S32" s="739">
        <f t="shared" si="3"/>
        <v>1</v>
      </c>
      <c r="T32" s="743">
        <f t="shared" si="4"/>
        <v>0</v>
      </c>
      <c r="U32" s="744">
        <f t="shared" si="5"/>
        <v>0</v>
      </c>
      <c r="V32" s="742" t="s">
        <v>33</v>
      </c>
      <c r="W32" s="750" t="s">
        <v>93</v>
      </c>
      <c r="AA32" s="745">
        <v>20.0</v>
      </c>
      <c r="AB32" s="413"/>
      <c r="AC32" s="746">
        <f t="shared" si="6"/>
        <v>20</v>
      </c>
      <c r="AD32" s="740">
        <f t="shared" si="7"/>
        <v>10</v>
      </c>
      <c r="AE32" s="741">
        <f t="shared" si="8"/>
        <v>4</v>
      </c>
      <c r="AF32" s="742" t="s">
        <v>33</v>
      </c>
      <c r="AG32" s="750" t="s">
        <v>94</v>
      </c>
      <c r="AK32" s="745">
        <v>15.0</v>
      </c>
      <c r="AL32" s="413"/>
      <c r="AM32" s="739">
        <f t="shared" si="9"/>
        <v>15</v>
      </c>
      <c r="AN32" s="743">
        <f t="shared" si="10"/>
        <v>7</v>
      </c>
      <c r="AO32" s="744">
        <f t="shared" si="11"/>
        <v>3</v>
      </c>
      <c r="AP32" s="28"/>
      <c r="AQ32" s="10"/>
      <c r="AR32" s="11"/>
      <c r="AS32" s="11"/>
      <c r="AT32" s="12"/>
      <c r="AU32" s="10"/>
      <c r="AV32" s="11"/>
      <c r="AW32" s="11"/>
      <c r="AX32" s="12"/>
      <c r="AY32" s="759" t="str">
        <f>IF(AL10=0,"자동",MIN(AL10,BA32))</f>
        <v>자동</v>
      </c>
      <c r="AZ32" s="107"/>
      <c r="BA32" s="759">
        <f>99-AB19</f>
        <v>99</v>
      </c>
      <c r="BB32" s="107"/>
      <c r="BC32" s="3"/>
    </row>
    <row r="33" ht="16.5" customHeight="1">
      <c r="A33" s="22"/>
      <c r="B33" s="747" t="s">
        <v>33</v>
      </c>
      <c r="C33" s="738" t="s">
        <v>165</v>
      </c>
      <c r="G33" s="738">
        <v>5.0</v>
      </c>
      <c r="H33" s="413"/>
      <c r="I33" s="739">
        <f t="shared" si="1"/>
        <v>5</v>
      </c>
      <c r="J33" s="740">
        <f t="shared" si="15"/>
        <v>2</v>
      </c>
      <c r="K33" s="741">
        <f t="shared" si="2"/>
        <v>1</v>
      </c>
      <c r="L33" s="742" t="s">
        <v>33</v>
      </c>
      <c r="M33" s="761" t="s">
        <v>95</v>
      </c>
      <c r="Q33" s="745">
        <v>5.0</v>
      </c>
      <c r="R33" s="413"/>
      <c r="S33" s="739">
        <f t="shared" si="3"/>
        <v>5</v>
      </c>
      <c r="T33" s="743">
        <f t="shared" si="4"/>
        <v>2</v>
      </c>
      <c r="U33" s="744">
        <f t="shared" si="5"/>
        <v>1</v>
      </c>
      <c r="V33" s="742" t="s">
        <v>33</v>
      </c>
      <c r="W33" s="750" t="s">
        <v>96</v>
      </c>
      <c r="AA33" s="745">
        <v>15.0</v>
      </c>
      <c r="AB33" s="413"/>
      <c r="AC33" s="746">
        <f t="shared" si="6"/>
        <v>15</v>
      </c>
      <c r="AD33" s="740">
        <f t="shared" si="7"/>
        <v>7</v>
      </c>
      <c r="AE33" s="741">
        <f t="shared" si="8"/>
        <v>3</v>
      </c>
      <c r="AF33" s="742" t="s">
        <v>33</v>
      </c>
      <c r="AG33" s="750" t="s">
        <v>97</v>
      </c>
      <c r="AK33" s="745">
        <v>10.0</v>
      </c>
      <c r="AL33" s="413"/>
      <c r="AM33" s="739">
        <f t="shared" si="9"/>
        <v>10</v>
      </c>
      <c r="AN33" s="743">
        <f t="shared" si="10"/>
        <v>5</v>
      </c>
      <c r="AO33" s="744">
        <f t="shared" si="11"/>
        <v>2</v>
      </c>
      <c r="AP33" s="28"/>
      <c r="AQ33" s="128" t="s">
        <v>98</v>
      </c>
      <c r="AR33" s="5"/>
      <c r="AS33" s="5"/>
      <c r="AT33" s="7"/>
      <c r="AU33" s="129" t="s">
        <v>33</v>
      </c>
      <c r="AV33" s="7"/>
      <c r="AW33" s="130" t="s">
        <v>99</v>
      </c>
      <c r="AX33" s="5"/>
      <c r="AY33" s="5"/>
      <c r="AZ33" s="7"/>
      <c r="BA33" s="131" t="s">
        <v>33</v>
      </c>
      <c r="BB33" s="7"/>
      <c r="BC33" s="3"/>
    </row>
    <row r="34" ht="16.5" customHeight="1">
      <c r="A34" s="22"/>
      <c r="B34" s="747" t="s">
        <v>33</v>
      </c>
      <c r="C34" s="738"/>
      <c r="G34" s="738"/>
      <c r="H34" s="413"/>
      <c r="I34" s="739">
        <f t="shared" si="1"/>
        <v>0</v>
      </c>
      <c r="J34" s="740">
        <f t="shared" si="15"/>
        <v>0</v>
      </c>
      <c r="K34" s="741">
        <f t="shared" si="2"/>
        <v>0</v>
      </c>
      <c r="L34" s="742" t="s">
        <v>33</v>
      </c>
      <c r="M34" s="761" t="s">
        <v>100</v>
      </c>
      <c r="Q34" s="745">
        <v>1.0</v>
      </c>
      <c r="R34" s="413"/>
      <c r="S34" s="739">
        <f t="shared" si="3"/>
        <v>1</v>
      </c>
      <c r="T34" s="743">
        <f t="shared" si="4"/>
        <v>0</v>
      </c>
      <c r="U34" s="744">
        <f t="shared" si="5"/>
        <v>0</v>
      </c>
      <c r="V34" s="742" t="s">
        <v>33</v>
      </c>
      <c r="W34" s="750" t="s">
        <v>101</v>
      </c>
      <c r="AA34" s="745">
        <v>20.0</v>
      </c>
      <c r="AB34" s="413"/>
      <c r="AC34" s="746">
        <f t="shared" si="6"/>
        <v>20</v>
      </c>
      <c r="AD34" s="740">
        <f t="shared" si="7"/>
        <v>10</v>
      </c>
      <c r="AE34" s="741">
        <f t="shared" si="8"/>
        <v>4</v>
      </c>
      <c r="AF34" s="742" t="s">
        <v>33</v>
      </c>
      <c r="AG34" s="750" t="s">
        <v>102</v>
      </c>
      <c r="AK34" s="745">
        <v>15.0</v>
      </c>
      <c r="AL34" s="413"/>
      <c r="AM34" s="739">
        <f t="shared" si="9"/>
        <v>15</v>
      </c>
      <c r="AN34" s="743">
        <f t="shared" si="10"/>
        <v>7</v>
      </c>
      <c r="AO34" s="744">
        <f t="shared" si="11"/>
        <v>3</v>
      </c>
      <c r="AP34" s="28"/>
      <c r="AQ34" s="10"/>
      <c r="AR34" s="11"/>
      <c r="AS34" s="11"/>
      <c r="AT34" s="12"/>
      <c r="AU34" s="10"/>
      <c r="AV34" s="12"/>
      <c r="AW34" s="10"/>
      <c r="AX34" s="11"/>
      <c r="AY34" s="11"/>
      <c r="AZ34" s="12"/>
      <c r="BA34" s="10"/>
      <c r="BB34" s="12"/>
      <c r="BC34" s="3"/>
    </row>
    <row r="35" ht="16.5" customHeight="1">
      <c r="A35" s="22"/>
      <c r="B35" s="747" t="s">
        <v>33</v>
      </c>
      <c r="C35" s="761" t="s">
        <v>103</v>
      </c>
      <c r="G35" s="738">
        <v>1.0</v>
      </c>
      <c r="H35" s="413"/>
      <c r="I35" s="739">
        <f t="shared" si="1"/>
        <v>1</v>
      </c>
      <c r="J35" s="740">
        <f t="shared" si="15"/>
        <v>0</v>
      </c>
      <c r="K35" s="741">
        <f t="shared" si="2"/>
        <v>0</v>
      </c>
      <c r="L35" s="742" t="s">
        <v>33</v>
      </c>
      <c r="M35" s="761" t="s">
        <v>104</v>
      </c>
      <c r="Q35" s="745">
        <v>1.0</v>
      </c>
      <c r="R35" s="413"/>
      <c r="S35" s="739">
        <f t="shared" si="3"/>
        <v>1</v>
      </c>
      <c r="T35" s="743">
        <f t="shared" si="4"/>
        <v>0</v>
      </c>
      <c r="U35" s="744">
        <f t="shared" si="5"/>
        <v>0</v>
      </c>
      <c r="V35" s="742" t="s">
        <v>33</v>
      </c>
      <c r="W35" s="750" t="s">
        <v>105</v>
      </c>
      <c r="AA35" s="745">
        <v>5.0</v>
      </c>
      <c r="AB35" s="413"/>
      <c r="AC35" s="746">
        <f t="shared" si="6"/>
        <v>5</v>
      </c>
      <c r="AD35" s="740">
        <f t="shared" si="7"/>
        <v>2</v>
      </c>
      <c r="AE35" s="741">
        <f t="shared" si="8"/>
        <v>1</v>
      </c>
      <c r="AF35" s="742" t="s">
        <v>33</v>
      </c>
      <c r="AG35" s="750" t="s">
        <v>106</v>
      </c>
      <c r="AK35" s="745">
        <v>10.0</v>
      </c>
      <c r="AL35" s="413"/>
      <c r="AM35" s="746">
        <f t="shared" si="9"/>
        <v>10</v>
      </c>
      <c r="AN35" s="740">
        <f t="shared" si="10"/>
        <v>5</v>
      </c>
      <c r="AO35" s="741">
        <f t="shared" si="11"/>
        <v>2</v>
      </c>
      <c r="AP35" s="28"/>
      <c r="AQ35" s="133" t="s">
        <v>107</v>
      </c>
      <c r="AR35" s="5"/>
      <c r="AS35" s="5"/>
      <c r="AT35" s="7"/>
      <c r="AU35" s="134" t="s">
        <v>33</v>
      </c>
      <c r="AV35" s="7"/>
      <c r="AW35" s="135" t="s">
        <v>108</v>
      </c>
      <c r="AX35" s="5"/>
      <c r="AY35" s="5"/>
      <c r="AZ35" s="7"/>
      <c r="BA35" s="136" t="s">
        <v>33</v>
      </c>
      <c r="BB35" s="7"/>
      <c r="BC35" s="3"/>
    </row>
    <row r="36" ht="16.5" customHeight="1">
      <c r="A36" s="22"/>
      <c r="B36" s="762" t="s">
        <v>33</v>
      </c>
      <c r="C36" s="761" t="s">
        <v>109</v>
      </c>
      <c r="G36" s="738">
        <v>1.0</v>
      </c>
      <c r="H36" s="413"/>
      <c r="I36" s="739">
        <f t="shared" si="1"/>
        <v>1</v>
      </c>
      <c r="J36" s="740">
        <f t="shared" si="15"/>
        <v>0</v>
      </c>
      <c r="K36" s="741">
        <f t="shared" si="2"/>
        <v>0</v>
      </c>
      <c r="L36" s="742" t="s">
        <v>33</v>
      </c>
      <c r="M36" s="761" t="s">
        <v>110</v>
      </c>
      <c r="Q36" s="745">
        <v>1.0</v>
      </c>
      <c r="R36" s="408"/>
      <c r="S36" s="739">
        <f t="shared" si="3"/>
        <v>1</v>
      </c>
      <c r="T36" s="743">
        <f t="shared" si="4"/>
        <v>0</v>
      </c>
      <c r="U36" s="744">
        <f t="shared" si="5"/>
        <v>0</v>
      </c>
      <c r="V36" s="742" t="s">
        <v>33</v>
      </c>
      <c r="W36" s="738" t="s">
        <v>111</v>
      </c>
      <c r="AA36" s="738">
        <v>10.0</v>
      </c>
      <c r="AB36" s="413"/>
      <c r="AC36" s="739">
        <f t="shared" si="6"/>
        <v>10</v>
      </c>
      <c r="AD36" s="743">
        <f t="shared" si="7"/>
        <v>5</v>
      </c>
      <c r="AE36" s="744">
        <f t="shared" si="8"/>
        <v>2</v>
      </c>
      <c r="AF36" s="742" t="s">
        <v>33</v>
      </c>
      <c r="AG36" s="738" t="s">
        <v>112</v>
      </c>
      <c r="AK36" s="745">
        <v>10.0</v>
      </c>
      <c r="AL36" s="413"/>
      <c r="AM36" s="746">
        <f t="shared" si="9"/>
        <v>10</v>
      </c>
      <c r="AN36" s="740">
        <f t="shared" si="10"/>
        <v>5</v>
      </c>
      <c r="AO36" s="741">
        <f t="shared" si="11"/>
        <v>2</v>
      </c>
      <c r="AP36" s="28"/>
      <c r="AQ36" s="10"/>
      <c r="AR36" s="11"/>
      <c r="AS36" s="11"/>
      <c r="AT36" s="12"/>
      <c r="AU36" s="10"/>
      <c r="AV36" s="12"/>
      <c r="AW36" s="10"/>
      <c r="AX36" s="11"/>
      <c r="AY36" s="11"/>
      <c r="AZ36" s="12"/>
      <c r="BA36" s="10"/>
      <c r="BB36" s="12"/>
      <c r="BC36" s="3"/>
    </row>
    <row r="37" ht="15.0" customHeight="1">
      <c r="A37" s="2"/>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3"/>
      <c r="AD37" s="53"/>
      <c r="AE37" s="53"/>
      <c r="AF37" s="53"/>
      <c r="AG37" s="53"/>
      <c r="AH37" s="53"/>
      <c r="AI37" s="53"/>
      <c r="AJ37" s="53"/>
      <c r="AK37" s="53"/>
      <c r="AL37" s="53"/>
      <c r="AM37" s="53"/>
      <c r="AN37" s="53"/>
      <c r="AO37" s="53"/>
      <c r="AP37" s="3"/>
      <c r="AQ37" s="8"/>
      <c r="AR37" s="8"/>
      <c r="AS37" s="8"/>
      <c r="AT37" s="8"/>
      <c r="AU37" s="8"/>
      <c r="AV37" s="8"/>
      <c r="AW37" s="8"/>
      <c r="AX37" s="8"/>
      <c r="AY37" s="8"/>
      <c r="AZ37" s="8"/>
      <c r="BA37" s="8"/>
      <c r="BB37" s="8"/>
      <c r="BC37" s="3"/>
    </row>
    <row r="38" ht="13.5" customHeight="1">
      <c r="A38" s="22"/>
      <c r="B38" s="763" t="s">
        <v>113</v>
      </c>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5"/>
      <c r="AP38" s="28"/>
      <c r="AQ38" s="764" t="s">
        <v>15</v>
      </c>
      <c r="AR38" s="5"/>
      <c r="AS38" s="5"/>
      <c r="AT38" s="5"/>
      <c r="AU38" s="5"/>
      <c r="AV38" s="5"/>
      <c r="AW38" s="5"/>
      <c r="AX38" s="5"/>
      <c r="AY38" s="5"/>
      <c r="AZ38" s="5"/>
      <c r="BA38" s="5"/>
      <c r="BB38" s="7"/>
      <c r="BC38" s="3"/>
    </row>
    <row r="39" ht="13.5" customHeight="1">
      <c r="A39" s="22"/>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2"/>
      <c r="AP39" s="28"/>
      <c r="AQ39" s="10"/>
      <c r="AR39" s="11"/>
      <c r="AS39" s="11"/>
      <c r="AT39" s="11"/>
      <c r="AU39" s="11"/>
      <c r="AV39" s="11"/>
      <c r="AW39" s="11"/>
      <c r="AX39" s="11"/>
      <c r="AY39" s="11"/>
      <c r="AZ39" s="11"/>
      <c r="BA39" s="11"/>
      <c r="BB39" s="12"/>
      <c r="BC39" s="3"/>
    </row>
    <row r="40" ht="13.5" customHeight="1">
      <c r="A40" s="22"/>
      <c r="B40" s="765" t="s">
        <v>113</v>
      </c>
      <c r="C40" s="34"/>
      <c r="D40" s="34"/>
      <c r="E40" s="34"/>
      <c r="F40" s="34"/>
      <c r="G40" s="34"/>
      <c r="H40" s="34"/>
      <c r="I40" s="35"/>
      <c r="J40" s="765" t="s">
        <v>114</v>
      </c>
      <c r="K40" s="34"/>
      <c r="L40" s="35"/>
      <c r="M40" s="765" t="s">
        <v>115</v>
      </c>
      <c r="N40" s="34"/>
      <c r="O40" s="35"/>
      <c r="P40" s="765" t="s">
        <v>116</v>
      </c>
      <c r="Q40" s="34"/>
      <c r="R40" s="35"/>
      <c r="S40" s="765" t="s">
        <v>117</v>
      </c>
      <c r="T40" s="34"/>
      <c r="U40" s="34"/>
      <c r="V40" s="34"/>
      <c r="W40" s="34"/>
      <c r="X40" s="35"/>
      <c r="Y40" s="765" t="s">
        <v>118</v>
      </c>
      <c r="Z40" s="34"/>
      <c r="AA40" s="34"/>
      <c r="AB40" s="35"/>
      <c r="AC40" s="765" t="s">
        <v>119</v>
      </c>
      <c r="AD40" s="34"/>
      <c r="AE40" s="34"/>
      <c r="AF40" s="34"/>
      <c r="AG40" s="35"/>
      <c r="AH40" s="765" t="s">
        <v>120</v>
      </c>
      <c r="AI40" s="34"/>
      <c r="AJ40" s="34"/>
      <c r="AK40" s="35"/>
      <c r="AL40" s="765" t="s">
        <v>121</v>
      </c>
      <c r="AM40" s="34"/>
      <c r="AN40" s="34"/>
      <c r="AO40" s="35"/>
      <c r="AP40" s="28"/>
      <c r="AQ40" s="156"/>
      <c r="AR40" s="157"/>
      <c r="AS40" s="157"/>
      <c r="AT40" s="157"/>
      <c r="AU40" s="157"/>
      <c r="AV40" s="157"/>
      <c r="AW40" s="157"/>
      <c r="AX40" s="157"/>
      <c r="AY40" s="157"/>
      <c r="AZ40" s="157"/>
      <c r="BA40" s="157"/>
      <c r="BB40" s="158"/>
      <c r="BC40" s="3"/>
    </row>
    <row r="41" ht="13.5" customHeight="1">
      <c r="A41" s="2"/>
      <c r="B41" s="159" t="s">
        <v>122</v>
      </c>
      <c r="I41" s="160"/>
      <c r="J41" s="161">
        <v>25.0</v>
      </c>
      <c r="M41" s="161">
        <f t="shared" ref="M41:M47" si="16">Int(DIVIDE(J41,2))</f>
        <v>12</v>
      </c>
      <c r="O41" s="160"/>
      <c r="P41" s="161">
        <f t="shared" ref="P41:P47" si="17">Int(DIVIDE(J41,5))</f>
        <v>5</v>
      </c>
      <c r="R41" s="160"/>
      <c r="S41" s="162" t="s">
        <v>123</v>
      </c>
      <c r="X41" s="160"/>
      <c r="Y41" s="161" t="s">
        <v>124</v>
      </c>
      <c r="AB41" s="160"/>
      <c r="AC41" s="161">
        <v>1.0</v>
      </c>
      <c r="AG41" s="160"/>
      <c r="AH41" s="161" t="s">
        <v>124</v>
      </c>
      <c r="AK41" s="160"/>
      <c r="AL41" s="161" t="s">
        <v>124</v>
      </c>
      <c r="AO41" s="15"/>
      <c r="AP41" s="3"/>
      <c r="AQ41" s="163" t="str">
        <f>IF(S19=0,"무일푼, 노숙.",(IF(AND(1&lt;=S19,10&gt;S19),"가난, 최소한의 재산만 소유.",IF(AND(10&lt;=S19,50&gt;S19),"보통, 적당히 안락한 생활.",(IF(AND(50&lt;=S19,90&gt;S19),"부유, 약간의 사치 가능.",(IF(AND(90&lt;=S19,99&gt;S19),"자산가, 막대한 부와 사치.",(IF(S19=99,"갑부, 돈은 문제가 되지 않는 수준."))))))))))</f>
        <v>무일푼, 노숙.</v>
      </c>
      <c r="AR41" s="164"/>
      <c r="AS41" s="164"/>
      <c r="AT41" s="164"/>
      <c r="AU41" s="164"/>
      <c r="AV41" s="164"/>
      <c r="AW41" s="164"/>
      <c r="AX41" s="164"/>
      <c r="AY41" s="164"/>
      <c r="AZ41" s="164"/>
      <c r="BA41" s="164"/>
      <c r="BB41" s="165"/>
      <c r="BC41" s="3"/>
    </row>
    <row r="42" ht="13.5" customHeight="1">
      <c r="A42" s="22"/>
      <c r="B42" s="166" t="s">
        <v>173</v>
      </c>
      <c r="C42" s="167"/>
      <c r="D42" s="167"/>
      <c r="E42" s="167"/>
      <c r="F42" s="167"/>
      <c r="G42" s="167"/>
      <c r="H42" s="167"/>
      <c r="I42" s="168"/>
      <c r="J42" s="169"/>
      <c r="K42" s="167"/>
      <c r="L42" s="168"/>
      <c r="M42" s="170">
        <f t="shared" si="16"/>
        <v>0</v>
      </c>
      <c r="N42" s="167"/>
      <c r="O42" s="168"/>
      <c r="P42" s="170">
        <f t="shared" si="17"/>
        <v>0</v>
      </c>
      <c r="Q42" s="167"/>
      <c r="R42" s="168"/>
      <c r="S42" s="171"/>
      <c r="T42" s="167"/>
      <c r="U42" s="167"/>
      <c r="V42" s="167"/>
      <c r="W42" s="167"/>
      <c r="X42" s="168"/>
      <c r="Y42" s="169"/>
      <c r="Z42" s="167"/>
      <c r="AA42" s="167"/>
      <c r="AB42" s="168"/>
      <c r="AC42" s="169"/>
      <c r="AD42" s="167"/>
      <c r="AE42" s="167"/>
      <c r="AF42" s="167"/>
      <c r="AG42" s="168"/>
      <c r="AH42" s="169"/>
      <c r="AI42" s="167"/>
      <c r="AJ42" s="167"/>
      <c r="AK42" s="168"/>
      <c r="AL42" s="169"/>
      <c r="AM42" s="167"/>
      <c r="AN42" s="167"/>
      <c r="AO42" s="172"/>
      <c r="AP42" s="28"/>
      <c r="AQ42" s="163" t="str">
        <f>IF(V10=0,"서있거나 컵을 들 힘조차 없음.",(IF(AND(1&lt;=V10,30&gt;V10),"힘없고 허약한 사람.",IF(AND(30&lt;=V10,70&gt;V10),"평균적 근력의 소유자.",(IF(AND(70&lt;=V10,85&gt;V10),"근력이 좋은 사람.",(IF(AND(85&lt;=V10,99&gt;V10),"보기 드물게 강한 사람.",(IF(V10=99,"인간의 한계에 다다른 강한 근력."))))))))))</f>
        <v>서있거나 컵을 들 힘조차 없음.</v>
      </c>
      <c r="AR42" s="164"/>
      <c r="AS42" s="164"/>
      <c r="AT42" s="164"/>
      <c r="AU42" s="164"/>
      <c r="AV42" s="164"/>
      <c r="AW42" s="164"/>
      <c r="AX42" s="164"/>
      <c r="AY42" s="164"/>
      <c r="AZ42" s="164"/>
      <c r="BA42" s="164"/>
      <c r="BB42" s="165"/>
      <c r="BC42" s="3"/>
    </row>
    <row r="43" ht="13.5" customHeight="1">
      <c r="A43" s="22"/>
      <c r="B43" s="166"/>
      <c r="C43" s="167"/>
      <c r="D43" s="167"/>
      <c r="E43" s="167"/>
      <c r="F43" s="167"/>
      <c r="G43" s="167"/>
      <c r="H43" s="167"/>
      <c r="I43" s="168"/>
      <c r="J43" s="169"/>
      <c r="K43" s="167"/>
      <c r="L43" s="168"/>
      <c r="M43" s="170">
        <f t="shared" si="16"/>
        <v>0</v>
      </c>
      <c r="N43" s="167"/>
      <c r="O43" s="168"/>
      <c r="P43" s="170">
        <f t="shared" si="17"/>
        <v>0</v>
      </c>
      <c r="Q43" s="167"/>
      <c r="R43" s="168"/>
      <c r="S43" s="169"/>
      <c r="T43" s="167"/>
      <c r="U43" s="167"/>
      <c r="V43" s="167"/>
      <c r="W43" s="167"/>
      <c r="X43" s="168"/>
      <c r="Y43" s="169"/>
      <c r="Z43" s="167"/>
      <c r="AA43" s="167"/>
      <c r="AB43" s="168"/>
      <c r="AC43" s="169"/>
      <c r="AD43" s="167"/>
      <c r="AE43" s="167"/>
      <c r="AF43" s="167"/>
      <c r="AG43" s="168"/>
      <c r="AH43" s="169"/>
      <c r="AI43" s="167"/>
      <c r="AJ43" s="167"/>
      <c r="AK43" s="168"/>
      <c r="AL43" s="169"/>
      <c r="AM43" s="167"/>
      <c r="AN43" s="167"/>
      <c r="AO43" s="172"/>
      <c r="AP43" s="28"/>
      <c r="AQ43" s="163" t="str">
        <f>IF(V12=0,"산 송장.",(IF(AND(1&lt;=V12,10&gt;V12),"병자. 혼자 움직일 수 없음.",(IF(AND(10&lt;=V12,30&gt;V12),"건강 나쁨. 면역력이 아주 약하다.",IF(AND(30&lt;=V12,70&gt;V12),"평균적으로 건강한 사람.",(IF(AND(70&lt;=V12,99&gt;V12),"잔병치레 없는 수준의 건강함.",(IF(V12=99,"철의 인간, 엄청나게 건강."))))))))))</f>
        <v>산 송장.</v>
      </c>
      <c r="AR43" s="164"/>
      <c r="AS43" s="164"/>
      <c r="AT43" s="164"/>
      <c r="AU43" s="164"/>
      <c r="AV43" s="164"/>
      <c r="AW43" s="164"/>
      <c r="AX43" s="164"/>
      <c r="AY43" s="164"/>
      <c r="AZ43" s="164"/>
      <c r="BA43" s="164"/>
      <c r="BB43" s="165"/>
      <c r="BC43" s="3"/>
    </row>
    <row r="44" ht="13.5" customHeight="1">
      <c r="A44" s="22"/>
      <c r="B44" s="173"/>
      <c r="C44" s="167"/>
      <c r="D44" s="167"/>
      <c r="E44" s="167"/>
      <c r="F44" s="167"/>
      <c r="G44" s="167"/>
      <c r="H44" s="167"/>
      <c r="I44" s="168"/>
      <c r="J44" s="169"/>
      <c r="K44" s="167"/>
      <c r="L44" s="168"/>
      <c r="M44" s="174">
        <f t="shared" si="16"/>
        <v>0</v>
      </c>
      <c r="N44" s="167"/>
      <c r="O44" s="168"/>
      <c r="P44" s="174">
        <f t="shared" si="17"/>
        <v>0</v>
      </c>
      <c r="Q44" s="167"/>
      <c r="R44" s="168"/>
      <c r="S44" s="169"/>
      <c r="T44" s="167"/>
      <c r="U44" s="167"/>
      <c r="V44" s="167"/>
      <c r="W44" s="167"/>
      <c r="X44" s="168"/>
      <c r="Y44" s="169"/>
      <c r="Z44" s="167"/>
      <c r="AA44" s="167"/>
      <c r="AB44" s="168"/>
      <c r="AC44" s="169"/>
      <c r="AD44" s="167"/>
      <c r="AE44" s="167"/>
      <c r="AF44" s="167"/>
      <c r="AG44" s="168"/>
      <c r="AH44" s="169"/>
      <c r="AI44" s="167"/>
      <c r="AJ44" s="167"/>
      <c r="AK44" s="168"/>
      <c r="AL44" s="169"/>
      <c r="AM44" s="167"/>
      <c r="AN44" s="167"/>
      <c r="AO44" s="172"/>
      <c r="AP44" s="28"/>
      <c r="AQ44" s="163" t="str">
        <f>IF(AL12=0,"갓난아기 수준의 교육.",(IF(AND(1&lt;=AL12,30&gt;AL12),"제대로 된 교육을 받지 못했다.",IF(AND(30&lt;=AL12,70&gt;AL12),"평균적인 수준의 교육을 받음.",(IF(AND(70&lt;=AL12,85&gt;AL12),"대졸 수준 이상의 교육을 받음.",(IF(AND(85&lt;=AL12,99&gt;AL12),"교육받은 분야의 전문가.",(IF(AL12=99,"세계적으로 저명한 엘리트."))))))))))</f>
        <v>갓난아기 수준의 교육.</v>
      </c>
      <c r="AR44" s="164"/>
      <c r="AS44" s="164"/>
      <c r="AT44" s="164"/>
      <c r="AU44" s="164"/>
      <c r="AV44" s="164"/>
      <c r="AW44" s="164"/>
      <c r="AX44" s="164"/>
      <c r="AY44" s="164"/>
      <c r="AZ44" s="164"/>
      <c r="BA44" s="164"/>
      <c r="BB44" s="165"/>
      <c r="BC44" s="3"/>
    </row>
    <row r="45" ht="13.5" customHeight="1">
      <c r="A45" s="22"/>
      <c r="B45" s="173"/>
      <c r="C45" s="167"/>
      <c r="D45" s="167"/>
      <c r="E45" s="167"/>
      <c r="F45" s="167"/>
      <c r="G45" s="167"/>
      <c r="H45" s="167"/>
      <c r="I45" s="168"/>
      <c r="J45" s="169"/>
      <c r="K45" s="167"/>
      <c r="L45" s="168"/>
      <c r="M45" s="174">
        <f t="shared" si="16"/>
        <v>0</v>
      </c>
      <c r="N45" s="167"/>
      <c r="O45" s="168"/>
      <c r="P45" s="174">
        <f t="shared" si="17"/>
        <v>0</v>
      </c>
      <c r="Q45" s="167"/>
      <c r="R45" s="168"/>
      <c r="S45" s="169"/>
      <c r="T45" s="167"/>
      <c r="U45" s="167"/>
      <c r="V45" s="167"/>
      <c r="W45" s="167"/>
      <c r="X45" s="168"/>
      <c r="Y45" s="169"/>
      <c r="Z45" s="167"/>
      <c r="AA45" s="167"/>
      <c r="AB45" s="168"/>
      <c r="AC45" s="169"/>
      <c r="AD45" s="167"/>
      <c r="AE45" s="167"/>
      <c r="AF45" s="167"/>
      <c r="AG45" s="168"/>
      <c r="AH45" s="169"/>
      <c r="AI45" s="167"/>
      <c r="AJ45" s="167"/>
      <c r="AK45" s="168"/>
      <c r="AL45" s="169"/>
      <c r="AM45" s="167"/>
      <c r="AN45" s="167"/>
      <c r="AO45" s="172"/>
      <c r="AP45" s="28"/>
      <c r="AQ45" s="163" t="str">
        <f>IF(AD10=0,"도움이 없이는 움직일 수 없다.",(IF(AND(1&lt;=AD10,30&gt;AD10),"느리고 덤벙대며 둔하다.",IF(AND(30&lt;=AD10,70&gt;AD10),"일반 사람의 민첩성.",(IF(AND(70&lt;=AD10,85&gt;AD10),"민첩하고 반응속도가 빠른 사람.",(IF(AND(85&lt;=AD10,99&gt;AD10),"국가대표 체조 선수 수준의 민첩성.",(IF(AD10=99,"세계 최고 민첩성의 소유자."))))))))))</f>
        <v>도움이 없이는 움직일 수 없다.</v>
      </c>
      <c r="AR45" s="164"/>
      <c r="AS45" s="164"/>
      <c r="AT45" s="164"/>
      <c r="AU45" s="164"/>
      <c r="AV45" s="164"/>
      <c r="AW45" s="164"/>
      <c r="AX45" s="164"/>
      <c r="AY45" s="164"/>
      <c r="AZ45" s="164"/>
      <c r="BA45" s="164"/>
      <c r="BB45" s="165"/>
      <c r="BC45" s="3"/>
    </row>
    <row r="46" ht="13.5" customHeight="1">
      <c r="A46" s="22"/>
      <c r="B46" s="173"/>
      <c r="C46" s="167"/>
      <c r="D46" s="167"/>
      <c r="E46" s="167"/>
      <c r="F46" s="167"/>
      <c r="G46" s="167"/>
      <c r="H46" s="167"/>
      <c r="I46" s="168"/>
      <c r="J46" s="169"/>
      <c r="K46" s="167"/>
      <c r="L46" s="168"/>
      <c r="M46" s="174">
        <f t="shared" si="16"/>
        <v>0</v>
      </c>
      <c r="N46" s="167"/>
      <c r="O46" s="168"/>
      <c r="P46" s="174">
        <f t="shared" si="17"/>
        <v>0</v>
      </c>
      <c r="Q46" s="167"/>
      <c r="R46" s="168"/>
      <c r="S46" s="169"/>
      <c r="T46" s="167"/>
      <c r="U46" s="167"/>
      <c r="V46" s="167"/>
      <c r="W46" s="167"/>
      <c r="X46" s="168"/>
      <c r="Y46" s="169"/>
      <c r="Z46" s="167"/>
      <c r="AA46" s="167"/>
      <c r="AB46" s="168"/>
      <c r="AC46" s="169"/>
      <c r="AD46" s="167"/>
      <c r="AE46" s="167"/>
      <c r="AF46" s="167"/>
      <c r="AG46" s="168"/>
      <c r="AH46" s="169"/>
      <c r="AI46" s="167"/>
      <c r="AJ46" s="167"/>
      <c r="AK46" s="168"/>
      <c r="AL46" s="169"/>
      <c r="AM46" s="167"/>
      <c r="AN46" s="167"/>
      <c r="AO46" s="172"/>
      <c r="AP46" s="28"/>
      <c r="AQ46" s="163" t="str">
        <f>IF(AD14=0,"주변의 아무 것도 이해하지 못함.",(IF(AND(1&lt;=AD14,30&gt;AD14),"배우는 것이 느림, 기초적 학습만 가능.",IF(AND(30&lt;=AD14,70&gt;AD14),"보통 사람의 아이큐.",(IF(AND(70&lt;=AD14,85&gt;AD14),"재치가 있고 머리회전이 빠르다.",(IF(AND(85&lt;=AD14,99&gt;AD14),"머리가 좋아 다양한 지식을 가지고 있다.",(IF(AD14=99,"아인슈타인 수준의 두뇌."))))))))))</f>
        <v>주변의 아무 것도 이해하지 못함.</v>
      </c>
      <c r="AR46" s="164"/>
      <c r="AS46" s="164"/>
      <c r="AT46" s="164"/>
      <c r="AU46" s="164"/>
      <c r="AV46" s="164"/>
      <c r="AW46" s="164"/>
      <c r="AX46" s="164"/>
      <c r="AY46" s="164"/>
      <c r="AZ46" s="164"/>
      <c r="BA46" s="164"/>
      <c r="BB46" s="165"/>
      <c r="BC46" s="3"/>
    </row>
    <row r="47" ht="13.5" customHeight="1">
      <c r="A47" s="22"/>
      <c r="B47" s="175"/>
      <c r="C47" s="176"/>
      <c r="D47" s="176"/>
      <c r="E47" s="176"/>
      <c r="F47" s="176"/>
      <c r="G47" s="176"/>
      <c r="H47" s="176"/>
      <c r="I47" s="177"/>
      <c r="J47" s="178"/>
      <c r="K47" s="176"/>
      <c r="L47" s="177"/>
      <c r="M47" s="179">
        <f t="shared" si="16"/>
        <v>0</v>
      </c>
      <c r="N47" s="176"/>
      <c r="O47" s="177"/>
      <c r="P47" s="179">
        <f t="shared" si="17"/>
        <v>0</v>
      </c>
      <c r="Q47" s="176"/>
      <c r="R47" s="177"/>
      <c r="S47" s="178"/>
      <c r="T47" s="176"/>
      <c r="U47" s="176"/>
      <c r="V47" s="176"/>
      <c r="W47" s="176"/>
      <c r="X47" s="177"/>
      <c r="Y47" s="178"/>
      <c r="Z47" s="176"/>
      <c r="AA47" s="176"/>
      <c r="AB47" s="177"/>
      <c r="AC47" s="178"/>
      <c r="AD47" s="176"/>
      <c r="AE47" s="176"/>
      <c r="AF47" s="176"/>
      <c r="AG47" s="177"/>
      <c r="AH47" s="178"/>
      <c r="AI47" s="176"/>
      <c r="AJ47" s="176"/>
      <c r="AK47" s="177"/>
      <c r="AL47" s="178"/>
      <c r="AM47" s="176"/>
      <c r="AN47" s="176"/>
      <c r="AO47" s="180"/>
      <c r="AP47" s="28"/>
      <c r="AQ47" s="163" t="str">
        <f>IF(AL10=0,"어떠한 의지도 의욕도 없는 사람.",(IF(AND(1&lt;=AL10,30&gt;AL10),"의지가 약하고 남들에게 곧잘 휘둘림.",IF(AND(30&lt;=AL10,70&gt;AL10),"보통 사람의 의지를 가졌다.",(IF(AND(70&lt;=AL10,85&gt;AL10),"의지가 강한 사람.",(IF(AND(85&lt;=AL10,99&gt;AL10),"아주 높은 정신력, 영적 감이 있을 수도.",(IF(AL10=99,"철의 의지. 이세계와 깊게 연관됨."))))))))))</f>
        <v>어떠한 의지도 의욕도 없는 사람.</v>
      </c>
      <c r="AR47" s="164"/>
      <c r="AS47" s="164"/>
      <c r="AT47" s="164"/>
      <c r="AU47" s="164"/>
      <c r="AV47" s="164"/>
      <c r="AW47" s="164"/>
      <c r="AX47" s="164"/>
      <c r="AY47" s="164"/>
      <c r="AZ47" s="164"/>
      <c r="BA47" s="164"/>
      <c r="BB47" s="165"/>
      <c r="BC47" s="3"/>
    </row>
    <row r="48" ht="13.5" customHeight="1">
      <c r="A48" s="22"/>
      <c r="B48" s="723" t="s">
        <v>125</v>
      </c>
      <c r="C48" s="24"/>
      <c r="D48" s="24"/>
      <c r="E48" s="24"/>
      <c r="F48" s="24"/>
      <c r="G48" s="24"/>
      <c r="H48" s="24"/>
      <c r="I48" s="24"/>
      <c r="J48" s="24"/>
      <c r="K48" s="24"/>
      <c r="L48" s="24"/>
      <c r="M48" s="24"/>
      <c r="N48" s="24"/>
      <c r="O48" s="24"/>
      <c r="P48" s="24"/>
      <c r="Q48" s="24"/>
      <c r="R48" s="24"/>
      <c r="S48" s="24"/>
      <c r="T48" s="24"/>
      <c r="U48" s="766"/>
      <c r="V48" s="767" t="s">
        <v>126</v>
      </c>
      <c r="W48" s="24"/>
      <c r="X48" s="24"/>
      <c r="Y48" s="24"/>
      <c r="Z48" s="24"/>
      <c r="AA48" s="24"/>
      <c r="AB48" s="24"/>
      <c r="AC48" s="24"/>
      <c r="AD48" s="24"/>
      <c r="AE48" s="24"/>
      <c r="AF48" s="24"/>
      <c r="AG48" s="24"/>
      <c r="AH48" s="24"/>
      <c r="AI48" s="24"/>
      <c r="AJ48" s="24"/>
      <c r="AK48" s="24"/>
      <c r="AL48" s="24"/>
      <c r="AM48" s="24"/>
      <c r="AN48" s="24"/>
      <c r="AO48" s="766"/>
      <c r="AP48" s="28"/>
      <c r="AQ48" s="184"/>
      <c r="AR48" s="185"/>
      <c r="AS48" s="185"/>
      <c r="AT48" s="185"/>
      <c r="AU48" s="185"/>
      <c r="AV48" s="185"/>
      <c r="AW48" s="185"/>
      <c r="AX48" s="185"/>
      <c r="AY48" s="185"/>
      <c r="AZ48" s="185"/>
      <c r="BA48" s="185"/>
      <c r="BB48" s="186"/>
      <c r="BC48" s="3"/>
    </row>
    <row r="49" ht="13.5" customHeight="1">
      <c r="A49" s="22"/>
      <c r="B49" s="30"/>
      <c r="C49" s="31"/>
      <c r="D49" s="31"/>
      <c r="E49" s="31"/>
      <c r="F49" s="31"/>
      <c r="G49" s="31"/>
      <c r="H49" s="31"/>
      <c r="I49" s="31"/>
      <c r="J49" s="31"/>
      <c r="K49" s="31"/>
      <c r="L49" s="31"/>
      <c r="M49" s="31"/>
      <c r="N49" s="31"/>
      <c r="O49" s="31"/>
      <c r="P49" s="31"/>
      <c r="Q49" s="31"/>
      <c r="R49" s="31"/>
      <c r="S49" s="31"/>
      <c r="T49" s="31"/>
      <c r="U49" s="189"/>
      <c r="V49" s="188"/>
      <c r="W49" s="31"/>
      <c r="X49" s="31"/>
      <c r="Y49" s="31"/>
      <c r="Z49" s="31"/>
      <c r="AA49" s="31"/>
      <c r="AB49" s="31"/>
      <c r="AC49" s="31"/>
      <c r="AD49" s="31"/>
      <c r="AE49" s="31"/>
      <c r="AF49" s="31"/>
      <c r="AG49" s="31"/>
      <c r="AH49" s="31"/>
      <c r="AI49" s="31"/>
      <c r="AJ49" s="31"/>
      <c r="AK49" s="31"/>
      <c r="AL49" s="31"/>
      <c r="AM49" s="31"/>
      <c r="AN49" s="31"/>
      <c r="AO49" s="189"/>
      <c r="AP49" s="28"/>
      <c r="AQ49" s="768" t="s">
        <v>127</v>
      </c>
      <c r="AR49" s="294"/>
      <c r="AS49" s="294"/>
      <c r="AT49" s="294"/>
      <c r="AU49" s="294"/>
      <c r="AV49" s="294"/>
      <c r="AW49" s="294"/>
      <c r="AX49" s="294"/>
      <c r="AY49" s="294"/>
      <c r="AZ49" s="294"/>
      <c r="BA49" s="294"/>
      <c r="BB49" s="295"/>
      <c r="BC49" s="3"/>
    </row>
    <row r="50" ht="64.5" customHeight="1">
      <c r="A50" s="22"/>
      <c r="B50" s="296" t="str">
        <f>if(or(U49&gt;10,U49&lt;0),"",
if(U49=1,"가장 높은 기능과 관련된 물건",
if(U49=2,"직업에 필수적인 물건",
if(U49=3,"어린 시절 추억의 물건",
if(U49=4,"중요한 사람의 유품",
if(U49=5,"중요한 사람에게서 받은 물건",
if(U49=6,"수집품",
if(U49=7,"출처가 불분명한 물건",
if(U49=8,"스포츠용품",
if(U49=9,"무기",
if(U49=10,"아끼는 동물",
"")))))))))))</f>
        <v/>
      </c>
      <c r="C50" s="5"/>
      <c r="D50" s="5"/>
      <c r="E50" s="5"/>
      <c r="F50" s="297"/>
      <c r="G50" s="298"/>
      <c r="H50" s="5"/>
      <c r="I50" s="5"/>
      <c r="J50" s="5"/>
      <c r="K50" s="297"/>
      <c r="L50" s="298"/>
      <c r="M50" s="5"/>
      <c r="N50" s="5"/>
      <c r="O50" s="5"/>
      <c r="P50" s="297"/>
      <c r="Q50" s="298"/>
      <c r="R50" s="5"/>
      <c r="S50" s="5"/>
      <c r="T50" s="5"/>
      <c r="U50" s="299"/>
      <c r="V50" s="300" t="str">
        <f>if(or(AO49&gt;10,AO49&lt;0),"잘못된 숫자를 넣으셨습니다.",
if(AO49=1,"부모",
if(AO49=2,"조부모",
if(AO49=3,"형제자매",
if(AO49=4,"자식",
if(AO49=5,"파트너",
if(AO49=6,"존경하는 스승",
if(AO49=7,"친구",
if(AO49=8,"유명인, 우상, 영웅",
if(AO49=9,"동료 탐사자",
if(AO49=10,"NPC",
"")))))))))))</f>
        <v/>
      </c>
      <c r="W50" s="5"/>
      <c r="X50" s="5"/>
      <c r="Y50" s="5"/>
      <c r="Z50" s="297"/>
      <c r="AA50" s="298"/>
      <c r="AB50" s="5"/>
      <c r="AC50" s="5"/>
      <c r="AD50" s="5"/>
      <c r="AE50" s="297"/>
      <c r="AF50" s="301"/>
      <c r="AG50" s="5"/>
      <c r="AH50" s="5"/>
      <c r="AI50" s="5"/>
      <c r="AJ50" s="297"/>
      <c r="AK50" s="301"/>
      <c r="AL50" s="5"/>
      <c r="AM50" s="5"/>
      <c r="AN50" s="5"/>
      <c r="AO50" s="7"/>
      <c r="AP50" s="28"/>
      <c r="AQ50" s="9"/>
      <c r="BB50" s="302"/>
      <c r="BC50" s="3"/>
    </row>
    <row r="51" ht="8.25" customHeight="1">
      <c r="A51" s="22"/>
      <c r="B51" s="303"/>
      <c r="C51" s="304"/>
      <c r="D51" s="304"/>
      <c r="E51" s="304"/>
      <c r="F51" s="305"/>
      <c r="G51" s="306"/>
      <c r="H51" s="304"/>
      <c r="I51" s="304"/>
      <c r="J51" s="304"/>
      <c r="K51" s="305"/>
      <c r="L51" s="306"/>
      <c r="M51" s="304"/>
      <c r="N51" s="304"/>
      <c r="O51" s="304"/>
      <c r="P51" s="305"/>
      <c r="Q51" s="306"/>
      <c r="R51" s="304"/>
      <c r="S51" s="304"/>
      <c r="T51" s="304"/>
      <c r="U51" s="307"/>
      <c r="V51" s="304"/>
      <c r="W51" s="304"/>
      <c r="X51" s="304"/>
      <c r="Y51" s="304"/>
      <c r="Z51" s="305"/>
      <c r="AA51" s="306"/>
      <c r="AB51" s="304"/>
      <c r="AC51" s="304"/>
      <c r="AD51" s="304"/>
      <c r="AE51" s="305"/>
      <c r="AF51" s="306"/>
      <c r="AG51" s="304"/>
      <c r="AH51" s="304"/>
      <c r="AI51" s="304"/>
      <c r="AJ51" s="305"/>
      <c r="AK51" s="306"/>
      <c r="AL51" s="304"/>
      <c r="AM51" s="304"/>
      <c r="AN51" s="304"/>
      <c r="AO51" s="308"/>
      <c r="AP51" s="28"/>
      <c r="AQ51" s="9"/>
      <c r="BB51" s="302"/>
      <c r="BC51" s="3"/>
    </row>
    <row r="52" ht="26.25" customHeight="1">
      <c r="A52" s="22"/>
      <c r="B52" s="309"/>
      <c r="C52" s="310"/>
      <c r="D52" s="310"/>
      <c r="E52" s="310"/>
      <c r="F52" s="311"/>
      <c r="G52" s="312"/>
      <c r="H52" s="310"/>
      <c r="I52" s="310"/>
      <c r="J52" s="310"/>
      <c r="K52" s="311"/>
      <c r="L52" s="312"/>
      <c r="M52" s="310"/>
      <c r="N52" s="310"/>
      <c r="O52" s="310"/>
      <c r="P52" s="311"/>
      <c r="Q52" s="312"/>
      <c r="R52" s="310"/>
      <c r="S52" s="310"/>
      <c r="T52" s="310"/>
      <c r="U52" s="313"/>
      <c r="V52" s="314"/>
      <c r="W52" s="310"/>
      <c r="X52" s="310"/>
      <c r="Y52" s="310"/>
      <c r="Z52" s="311"/>
      <c r="AA52" s="315"/>
      <c r="AB52" s="310"/>
      <c r="AC52" s="310"/>
      <c r="AD52" s="310"/>
      <c r="AE52" s="311"/>
      <c r="AF52" s="315"/>
      <c r="AG52" s="310"/>
      <c r="AH52" s="310"/>
      <c r="AI52" s="310"/>
      <c r="AJ52" s="311"/>
      <c r="AK52" s="315"/>
      <c r="AL52" s="310"/>
      <c r="AM52" s="310"/>
      <c r="AN52" s="310"/>
      <c r="AO52" s="316"/>
      <c r="AP52" s="28"/>
      <c r="AQ52" s="9"/>
      <c r="BB52" s="302"/>
      <c r="BC52" s="3"/>
    </row>
    <row r="53" ht="49.5" customHeight="1">
      <c r="A53" s="22"/>
      <c r="B53" s="303"/>
      <c r="C53" s="304"/>
      <c r="D53" s="304"/>
      <c r="E53" s="304"/>
      <c r="F53" s="305"/>
      <c r="G53" s="306"/>
      <c r="H53" s="304"/>
      <c r="I53" s="304"/>
      <c r="J53" s="304"/>
      <c r="K53" s="305"/>
      <c r="L53" s="306"/>
      <c r="M53" s="304"/>
      <c r="N53" s="304"/>
      <c r="O53" s="304"/>
      <c r="P53" s="305"/>
      <c r="Q53" s="306"/>
      <c r="R53" s="304"/>
      <c r="S53" s="304"/>
      <c r="T53" s="304"/>
      <c r="U53" s="307"/>
      <c r="V53" s="304"/>
      <c r="W53" s="304"/>
      <c r="X53" s="304"/>
      <c r="Y53" s="304"/>
      <c r="Z53" s="305"/>
      <c r="AA53" s="306"/>
      <c r="AB53" s="304"/>
      <c r="AC53" s="304"/>
      <c r="AD53" s="304"/>
      <c r="AE53" s="305"/>
      <c r="AF53" s="306"/>
      <c r="AG53" s="304"/>
      <c r="AH53" s="304"/>
      <c r="AI53" s="304"/>
      <c r="AJ53" s="305"/>
      <c r="AK53" s="306"/>
      <c r="AL53" s="304"/>
      <c r="AM53" s="304"/>
      <c r="AN53" s="304"/>
      <c r="AO53" s="308"/>
      <c r="AP53" s="28"/>
      <c r="AQ53" s="9"/>
      <c r="BB53" s="302"/>
      <c r="BC53" s="3"/>
    </row>
    <row r="54" ht="47.25" customHeight="1">
      <c r="A54" s="22"/>
      <c r="B54" s="309"/>
      <c r="C54" s="310"/>
      <c r="D54" s="310"/>
      <c r="E54" s="310"/>
      <c r="F54" s="311"/>
      <c r="G54" s="312"/>
      <c r="H54" s="310"/>
      <c r="I54" s="310"/>
      <c r="J54" s="310"/>
      <c r="K54" s="311"/>
      <c r="L54" s="312"/>
      <c r="M54" s="310"/>
      <c r="N54" s="310"/>
      <c r="O54" s="310"/>
      <c r="P54" s="311"/>
      <c r="Q54" s="312"/>
      <c r="R54" s="310"/>
      <c r="S54" s="310"/>
      <c r="T54" s="310"/>
      <c r="U54" s="313"/>
      <c r="V54" s="314"/>
      <c r="W54" s="310"/>
      <c r="X54" s="310"/>
      <c r="Y54" s="310"/>
      <c r="Z54" s="311"/>
      <c r="AA54" s="315"/>
      <c r="AB54" s="310"/>
      <c r="AC54" s="310"/>
      <c r="AD54" s="310"/>
      <c r="AE54" s="311"/>
      <c r="AF54" s="315"/>
      <c r="AG54" s="310"/>
      <c r="AH54" s="310"/>
      <c r="AI54" s="310"/>
      <c r="AJ54" s="311"/>
      <c r="AK54" s="315"/>
      <c r="AL54" s="310"/>
      <c r="AM54" s="310"/>
      <c r="AN54" s="310"/>
      <c r="AO54" s="316"/>
      <c r="AP54" s="28"/>
      <c r="AQ54" s="10"/>
      <c r="AR54" s="11"/>
      <c r="AS54" s="11"/>
      <c r="AT54" s="11"/>
      <c r="AU54" s="11"/>
      <c r="AV54" s="11"/>
      <c r="AW54" s="11"/>
      <c r="AX54" s="11"/>
      <c r="AY54" s="11"/>
      <c r="AZ54" s="11"/>
      <c r="BA54" s="11"/>
      <c r="BB54" s="317"/>
      <c r="BC54" s="3"/>
    </row>
    <row r="55" ht="30.75" customHeight="1">
      <c r="A55" s="22"/>
      <c r="B55" s="303"/>
      <c r="C55" s="304"/>
      <c r="D55" s="304"/>
      <c r="E55" s="304"/>
      <c r="F55" s="305"/>
      <c r="G55" s="306"/>
      <c r="H55" s="304"/>
      <c r="I55" s="304"/>
      <c r="J55" s="304"/>
      <c r="K55" s="305"/>
      <c r="L55" s="306"/>
      <c r="M55" s="304"/>
      <c r="N55" s="304"/>
      <c r="O55" s="304"/>
      <c r="P55" s="305"/>
      <c r="Q55" s="306"/>
      <c r="R55" s="304"/>
      <c r="S55" s="304"/>
      <c r="T55" s="304"/>
      <c r="U55" s="307"/>
      <c r="V55" s="304"/>
      <c r="W55" s="304"/>
      <c r="X55" s="304"/>
      <c r="Y55" s="304"/>
      <c r="Z55" s="305"/>
      <c r="AA55" s="306"/>
      <c r="AB55" s="304"/>
      <c r="AC55" s="304"/>
      <c r="AD55" s="304"/>
      <c r="AE55" s="305"/>
      <c r="AF55" s="306"/>
      <c r="AG55" s="304"/>
      <c r="AH55" s="304"/>
      <c r="AI55" s="304"/>
      <c r="AJ55" s="305"/>
      <c r="AK55" s="306"/>
      <c r="AL55" s="304"/>
      <c r="AM55" s="304"/>
      <c r="AN55" s="304"/>
      <c r="AO55" s="308"/>
      <c r="AP55" s="28"/>
      <c r="AQ55" s="318" t="str">
        <f>if(or(BB49&gt;10,BB49&lt;0),"잘못된 숫자를 넣으셨습니다.",
if(BB49=1,"인심이 좋습니다.",
if(BB49=2,"동물의 친구입니다.",
if(BB49=3,"몽상가입니다.",
if(BB49=4,"쾌락주의자입니다.",
if(BB49=5,"과감한 승부사입니다.",
if(BB49=6,"유능한 요리사입니다.",
if(BB49=7,"바람둥이입니다.",
if(BB49=8,"충직합니다.",
if(BB49=9,"평판이 좋습니다.",
if(BB49=10,"야심가입니다.", "당신의 성격은 무엇인가요?")))))))))))</f>
        <v>당신의 성격은 무엇인가요?</v>
      </c>
      <c r="AR55" s="294"/>
      <c r="AS55" s="294"/>
      <c r="AT55" s="294"/>
      <c r="AU55" s="294"/>
      <c r="AV55" s="294"/>
      <c r="AW55" s="294"/>
      <c r="AX55" s="294"/>
      <c r="AY55" s="294"/>
      <c r="AZ55" s="294"/>
      <c r="BA55" s="294"/>
      <c r="BB55" s="294"/>
      <c r="BC55" s="3"/>
    </row>
    <row r="56" ht="22.5" customHeight="1">
      <c r="A56" s="22"/>
      <c r="B56" s="309"/>
      <c r="C56" s="310"/>
      <c r="D56" s="310"/>
      <c r="E56" s="310"/>
      <c r="F56" s="311"/>
      <c r="G56" s="312"/>
      <c r="H56" s="310"/>
      <c r="I56" s="310"/>
      <c r="J56" s="310"/>
      <c r="K56" s="311"/>
      <c r="L56" s="312"/>
      <c r="M56" s="310"/>
      <c r="N56" s="310"/>
      <c r="O56" s="310"/>
      <c r="P56" s="311"/>
      <c r="Q56" s="312"/>
      <c r="R56" s="310"/>
      <c r="S56" s="310"/>
      <c r="T56" s="310"/>
      <c r="U56" s="313"/>
      <c r="V56" s="314"/>
      <c r="W56" s="310"/>
      <c r="X56" s="310"/>
      <c r="Y56" s="310"/>
      <c r="Z56" s="311"/>
      <c r="AA56" s="315"/>
      <c r="AB56" s="310"/>
      <c r="AC56" s="310"/>
      <c r="AD56" s="310"/>
      <c r="AE56" s="311"/>
      <c r="AF56" s="315"/>
      <c r="AG56" s="310"/>
      <c r="AH56" s="310"/>
      <c r="AI56" s="310"/>
      <c r="AJ56" s="311"/>
      <c r="AK56" s="315"/>
      <c r="AL56" s="310"/>
      <c r="AM56" s="310"/>
      <c r="AN56" s="310"/>
      <c r="AO56" s="316"/>
      <c r="AP56" s="28"/>
      <c r="AQ56" s="9"/>
      <c r="BC56" s="3"/>
    </row>
    <row r="57" ht="62.25" customHeight="1">
      <c r="A57" s="22"/>
      <c r="B57" s="303"/>
      <c r="C57" s="304"/>
      <c r="D57" s="304"/>
      <c r="E57" s="304"/>
      <c r="F57" s="305"/>
      <c r="G57" s="306"/>
      <c r="H57" s="304"/>
      <c r="I57" s="304"/>
      <c r="J57" s="304"/>
      <c r="K57" s="305"/>
      <c r="L57" s="306"/>
      <c r="M57" s="304"/>
      <c r="N57" s="304"/>
      <c r="O57" s="304"/>
      <c r="P57" s="305"/>
      <c r="Q57" s="306"/>
      <c r="R57" s="304"/>
      <c r="S57" s="304"/>
      <c r="T57" s="304"/>
      <c r="U57" s="307"/>
      <c r="V57" s="304"/>
      <c r="W57" s="304"/>
      <c r="X57" s="304"/>
      <c r="Y57" s="304"/>
      <c r="Z57" s="305"/>
      <c r="AA57" s="306"/>
      <c r="AB57" s="304"/>
      <c r="AC57" s="304"/>
      <c r="AD57" s="304"/>
      <c r="AE57" s="305"/>
      <c r="AF57" s="306"/>
      <c r="AG57" s="304"/>
      <c r="AH57" s="304"/>
      <c r="AI57" s="304"/>
      <c r="AJ57" s="305"/>
      <c r="AK57" s="306"/>
      <c r="AL57" s="304"/>
      <c r="AM57" s="304"/>
      <c r="AN57" s="304"/>
      <c r="AO57" s="308"/>
      <c r="AP57" s="28"/>
      <c r="AQ57" s="9"/>
      <c r="BC57" s="3"/>
    </row>
    <row r="58" ht="61.5" customHeight="1">
      <c r="A58" s="22"/>
      <c r="B58" s="309"/>
      <c r="C58" s="310"/>
      <c r="D58" s="310"/>
      <c r="E58" s="310"/>
      <c r="F58" s="311"/>
      <c r="G58" s="312"/>
      <c r="H58" s="310"/>
      <c r="I58" s="310"/>
      <c r="J58" s="310"/>
      <c r="K58" s="311"/>
      <c r="L58" s="312"/>
      <c r="M58" s="310"/>
      <c r="N58" s="310"/>
      <c r="O58" s="310"/>
      <c r="P58" s="311"/>
      <c r="Q58" s="312"/>
      <c r="R58" s="310"/>
      <c r="S58" s="310"/>
      <c r="T58" s="310"/>
      <c r="U58" s="313"/>
      <c r="V58" s="314"/>
      <c r="W58" s="310"/>
      <c r="X58" s="310"/>
      <c r="Y58" s="310"/>
      <c r="Z58" s="311"/>
      <c r="AA58" s="315"/>
      <c r="AB58" s="310"/>
      <c r="AC58" s="310"/>
      <c r="AD58" s="310"/>
      <c r="AE58" s="311"/>
      <c r="AF58" s="315"/>
      <c r="AG58" s="310"/>
      <c r="AH58" s="310"/>
      <c r="AI58" s="310"/>
      <c r="AJ58" s="311"/>
      <c r="AK58" s="315"/>
      <c r="AL58" s="310"/>
      <c r="AM58" s="310"/>
      <c r="AN58" s="310"/>
      <c r="AO58" s="316"/>
      <c r="AP58" s="28"/>
      <c r="AQ58" s="10"/>
      <c r="AR58" s="11"/>
      <c r="AS58" s="11"/>
      <c r="AT58" s="11"/>
      <c r="AU58" s="11"/>
      <c r="AV58" s="11"/>
      <c r="AW58" s="11"/>
      <c r="AX58" s="11"/>
      <c r="AY58" s="11"/>
      <c r="AZ58" s="11"/>
      <c r="BA58" s="11"/>
      <c r="BB58" s="11"/>
      <c r="BC58" s="3"/>
    </row>
    <row r="59" ht="13.5" customHeight="1">
      <c r="A59" s="22"/>
      <c r="B59" s="303"/>
      <c r="C59" s="304"/>
      <c r="D59" s="304"/>
      <c r="E59" s="304"/>
      <c r="F59" s="305"/>
      <c r="G59" s="306"/>
      <c r="H59" s="304"/>
      <c r="I59" s="304"/>
      <c r="J59" s="304"/>
      <c r="K59" s="305"/>
      <c r="L59" s="306"/>
      <c r="M59" s="304"/>
      <c r="N59" s="304"/>
      <c r="O59" s="304"/>
      <c r="P59" s="305"/>
      <c r="Q59" s="306"/>
      <c r="R59" s="304"/>
      <c r="S59" s="304"/>
      <c r="T59" s="304"/>
      <c r="U59" s="307"/>
      <c r="V59" s="11"/>
      <c r="W59" s="11"/>
      <c r="X59" s="11"/>
      <c r="Y59" s="11"/>
      <c r="Z59" s="319"/>
      <c r="AA59" s="320"/>
      <c r="AB59" s="11"/>
      <c r="AC59" s="11"/>
      <c r="AD59" s="11"/>
      <c r="AE59" s="319"/>
      <c r="AF59" s="320"/>
      <c r="AG59" s="11"/>
      <c r="AH59" s="11"/>
      <c r="AI59" s="11"/>
      <c r="AJ59" s="319"/>
      <c r="AK59" s="320"/>
      <c r="AL59" s="11"/>
      <c r="AM59" s="11"/>
      <c r="AN59" s="11"/>
      <c r="AO59" s="12"/>
      <c r="AP59" s="28"/>
      <c r="AQ59" s="769" t="s">
        <v>128</v>
      </c>
      <c r="AR59" s="105"/>
      <c r="AS59" s="105"/>
      <c r="AT59" s="105"/>
      <c r="AU59" s="105"/>
      <c r="AV59" s="105"/>
      <c r="AW59" s="105"/>
      <c r="AX59" s="105"/>
      <c r="AY59" s="105"/>
      <c r="AZ59" s="105"/>
      <c r="BA59" s="105"/>
      <c r="BB59" s="191"/>
      <c r="BC59" s="3"/>
    </row>
    <row r="60" ht="13.5" customHeight="1">
      <c r="A60" s="22"/>
      <c r="B60" s="309"/>
      <c r="C60" s="310"/>
      <c r="D60" s="310"/>
      <c r="E60" s="310"/>
      <c r="F60" s="311"/>
      <c r="G60" s="315"/>
      <c r="H60" s="310"/>
      <c r="I60" s="310"/>
      <c r="J60" s="310"/>
      <c r="K60" s="311"/>
      <c r="L60" s="315"/>
      <c r="M60" s="310"/>
      <c r="N60" s="310"/>
      <c r="O60" s="310"/>
      <c r="P60" s="311"/>
      <c r="Q60" s="315"/>
      <c r="R60" s="310"/>
      <c r="S60" s="310"/>
      <c r="T60" s="310"/>
      <c r="U60" s="313"/>
      <c r="V60" s="770" t="s">
        <v>129</v>
      </c>
      <c r="W60" s="105"/>
      <c r="X60" s="105"/>
      <c r="Y60" s="105"/>
      <c r="Z60" s="105"/>
      <c r="AA60" s="105"/>
      <c r="AB60" s="105"/>
      <c r="AC60" s="105"/>
      <c r="AD60" s="105"/>
      <c r="AE60" s="105"/>
      <c r="AF60" s="105"/>
      <c r="AG60" s="105"/>
      <c r="AH60" s="105"/>
      <c r="AI60" s="105"/>
      <c r="AJ60" s="105"/>
      <c r="AK60" s="105"/>
      <c r="AL60" s="105"/>
      <c r="AM60" s="105"/>
      <c r="AN60" s="107"/>
      <c r="AO60" s="211"/>
      <c r="AP60" s="28"/>
      <c r="AQ60" s="212" t="str">
        <f>if(or(BB59&gt;10,BB59&lt;0),"잘못된 숫자를 넣으셨습니다.",
if(BB59=1,"숭배하고 기도하는 초월적인 존재가 있습니다.",
if(BB59=2,"인류는 종교 없이도 잘 살 수 있습니다.",
if(BB59=3,"과학이 모든 것의 해답입니다.",
if(BB59=4,"운명을 극적으로 믿습니다.",
if(BB59=5,"사회단체 또는 비밀 단체에 소속되어 있습니다.",
if(BB59=6,"사회에 뿌리 뽑아야 할 악이 있습니다.",
if(BB59=7,"오컬트를 믿습니다.",
if(BB59=8,"세상만사에 관심이 많습니다.",
if(BB59=9,"돈이 권력이고 세속적인 욕심이 강합니다.",
if(BB59=10,"운동가 또는 활동가로 활약하고 있습니다.",
"당신의 사상이나 신념은 무엇인가요?")))))))))))</f>
        <v>당신의 사상이나 신념은 무엇인가요?</v>
      </c>
      <c r="AR60" s="185"/>
      <c r="AS60" s="185"/>
      <c r="AT60" s="185"/>
      <c r="AU60" s="185"/>
      <c r="AV60" s="185"/>
      <c r="AW60" s="185"/>
      <c r="AX60" s="185"/>
      <c r="AY60" s="185"/>
      <c r="AZ60" s="185"/>
      <c r="BA60" s="185"/>
      <c r="BB60" s="185"/>
      <c r="BC60" s="3"/>
    </row>
    <row r="61" ht="56.25" customHeight="1">
      <c r="A61" s="22"/>
      <c r="B61" s="10"/>
      <c r="C61" s="11"/>
      <c r="D61" s="11"/>
      <c r="E61" s="11"/>
      <c r="F61" s="319"/>
      <c r="G61" s="320"/>
      <c r="H61" s="11"/>
      <c r="I61" s="11"/>
      <c r="J61" s="11"/>
      <c r="K61" s="319"/>
      <c r="L61" s="320"/>
      <c r="M61" s="11"/>
      <c r="N61" s="11"/>
      <c r="O61" s="11"/>
      <c r="P61" s="319"/>
      <c r="Q61" s="320"/>
      <c r="R61" s="11"/>
      <c r="S61" s="11"/>
      <c r="T61" s="11"/>
      <c r="U61" s="322"/>
      <c r="V61" s="323" t="str">
        <f>if(or(AO60&gt;10,AO60&lt;0),"잘못된 숫자를 넣으셨습니다.",
if(AO60=1,"갚을 은혜가 있습니다.",
if(AO60=2,"배운 것이 있습니다.",
if(AO60=3,"삶에 의미를 주었습니다.",
if(AO60=4,"잘못한 것이 있어서 속죄하려고 합니다.",
if(AO60=5,"공유한 경험이 있습니다.",
if(AO60=6,"인정을 받고 싶습니다.",
if(AO60=7,"동경하고 숭배합니다.",
if(AO60=8,"회한(두고두고 후회함)이 있습니다.",
if(AO60=9,"자신이 그 사람보다 나은 인간임을 증명하고 싶습니다.",
if(AO60=10,"해를 끼친 사람에게 복수하고 싶습니다.",
"왜 그 사람을 중요하게 여기시나요?")))))))))))</f>
        <v>왜 그 사람을 중요하게 여기시나요?</v>
      </c>
      <c r="W61" s="105"/>
      <c r="X61" s="105"/>
      <c r="Y61" s="105"/>
      <c r="Z61" s="105"/>
      <c r="AA61" s="105"/>
      <c r="AB61" s="105"/>
      <c r="AC61" s="105"/>
      <c r="AD61" s="105"/>
      <c r="AE61" s="105"/>
      <c r="AF61" s="105"/>
      <c r="AG61" s="105"/>
      <c r="AH61" s="105"/>
      <c r="AI61" s="105"/>
      <c r="AJ61" s="105"/>
      <c r="AK61" s="105"/>
      <c r="AL61" s="105"/>
      <c r="AM61" s="105"/>
      <c r="AN61" s="105"/>
      <c r="AO61" s="107"/>
      <c r="AP61" s="28"/>
      <c r="AQ61" s="771" t="s">
        <v>130</v>
      </c>
      <c r="AR61" s="105"/>
      <c r="AS61" s="105"/>
      <c r="AT61" s="105"/>
      <c r="AU61" s="105"/>
      <c r="AV61" s="105"/>
      <c r="AW61" s="105"/>
      <c r="AX61" s="107"/>
      <c r="AY61" s="324"/>
      <c r="AZ61" s="105"/>
      <c r="BA61" s="105"/>
      <c r="BB61" s="107"/>
      <c r="BC61" s="3"/>
    </row>
    <row r="62" ht="13.5" customHeight="1">
      <c r="A62" s="2"/>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3"/>
      <c r="AD62" s="53"/>
      <c r="AE62" s="53"/>
      <c r="AF62" s="53"/>
      <c r="AG62" s="53"/>
      <c r="AH62" s="53"/>
      <c r="AI62" s="53"/>
      <c r="AJ62" s="53"/>
      <c r="AK62" s="53"/>
      <c r="AL62" s="53"/>
      <c r="AM62" s="53"/>
      <c r="AN62" s="53"/>
      <c r="AO62" s="53"/>
      <c r="AP62" s="218"/>
      <c r="AQ62" s="218"/>
      <c r="AR62" s="218"/>
      <c r="AS62" s="218"/>
      <c r="AT62" s="218"/>
      <c r="AU62" s="218"/>
      <c r="AV62" s="218"/>
      <c r="AW62" s="218"/>
      <c r="AX62" s="218"/>
      <c r="AY62" s="218"/>
      <c r="AZ62" s="218"/>
      <c r="BA62" s="218"/>
      <c r="BB62" s="218"/>
      <c r="BC62" s="3"/>
    </row>
    <row r="63" ht="15.75" customHeight="1">
      <c r="A63" s="219"/>
      <c r="B63" s="772" t="s">
        <v>131</v>
      </c>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5"/>
      <c r="BC63" s="221"/>
    </row>
    <row r="64" ht="15.75" customHeight="1">
      <c r="A64" s="219"/>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2"/>
      <c r="BC64" s="221"/>
    </row>
    <row r="65" ht="15.75" customHeight="1">
      <c r="A65" s="219"/>
      <c r="B65" s="773" t="s">
        <v>132</v>
      </c>
      <c r="C65" s="24"/>
      <c r="D65" s="24"/>
      <c r="E65" s="24"/>
      <c r="F65" s="24"/>
      <c r="G65" s="24"/>
      <c r="H65" s="24"/>
      <c r="I65" s="24"/>
      <c r="J65" s="24"/>
      <c r="K65" s="24"/>
      <c r="L65" s="24"/>
      <c r="M65" s="24"/>
      <c r="N65" s="24"/>
      <c r="O65" s="24"/>
      <c r="P65" s="24"/>
      <c r="Q65" s="24"/>
      <c r="R65" s="25"/>
      <c r="S65" s="774" t="s">
        <v>127</v>
      </c>
      <c r="T65" s="24"/>
      <c r="U65" s="24"/>
      <c r="V65" s="24"/>
      <c r="W65" s="24"/>
      <c r="X65" s="24"/>
      <c r="Y65" s="24"/>
      <c r="Z65" s="24"/>
      <c r="AA65" s="24"/>
      <c r="AB65" s="24"/>
      <c r="AC65" s="24"/>
      <c r="AD65" s="24"/>
      <c r="AE65" s="24"/>
      <c r="AF65" s="24"/>
      <c r="AG65" s="24"/>
      <c r="AH65" s="24"/>
      <c r="AI65" s="25"/>
      <c r="AJ65" s="773" t="s">
        <v>133</v>
      </c>
      <c r="AK65" s="24"/>
      <c r="AL65" s="24"/>
      <c r="AM65" s="24"/>
      <c r="AN65" s="24"/>
      <c r="AO65" s="24"/>
      <c r="AP65" s="24"/>
      <c r="AQ65" s="24"/>
      <c r="AR65" s="24"/>
      <c r="AS65" s="24"/>
      <c r="AT65" s="24"/>
      <c r="AU65" s="24"/>
      <c r="AV65" s="24"/>
      <c r="AW65" s="24"/>
      <c r="AX65" s="24"/>
      <c r="AY65" s="24"/>
      <c r="AZ65" s="24"/>
      <c r="BA65" s="24"/>
      <c r="BB65" s="25"/>
      <c r="BC65" s="221"/>
    </row>
    <row r="66" ht="15.75" customHeight="1">
      <c r="A66" s="219"/>
      <c r="B66" s="224"/>
      <c r="C66" s="5"/>
      <c r="D66" s="5"/>
      <c r="E66" s="5"/>
      <c r="F66" s="5"/>
      <c r="G66" s="5"/>
      <c r="H66" s="5"/>
      <c r="I66" s="5"/>
      <c r="J66" s="5"/>
      <c r="K66" s="5"/>
      <c r="L66" s="5"/>
      <c r="M66" s="5"/>
      <c r="N66" s="5"/>
      <c r="O66" s="5"/>
      <c r="P66" s="5"/>
      <c r="Q66" s="5"/>
      <c r="R66" s="7"/>
      <c r="S66" s="224"/>
      <c r="T66" s="5"/>
      <c r="U66" s="5"/>
      <c r="V66" s="5"/>
      <c r="W66" s="5"/>
      <c r="X66" s="5"/>
      <c r="Y66" s="5"/>
      <c r="Z66" s="5"/>
      <c r="AA66" s="5"/>
      <c r="AB66" s="5"/>
      <c r="AC66" s="5"/>
      <c r="AD66" s="5"/>
      <c r="AE66" s="5"/>
      <c r="AF66" s="5"/>
      <c r="AG66" s="5"/>
      <c r="AH66" s="5"/>
      <c r="AI66" s="7"/>
      <c r="AJ66" s="224"/>
      <c r="AK66" s="5"/>
      <c r="AL66" s="5"/>
      <c r="AM66" s="5"/>
      <c r="AN66" s="5"/>
      <c r="AO66" s="5"/>
      <c r="AP66" s="5"/>
      <c r="AQ66" s="5"/>
      <c r="AR66" s="5"/>
      <c r="AS66" s="5"/>
      <c r="AT66" s="5"/>
      <c r="AU66" s="5"/>
      <c r="AV66" s="5"/>
      <c r="AW66" s="5"/>
      <c r="AX66" s="5"/>
      <c r="AY66" s="5"/>
      <c r="AZ66" s="5"/>
      <c r="BA66" s="5"/>
      <c r="BB66" s="225"/>
      <c r="BC66" s="226"/>
    </row>
    <row r="67" ht="135.0" customHeight="1">
      <c r="A67" s="219"/>
      <c r="B67" s="9"/>
      <c r="R67" s="15"/>
      <c r="S67" s="9"/>
      <c r="AI67" s="15"/>
      <c r="AJ67" s="9"/>
      <c r="BB67" s="209"/>
      <c r="BC67" s="226"/>
    </row>
    <row r="68" ht="15.75" customHeight="1">
      <c r="A68" s="219"/>
      <c r="B68" s="9"/>
      <c r="R68" s="15"/>
      <c r="S68" s="9"/>
      <c r="AI68" s="15"/>
      <c r="AJ68" s="9"/>
      <c r="BB68" s="209"/>
      <c r="BC68" s="226"/>
    </row>
    <row r="69" ht="15.75" customHeight="1">
      <c r="A69" s="219"/>
      <c r="B69" s="9"/>
      <c r="R69" s="15"/>
      <c r="S69" s="9"/>
      <c r="AI69" s="15"/>
      <c r="AJ69" s="9"/>
      <c r="BB69" s="209"/>
      <c r="BC69" s="226"/>
    </row>
    <row r="70" ht="15.75" customHeight="1">
      <c r="A70" s="219"/>
      <c r="B70" s="10"/>
      <c r="C70" s="11"/>
      <c r="D70" s="11"/>
      <c r="E70" s="11"/>
      <c r="F70" s="11"/>
      <c r="G70" s="11"/>
      <c r="H70" s="11"/>
      <c r="I70" s="11"/>
      <c r="J70" s="11"/>
      <c r="K70" s="11"/>
      <c r="L70" s="11"/>
      <c r="M70" s="11"/>
      <c r="N70" s="11"/>
      <c r="O70" s="11"/>
      <c r="P70" s="11"/>
      <c r="Q70" s="11"/>
      <c r="R70" s="12"/>
      <c r="S70" s="10"/>
      <c r="T70" s="11"/>
      <c r="U70" s="11"/>
      <c r="V70" s="11"/>
      <c r="W70" s="11"/>
      <c r="X70" s="11"/>
      <c r="Y70" s="11"/>
      <c r="Z70" s="11"/>
      <c r="AA70" s="11"/>
      <c r="AB70" s="11"/>
      <c r="AC70" s="11"/>
      <c r="AD70" s="11"/>
      <c r="AE70" s="11"/>
      <c r="AF70" s="11"/>
      <c r="AG70" s="11"/>
      <c r="AH70" s="11"/>
      <c r="AI70" s="12"/>
      <c r="AJ70" s="9"/>
      <c r="BB70" s="209"/>
      <c r="BC70" s="226"/>
    </row>
    <row r="71" ht="15.75" customHeight="1">
      <c r="A71" s="219"/>
      <c r="B71" s="775" t="s">
        <v>134</v>
      </c>
      <c r="C71" s="5"/>
      <c r="D71" s="5"/>
      <c r="E71" s="5"/>
      <c r="F71" s="5"/>
      <c r="G71" s="5"/>
      <c r="H71" s="5"/>
      <c r="I71" s="5"/>
      <c r="J71" s="5"/>
      <c r="K71" s="5"/>
      <c r="L71" s="5"/>
      <c r="M71" s="5"/>
      <c r="N71" s="5"/>
      <c r="O71" s="5"/>
      <c r="P71" s="5"/>
      <c r="Q71" s="7"/>
      <c r="R71" s="776"/>
      <c r="S71" s="777" t="s">
        <v>135</v>
      </c>
      <c r="T71" s="5"/>
      <c r="U71" s="5"/>
      <c r="V71" s="7"/>
      <c r="W71" s="777" t="s">
        <v>136</v>
      </c>
      <c r="X71" s="5"/>
      <c r="Y71" s="5"/>
      <c r="Z71" s="7"/>
      <c r="AA71" s="777" t="s">
        <v>137</v>
      </c>
      <c r="AB71" s="5"/>
      <c r="AC71" s="5"/>
      <c r="AD71" s="7"/>
      <c r="AE71" s="777" t="s">
        <v>138</v>
      </c>
      <c r="AF71" s="5"/>
      <c r="AG71" s="5"/>
      <c r="AH71" s="5"/>
      <c r="AI71" s="7"/>
      <c r="AJ71" s="9"/>
      <c r="BB71" s="209"/>
      <c r="BC71" s="226"/>
    </row>
    <row r="72" ht="15.75" customHeight="1">
      <c r="A72" s="219"/>
      <c r="B72" s="10"/>
      <c r="C72" s="11"/>
      <c r="D72" s="11"/>
      <c r="E72" s="11"/>
      <c r="F72" s="11"/>
      <c r="G72" s="11"/>
      <c r="H72" s="11"/>
      <c r="I72" s="11"/>
      <c r="J72" s="11"/>
      <c r="K72" s="11"/>
      <c r="L72" s="11"/>
      <c r="M72" s="11"/>
      <c r="N72" s="11"/>
      <c r="O72" s="11"/>
      <c r="P72" s="11"/>
      <c r="Q72" s="12"/>
      <c r="R72" s="230"/>
      <c r="S72" s="10"/>
      <c r="T72" s="11"/>
      <c r="U72" s="11"/>
      <c r="V72" s="12"/>
      <c r="W72" s="10"/>
      <c r="X72" s="11"/>
      <c r="Y72" s="11"/>
      <c r="Z72" s="12"/>
      <c r="AA72" s="10"/>
      <c r="AB72" s="11"/>
      <c r="AC72" s="11"/>
      <c r="AD72" s="12"/>
      <c r="AE72" s="10"/>
      <c r="AF72" s="11"/>
      <c r="AG72" s="11"/>
      <c r="AH72" s="11"/>
      <c r="AI72" s="12"/>
      <c r="AJ72" s="9"/>
      <c r="BB72" s="209"/>
      <c r="BC72" s="226"/>
    </row>
    <row r="73" ht="15.75" customHeight="1">
      <c r="A73" s="219"/>
      <c r="B73" s="231" t="str">
        <f>if(or(R72&gt;10,R72&lt;0),"잘못된 숫자를 넣으셨습니다.",
if(R72=1,"배움의 장소",
if(R72=2,"고향",
if(R72=3,"첫사랑을 만난 곳",
if(R72=4,"조용한 명상의 장소",
if(R72=5,"사교의 장소",
if(R72=6,"사상 또는 신앙과 관련된 장소",
if(R72=7,"중요한 사람의 무덤",
if(R72=8,"가족의 집",
if(R72=9,"가장 행복했던 시간을 보낸 곳",
if(R72=10,"직장",
"당신에게 의미있었던 장소는 어딘가요?")))))))))))</f>
        <v>당신에게 의미있었던 장소는 어딘가요?</v>
      </c>
      <c r="C73" s="105"/>
      <c r="D73" s="105"/>
      <c r="E73" s="105"/>
      <c r="F73" s="105"/>
      <c r="G73" s="105"/>
      <c r="H73" s="105"/>
      <c r="I73" s="105"/>
      <c r="J73" s="105"/>
      <c r="K73" s="105"/>
      <c r="L73" s="105"/>
      <c r="M73" s="105"/>
      <c r="N73" s="105"/>
      <c r="O73" s="105"/>
      <c r="P73" s="105"/>
      <c r="Q73" s="105"/>
      <c r="R73" s="107"/>
      <c r="S73" s="231" t="str">
        <f>R19</f>
        <v/>
      </c>
      <c r="T73" s="105"/>
      <c r="U73" s="105"/>
      <c r="V73" s="107"/>
      <c r="W73" s="232">
        <f>if((R19)&lt;=0,(10*1.3),if((R19)&lt;=9,(40*1.3),if((R19)&lt;=49,(200*1.3),if((R19)&lt;=89,(1000*1.3),if((R19)&lt;=98,(5000*1.3),100000)))))</f>
        <v>13</v>
      </c>
      <c r="X73" s="105"/>
      <c r="Y73" s="105"/>
      <c r="Z73" s="107"/>
      <c r="AA73" s="232">
        <f>if((R19)&lt;=0,(10*1.3),if((R19)&lt;=9,(R19*20*1.3),if((R19)&lt;=49,(R19*40*1.3),if((R19)&lt;=89,(R19*100*1.3),if((R19)&lt;=98,(R19*400*1.3),(1000000*1.3))))))</f>
        <v>13</v>
      </c>
      <c r="AB73" s="105"/>
      <c r="AC73" s="105"/>
      <c r="AD73" s="107"/>
      <c r="AE73" s="232" t="str">
        <f>if((R19)&lt;=0,"None",if((R19)&lt;=9,(R19*200*1.3),if((R19)&lt;=49,(R19*1000*1.3),if((R19)&lt;=89,(R19*10000*1.3),if((R19)&lt;=98,(R19*40000*1.3),"$100000000+")))))</f>
        <v>None</v>
      </c>
      <c r="AF73" s="105"/>
      <c r="AG73" s="105"/>
      <c r="AH73" s="105"/>
      <c r="AI73" s="107"/>
      <c r="AJ73" s="188"/>
      <c r="AK73" s="31"/>
      <c r="AL73" s="31"/>
      <c r="AM73" s="31"/>
      <c r="AN73" s="31"/>
      <c r="AO73" s="31"/>
      <c r="AP73" s="31"/>
      <c r="AQ73" s="31"/>
      <c r="AR73" s="31"/>
      <c r="AS73" s="31"/>
      <c r="AT73" s="31"/>
      <c r="AU73" s="31"/>
      <c r="AV73" s="31"/>
      <c r="AW73" s="31"/>
      <c r="AX73" s="31"/>
      <c r="AY73" s="31"/>
      <c r="AZ73" s="31"/>
      <c r="BA73" s="31"/>
      <c r="BB73" s="32"/>
      <c r="BC73" s="226"/>
    </row>
    <row r="74" ht="15.75" customHeight="1">
      <c r="A74" s="234"/>
      <c r="B74" s="235"/>
      <c r="C74" s="235"/>
      <c r="D74" s="235"/>
      <c r="E74" s="235"/>
      <c r="F74" s="235"/>
      <c r="G74" s="235"/>
      <c r="H74" s="235"/>
      <c r="I74" s="235"/>
      <c r="J74" s="235"/>
      <c r="K74" s="235"/>
      <c r="L74" s="235"/>
      <c r="M74" s="235"/>
      <c r="N74" s="235"/>
      <c r="O74" s="235"/>
      <c r="P74" s="235"/>
      <c r="Q74" s="235"/>
      <c r="R74" s="235"/>
      <c r="S74" s="235"/>
      <c r="T74" s="235"/>
      <c r="U74" s="235"/>
      <c r="V74" s="235"/>
      <c r="W74" s="235"/>
      <c r="X74" s="235"/>
      <c r="Y74" s="235"/>
      <c r="Z74" s="235"/>
      <c r="AA74" s="235"/>
      <c r="AB74" s="235"/>
      <c r="AC74" s="235"/>
      <c r="AD74" s="235"/>
      <c r="AE74" s="235"/>
      <c r="AF74" s="235"/>
      <c r="AG74" s="235"/>
      <c r="AH74" s="235"/>
      <c r="AI74" s="235"/>
      <c r="AJ74" s="236"/>
      <c r="AK74" s="237"/>
      <c r="AL74" s="238"/>
      <c r="AM74" s="237"/>
      <c r="AN74" s="237"/>
      <c r="AO74" s="237"/>
      <c r="AP74" s="237"/>
      <c r="AQ74" s="237"/>
      <c r="AR74" s="237"/>
      <c r="AS74" s="237"/>
      <c r="AT74" s="237"/>
      <c r="AU74" s="237"/>
      <c r="AV74" s="237"/>
      <c r="AW74" s="237"/>
      <c r="AX74" s="237"/>
      <c r="AY74" s="237"/>
      <c r="AZ74" s="237"/>
      <c r="BA74" s="237"/>
      <c r="BB74" s="237"/>
      <c r="BC74" s="239"/>
    </row>
    <row r="75" ht="15.75" customHeight="1">
      <c r="A75" s="240"/>
      <c r="B75" s="241" t="s">
        <v>139</v>
      </c>
      <c r="C75" s="24"/>
      <c r="D75" s="24"/>
      <c r="E75" s="24"/>
      <c r="F75" s="24"/>
      <c r="G75" s="24"/>
      <c r="H75" s="24"/>
      <c r="I75" s="24"/>
      <c r="J75" s="24"/>
      <c r="K75" s="24"/>
      <c r="L75" s="24"/>
      <c r="M75" s="25"/>
      <c r="N75" s="242" t="s">
        <v>140</v>
      </c>
      <c r="O75" s="24"/>
      <c r="P75" s="24"/>
      <c r="Q75" s="24"/>
      <c r="R75" s="24"/>
      <c r="S75" s="24"/>
      <c r="T75" s="24"/>
      <c r="U75" s="24"/>
      <c r="V75" s="24"/>
      <c r="W75" s="24"/>
      <c r="X75" s="24"/>
      <c r="Y75" s="25"/>
      <c r="Z75" s="242" t="s">
        <v>141</v>
      </c>
      <c r="AA75" s="24"/>
      <c r="AB75" s="24"/>
      <c r="AC75" s="24"/>
      <c r="AD75" s="24"/>
      <c r="AE75" s="24"/>
      <c r="AF75" s="24"/>
      <c r="AG75" s="24"/>
      <c r="AH75" s="24"/>
      <c r="AI75" s="24"/>
      <c r="AJ75" s="24"/>
      <c r="AK75" s="25"/>
      <c r="AL75" s="242" t="s">
        <v>142</v>
      </c>
      <c r="AM75" s="24"/>
      <c r="AN75" s="24"/>
      <c r="AO75" s="24"/>
      <c r="AP75" s="24"/>
      <c r="AQ75" s="24"/>
      <c r="AR75" s="24"/>
      <c r="AS75" s="24"/>
      <c r="AT75" s="24"/>
      <c r="AU75" s="24"/>
      <c r="AV75" s="24"/>
      <c r="AW75" s="25"/>
      <c r="AX75" s="243"/>
      <c r="AY75" s="244" t="s">
        <v>143</v>
      </c>
      <c r="AZ75" s="24"/>
      <c r="BA75" s="24"/>
      <c r="BB75" s="25"/>
      <c r="BC75" s="245"/>
    </row>
    <row r="76" ht="15.75" customHeight="1">
      <c r="A76" s="246"/>
      <c r="B76" s="247"/>
      <c r="C76" s="11"/>
      <c r="D76" s="11"/>
      <c r="E76" s="11"/>
      <c r="F76" s="11"/>
      <c r="G76" s="11"/>
      <c r="H76" s="11"/>
      <c r="I76" s="11"/>
      <c r="J76" s="11"/>
      <c r="K76" s="11"/>
      <c r="L76" s="11"/>
      <c r="M76" s="248"/>
      <c r="N76" s="10"/>
      <c r="O76" s="11"/>
      <c r="P76" s="11"/>
      <c r="Q76" s="11"/>
      <c r="R76" s="11"/>
      <c r="S76" s="11"/>
      <c r="T76" s="11"/>
      <c r="U76" s="11"/>
      <c r="V76" s="11"/>
      <c r="W76" s="11"/>
      <c r="X76" s="11"/>
      <c r="Y76" s="248"/>
      <c r="Z76" s="10"/>
      <c r="AA76" s="11"/>
      <c r="AB76" s="11"/>
      <c r="AC76" s="11"/>
      <c r="AD76" s="11"/>
      <c r="AE76" s="11"/>
      <c r="AF76" s="11"/>
      <c r="AG76" s="11"/>
      <c r="AH76" s="11"/>
      <c r="AI76" s="11"/>
      <c r="AJ76" s="11"/>
      <c r="AK76" s="248"/>
      <c r="AL76" s="10"/>
      <c r="AM76" s="11"/>
      <c r="AN76" s="11"/>
      <c r="AO76" s="11"/>
      <c r="AP76" s="11"/>
      <c r="AQ76" s="11"/>
      <c r="AR76" s="11"/>
      <c r="AS76" s="11"/>
      <c r="AT76" s="11"/>
      <c r="AU76" s="11"/>
      <c r="AV76" s="11"/>
      <c r="AW76" s="248"/>
      <c r="AX76" s="249"/>
      <c r="AY76" s="250"/>
      <c r="BB76" s="209"/>
      <c r="BC76" s="251"/>
    </row>
    <row r="77" ht="15.75" customHeight="1">
      <c r="A77" s="252"/>
      <c r="B77" s="257"/>
      <c r="C77" s="5"/>
      <c r="D77" s="5"/>
      <c r="E77" s="5"/>
      <c r="F77" s="5"/>
      <c r="G77" s="5"/>
      <c r="H77" s="5"/>
      <c r="I77" s="5"/>
      <c r="J77" s="5"/>
      <c r="K77" s="5"/>
      <c r="L77" s="5"/>
      <c r="M77" s="225"/>
      <c r="N77" s="254"/>
      <c r="O77" s="5"/>
      <c r="P77" s="5"/>
      <c r="Q77" s="5"/>
      <c r="R77" s="5"/>
      <c r="S77" s="5"/>
      <c r="T77" s="5"/>
      <c r="U77" s="5"/>
      <c r="V77" s="5"/>
      <c r="W77" s="5"/>
      <c r="X77" s="5"/>
      <c r="Y77" s="225"/>
      <c r="Z77" s="254"/>
      <c r="AA77" s="5"/>
      <c r="AB77" s="5"/>
      <c r="AC77" s="5"/>
      <c r="AD77" s="5"/>
      <c r="AE77" s="5"/>
      <c r="AF77" s="5"/>
      <c r="AG77" s="5"/>
      <c r="AH77" s="5"/>
      <c r="AI77" s="5"/>
      <c r="AJ77" s="5"/>
      <c r="AK77" s="225"/>
      <c r="AL77" s="254"/>
      <c r="AM77" s="5"/>
      <c r="AN77" s="5"/>
      <c r="AO77" s="5"/>
      <c r="AP77" s="5"/>
      <c r="AQ77" s="5"/>
      <c r="AR77" s="5"/>
      <c r="AS77" s="5"/>
      <c r="AT77" s="5"/>
      <c r="AU77" s="5"/>
      <c r="AV77" s="5"/>
      <c r="AW77" s="225"/>
      <c r="AX77" s="256"/>
      <c r="AY77" s="257"/>
      <c r="AZ77" s="5"/>
      <c r="BA77" s="5"/>
      <c r="BB77" s="225"/>
      <c r="BC77" s="258"/>
    </row>
    <row r="78" ht="15.75" customHeight="1">
      <c r="A78" s="259"/>
      <c r="B78" s="250"/>
      <c r="M78" s="209"/>
      <c r="N78" s="260"/>
      <c r="Y78" s="209"/>
      <c r="Z78" s="260"/>
      <c r="AK78" s="209"/>
      <c r="AL78" s="260"/>
      <c r="AW78" s="209"/>
      <c r="AX78" s="256"/>
      <c r="AY78" s="250"/>
      <c r="BB78" s="209"/>
      <c r="BC78" s="258"/>
    </row>
    <row r="79" ht="15.75" customHeight="1">
      <c r="A79" s="259"/>
      <c r="B79" s="250"/>
      <c r="M79" s="209"/>
      <c r="N79" s="260"/>
      <c r="Y79" s="209"/>
      <c r="Z79" s="260"/>
      <c r="AK79" s="209"/>
      <c r="AL79" s="260"/>
      <c r="AW79" s="209"/>
      <c r="AX79" s="256"/>
      <c r="AY79" s="250"/>
      <c r="BB79" s="209"/>
      <c r="BC79" s="258"/>
    </row>
    <row r="80" ht="15.75" customHeight="1">
      <c r="A80" s="259"/>
      <c r="B80" s="30"/>
      <c r="C80" s="31"/>
      <c r="D80" s="31"/>
      <c r="E80" s="31"/>
      <c r="F80" s="31"/>
      <c r="G80" s="31"/>
      <c r="H80" s="31"/>
      <c r="I80" s="31"/>
      <c r="J80" s="31"/>
      <c r="K80" s="31"/>
      <c r="L80" s="31"/>
      <c r="M80" s="32"/>
      <c r="N80" s="261"/>
      <c r="O80" s="31"/>
      <c r="P80" s="31"/>
      <c r="Q80" s="31"/>
      <c r="R80" s="31"/>
      <c r="S80" s="31"/>
      <c r="T80" s="31"/>
      <c r="U80" s="31"/>
      <c r="V80" s="31"/>
      <c r="W80" s="31"/>
      <c r="X80" s="31"/>
      <c r="Y80" s="32"/>
      <c r="Z80" s="261"/>
      <c r="AA80" s="31"/>
      <c r="AB80" s="31"/>
      <c r="AC80" s="31"/>
      <c r="AD80" s="31"/>
      <c r="AE80" s="31"/>
      <c r="AF80" s="31"/>
      <c r="AG80" s="31"/>
      <c r="AH80" s="31"/>
      <c r="AI80" s="31"/>
      <c r="AJ80" s="31"/>
      <c r="AK80" s="32"/>
      <c r="AL80" s="261"/>
      <c r="AM80" s="31"/>
      <c r="AN80" s="31"/>
      <c r="AO80" s="31"/>
      <c r="AP80" s="31"/>
      <c r="AQ80" s="31"/>
      <c r="AR80" s="31"/>
      <c r="AS80" s="31"/>
      <c r="AT80" s="31"/>
      <c r="AU80" s="31"/>
      <c r="AV80" s="31"/>
      <c r="AW80" s="32"/>
      <c r="AX80" s="262"/>
      <c r="AY80" s="30"/>
      <c r="AZ80" s="31"/>
      <c r="BA80" s="31"/>
      <c r="BB80" s="32"/>
      <c r="BC80" s="258"/>
    </row>
    <row r="81" ht="15.75" customHeight="1">
      <c r="A81" s="263"/>
      <c r="B81" s="264"/>
      <c r="C81" s="265"/>
      <c r="D81" s="265"/>
      <c r="E81" s="265"/>
      <c r="F81" s="265"/>
      <c r="G81" s="265"/>
      <c r="H81" s="265"/>
      <c r="I81" s="265"/>
      <c r="J81" s="265"/>
      <c r="K81" s="265"/>
      <c r="L81" s="265"/>
      <c r="M81" s="265"/>
      <c r="N81" s="265"/>
      <c r="O81" s="265"/>
      <c r="P81" s="265"/>
      <c r="Q81" s="265"/>
      <c r="R81" s="265"/>
      <c r="S81" s="265"/>
      <c r="T81" s="265"/>
      <c r="U81" s="265"/>
      <c r="V81" s="265"/>
      <c r="W81" s="265"/>
      <c r="X81" s="265"/>
      <c r="Y81" s="265"/>
      <c r="Z81" s="265"/>
      <c r="AA81" s="265"/>
      <c r="AB81" s="265"/>
      <c r="AC81" s="265"/>
      <c r="AD81" s="265"/>
      <c r="AE81" s="265"/>
      <c r="AF81" s="265"/>
      <c r="AG81" s="265"/>
      <c r="AH81" s="265"/>
      <c r="AI81" s="265"/>
      <c r="AJ81" s="265"/>
      <c r="AK81" s="265"/>
      <c r="AL81" s="266"/>
      <c r="AM81" s="265"/>
      <c r="AN81" s="265"/>
      <c r="AO81" s="265"/>
      <c r="AP81" s="265"/>
      <c r="AQ81" s="265"/>
      <c r="AR81" s="265"/>
      <c r="AS81" s="265"/>
      <c r="AT81" s="265"/>
      <c r="AU81" s="265"/>
      <c r="AV81" s="265"/>
      <c r="AW81" s="265"/>
      <c r="AX81" s="265"/>
      <c r="AY81" s="265"/>
      <c r="AZ81" s="265"/>
      <c r="BA81" s="265"/>
      <c r="BB81" s="265"/>
      <c r="BC81" s="267"/>
    </row>
    <row r="82" ht="15.75" customHeight="1">
      <c r="A82" s="268"/>
      <c r="B82" s="269" t="s">
        <v>144</v>
      </c>
      <c r="C82" s="24"/>
      <c r="D82" s="24"/>
      <c r="E82" s="270"/>
      <c r="F82" s="271" t="s">
        <v>145</v>
      </c>
      <c r="G82" s="24"/>
      <c r="H82" s="24"/>
      <c r="I82" s="270"/>
      <c r="J82" s="272" t="s">
        <v>146</v>
      </c>
      <c r="K82" s="24"/>
      <c r="L82" s="24"/>
      <c r="M82" s="270"/>
      <c r="N82" s="272" t="s">
        <v>147</v>
      </c>
      <c r="O82" s="24"/>
      <c r="P82" s="24"/>
      <c r="Q82" s="270"/>
      <c r="R82" s="271" t="s">
        <v>148</v>
      </c>
      <c r="S82" s="24"/>
      <c r="T82" s="24"/>
      <c r="U82" s="24"/>
      <c r="V82" s="271" t="s">
        <v>149</v>
      </c>
      <c r="W82" s="24"/>
      <c r="X82" s="24"/>
      <c r="Y82" s="24"/>
      <c r="Z82" s="273" t="s">
        <v>150</v>
      </c>
      <c r="AA82" s="24"/>
      <c r="AB82" s="24"/>
      <c r="AC82" s="24"/>
      <c r="AD82" s="274" t="s">
        <v>151</v>
      </c>
      <c r="AE82" s="24"/>
      <c r="AF82" s="24"/>
      <c r="AG82" s="270"/>
      <c r="AH82" s="271"/>
      <c r="AI82" s="24"/>
      <c r="AJ82" s="24"/>
      <c r="AK82" s="270"/>
      <c r="AL82" s="271"/>
      <c r="AM82" s="24"/>
      <c r="AN82" s="24"/>
      <c r="AO82" s="270"/>
      <c r="AP82" s="273"/>
      <c r="AQ82" s="24"/>
      <c r="AR82" s="24"/>
      <c r="AS82" s="270"/>
      <c r="AT82" s="271"/>
      <c r="AU82" s="24"/>
      <c r="AV82" s="24"/>
      <c r="AW82" s="270"/>
      <c r="AX82" s="271"/>
      <c r="AY82" s="24"/>
      <c r="AZ82" s="24"/>
      <c r="BA82" s="24"/>
      <c r="BB82" s="25"/>
      <c r="BC82" s="268"/>
    </row>
    <row r="83" ht="15.75" customHeight="1">
      <c r="A83" s="268"/>
      <c r="B83" s="30"/>
      <c r="C83" s="31"/>
      <c r="D83" s="31"/>
      <c r="E83" s="275"/>
      <c r="F83" s="188"/>
      <c r="G83" s="31"/>
      <c r="H83" s="31"/>
      <c r="I83" s="275"/>
      <c r="J83" s="188"/>
      <c r="K83" s="31"/>
      <c r="L83" s="31"/>
      <c r="M83" s="275"/>
      <c r="N83" s="188"/>
      <c r="O83" s="31"/>
      <c r="P83" s="31"/>
      <c r="Q83" s="275"/>
      <c r="R83" s="188"/>
      <c r="S83" s="31"/>
      <c r="T83" s="31"/>
      <c r="U83" s="31"/>
      <c r="V83" s="188"/>
      <c r="W83" s="31"/>
      <c r="X83" s="31"/>
      <c r="Y83" s="31"/>
      <c r="Z83" s="188"/>
      <c r="AA83" s="31"/>
      <c r="AB83" s="31"/>
      <c r="AC83" s="31"/>
      <c r="AD83" s="188"/>
      <c r="AE83" s="31"/>
      <c r="AF83" s="31"/>
      <c r="AG83" s="275"/>
      <c r="AH83" s="188"/>
      <c r="AI83" s="31"/>
      <c r="AJ83" s="31"/>
      <c r="AK83" s="275"/>
      <c r="AL83" s="188"/>
      <c r="AM83" s="31"/>
      <c r="AN83" s="31"/>
      <c r="AO83" s="275"/>
      <c r="AP83" s="188"/>
      <c r="AQ83" s="31"/>
      <c r="AR83" s="31"/>
      <c r="AS83" s="275"/>
      <c r="AT83" s="188"/>
      <c r="AU83" s="31"/>
      <c r="AV83" s="31"/>
      <c r="AW83" s="275"/>
      <c r="AX83" s="188"/>
      <c r="AY83" s="31"/>
      <c r="AZ83" s="31"/>
      <c r="BA83" s="31"/>
      <c r="BB83" s="32"/>
      <c r="BC83" s="268"/>
    </row>
    <row r="84" ht="15.75" customHeight="1">
      <c r="A84" s="268"/>
      <c r="B84" s="276" t="s">
        <v>152</v>
      </c>
      <c r="E84" s="15"/>
      <c r="F84" s="277" t="s">
        <v>153</v>
      </c>
      <c r="I84" s="15"/>
      <c r="J84" s="278" t="s">
        <v>154</v>
      </c>
      <c r="M84" s="15"/>
      <c r="N84" s="278" t="s">
        <v>155</v>
      </c>
      <c r="Q84" s="15"/>
      <c r="R84" s="279" t="s">
        <v>156</v>
      </c>
      <c r="V84" s="279" t="s">
        <v>157</v>
      </c>
      <c r="Z84" s="278" t="s">
        <v>158</v>
      </c>
      <c r="AD84" s="280" t="s">
        <v>159</v>
      </c>
      <c r="AG84" s="15"/>
      <c r="AH84" s="279"/>
      <c r="AK84" s="15"/>
      <c r="AL84" s="279"/>
      <c r="AO84" s="15"/>
      <c r="AP84" s="278"/>
      <c r="AS84" s="15"/>
      <c r="AT84" s="279"/>
      <c r="AW84" s="15"/>
      <c r="AX84" s="279"/>
      <c r="BB84" s="209"/>
      <c r="BC84" s="268"/>
    </row>
    <row r="85" ht="15.75" customHeight="1">
      <c r="A85" s="268"/>
      <c r="B85" s="250"/>
      <c r="E85" s="15"/>
      <c r="F85" s="9"/>
      <c r="I85" s="15"/>
      <c r="J85" s="9"/>
      <c r="M85" s="15"/>
      <c r="N85" s="9"/>
      <c r="Q85" s="15"/>
      <c r="R85" s="9"/>
      <c r="V85" s="9"/>
      <c r="Z85" s="9"/>
      <c r="AD85" s="9"/>
      <c r="AG85" s="15"/>
      <c r="AH85" s="9"/>
      <c r="AK85" s="15"/>
      <c r="AL85" s="9"/>
      <c r="AO85" s="15"/>
      <c r="AP85" s="9"/>
      <c r="AS85" s="15"/>
      <c r="AT85" s="9"/>
      <c r="AW85" s="15"/>
      <c r="AX85" s="9"/>
      <c r="BB85" s="209"/>
      <c r="BC85" s="268"/>
    </row>
    <row r="86" ht="15.75" customHeight="1">
      <c r="A86" s="268"/>
      <c r="B86" s="250"/>
      <c r="E86" s="15"/>
      <c r="F86" s="9"/>
      <c r="I86" s="15"/>
      <c r="J86" s="9"/>
      <c r="M86" s="15"/>
      <c r="N86" s="9"/>
      <c r="Q86" s="15"/>
      <c r="R86" s="9"/>
      <c r="V86" s="9"/>
      <c r="Z86" s="9"/>
      <c r="AD86" s="9"/>
      <c r="AG86" s="15"/>
      <c r="AH86" s="9"/>
      <c r="AK86" s="15"/>
      <c r="AL86" s="9"/>
      <c r="AO86" s="15"/>
      <c r="AP86" s="9"/>
      <c r="AS86" s="15"/>
      <c r="AT86" s="9"/>
      <c r="AW86" s="15"/>
      <c r="AX86" s="9"/>
      <c r="BB86" s="209"/>
      <c r="BC86" s="268"/>
    </row>
    <row r="87" ht="15.75" customHeight="1">
      <c r="A87" s="281"/>
      <c r="B87" s="30"/>
      <c r="C87" s="31"/>
      <c r="D87" s="31"/>
      <c r="E87" s="275"/>
      <c r="F87" s="188"/>
      <c r="G87" s="31"/>
      <c r="H87" s="31"/>
      <c r="I87" s="275"/>
      <c r="J87" s="188"/>
      <c r="K87" s="31"/>
      <c r="L87" s="31"/>
      <c r="M87" s="275"/>
      <c r="N87" s="188"/>
      <c r="O87" s="31"/>
      <c r="P87" s="31"/>
      <c r="Q87" s="275"/>
      <c r="R87" s="9"/>
      <c r="V87" s="9"/>
      <c r="Z87" s="9"/>
      <c r="AD87" s="188"/>
      <c r="AE87" s="31"/>
      <c r="AF87" s="31"/>
      <c r="AG87" s="275"/>
      <c r="AH87" s="188"/>
      <c r="AI87" s="31"/>
      <c r="AJ87" s="31"/>
      <c r="AK87" s="275"/>
      <c r="AL87" s="188"/>
      <c r="AM87" s="31"/>
      <c r="AN87" s="31"/>
      <c r="AO87" s="275"/>
      <c r="AP87" s="188"/>
      <c r="AQ87" s="31"/>
      <c r="AR87" s="31"/>
      <c r="AS87" s="275"/>
      <c r="AT87" s="188"/>
      <c r="AU87" s="31"/>
      <c r="AV87" s="31"/>
      <c r="AW87" s="275"/>
      <c r="AX87" s="188"/>
      <c r="AY87" s="31"/>
      <c r="AZ87" s="31"/>
      <c r="BA87" s="31"/>
      <c r="BB87" s="32"/>
      <c r="BC87" s="268"/>
    </row>
    <row r="88" ht="27.0" customHeight="1">
      <c r="A88" s="282"/>
      <c r="B88" s="265"/>
      <c r="C88" s="265"/>
      <c r="D88" s="265"/>
      <c r="E88" s="265"/>
      <c r="F88" s="265"/>
      <c r="G88" s="265"/>
      <c r="H88" s="265"/>
      <c r="I88" s="265"/>
      <c r="J88" s="265"/>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65"/>
      <c r="AK88" s="265"/>
      <c r="AL88" s="265"/>
      <c r="AM88" s="265"/>
      <c r="AN88" s="265"/>
      <c r="AO88" s="265"/>
      <c r="AP88" s="265"/>
      <c r="AQ88" s="265"/>
      <c r="AR88" s="265"/>
      <c r="AS88" s="265"/>
      <c r="AT88" s="265"/>
      <c r="AU88" s="265"/>
      <c r="AV88" s="265"/>
      <c r="AW88" s="265"/>
      <c r="AX88" s="284" t="s">
        <v>160</v>
      </c>
      <c r="BB88" s="209"/>
      <c r="BC88" s="285"/>
    </row>
    <row r="89" ht="15.75" customHeight="1" outlineLevel="1">
      <c r="A89" s="287" t="str">
        <f t="shared" ref="A89:A106" si="18">concatenate("cc&lt;=",I19," ",C19)</f>
        <v>cc&lt;=25 관찰력</v>
      </c>
    </row>
    <row r="90" ht="15.75" customHeight="1" outlineLevel="1">
      <c r="A90" s="287" t="str">
        <f t="shared" si="18"/>
        <v>cc&lt;=20 듣기</v>
      </c>
    </row>
    <row r="91" ht="15.75" customHeight="1" outlineLevel="1">
      <c r="A91" s="287" t="str">
        <f t="shared" si="18"/>
        <v>cc&lt;=20 자료조사</v>
      </c>
    </row>
    <row r="92" ht="15.75" customHeight="1" outlineLevel="1">
      <c r="A92" s="287" t="str">
        <f t="shared" si="18"/>
        <v>cc&lt;=5 컴퓨터 사용</v>
      </c>
    </row>
    <row r="93" ht="15.75" customHeight="1" outlineLevel="1">
      <c r="A93" s="287" t="str">
        <f t="shared" si="18"/>
        <v>cc&lt;=1 전자기기</v>
      </c>
    </row>
    <row r="94" ht="15.75" customHeight="1" outlineLevel="1">
      <c r="A94" s="287" t="str">
        <f t="shared" si="18"/>
        <v>cc&lt;=10 전기수리</v>
      </c>
    </row>
    <row r="95" ht="15.75" customHeight="1" outlineLevel="1">
      <c r="A95" s="287" t="str">
        <f t="shared" si="18"/>
        <v>cc&lt;=10 기계수리</v>
      </c>
    </row>
    <row r="96" ht="15.75" customHeight="1" outlineLevel="1">
      <c r="A96" s="287" t="str">
        <f t="shared" si="18"/>
        <v>cc&lt;=20 자동차 운전</v>
      </c>
    </row>
    <row r="97" ht="15.75" customHeight="1" outlineLevel="1">
      <c r="A97" s="287" t="str">
        <f t="shared" si="18"/>
        <v>cc&lt;=1 중장비 조작</v>
      </c>
    </row>
    <row r="98" ht="15.75" customHeight="1" outlineLevel="1">
      <c r="A98" s="287" t="str">
        <f t="shared" si="18"/>
        <v>cc&lt;=1 파일럿()</v>
      </c>
    </row>
    <row r="99" ht="15.75" customHeight="1" outlineLevel="1">
      <c r="A99" s="287" t="str">
        <f t="shared" si="18"/>
        <v>cc&lt;=0 </v>
      </c>
    </row>
    <row r="100" ht="15.75" customHeight="1" outlineLevel="1">
      <c r="A100" s="287" t="str">
        <f t="shared" si="18"/>
        <v>cc&lt;=10 항법</v>
      </c>
    </row>
    <row r="101" ht="15.75" customHeight="1" outlineLevel="1">
      <c r="A101" s="287" t="str">
        <f t="shared" si="18"/>
        <v>cc&lt;=10 추적</v>
      </c>
    </row>
    <row r="102" ht="15.75" customHeight="1" outlineLevel="1">
      <c r="A102" s="287" t="str">
        <f t="shared" si="18"/>
        <v>cc&lt;=5 승마</v>
      </c>
    </row>
    <row r="103" ht="15.75" customHeight="1" outlineLevel="1">
      <c r="A103" s="287" t="str">
        <f t="shared" si="18"/>
        <v>cc&lt;=5 조련</v>
      </c>
    </row>
    <row r="104" ht="15.75" customHeight="1" outlineLevel="1">
      <c r="A104" s="287" t="str">
        <f t="shared" si="18"/>
        <v>cc&lt;=0 </v>
      </c>
    </row>
    <row r="105" ht="15.75" customHeight="1" outlineLevel="1">
      <c r="A105" s="287" t="str">
        <f t="shared" si="18"/>
        <v>cc&lt;=1 폭파</v>
      </c>
    </row>
    <row r="106" ht="15.75" customHeight="1" outlineLevel="1">
      <c r="A106" s="287" t="str">
        <f t="shared" si="18"/>
        <v>cc&lt;=1 포격</v>
      </c>
    </row>
    <row r="107" ht="15.75" customHeight="1" outlineLevel="1">
      <c r="A107" s="287" t="str">
        <f t="shared" ref="A107:A124" si="19">concatenate("cc&lt;=",S19," ",M19)</f>
        <v>cc&lt;=0 재력</v>
      </c>
    </row>
    <row r="108" ht="15.75" customHeight="1" outlineLevel="1">
      <c r="A108" s="287" t="str">
        <f t="shared" si="19"/>
        <v>cc&lt;=5 회계</v>
      </c>
    </row>
    <row r="109" ht="15.75" customHeight="1" outlineLevel="1">
      <c r="A109" s="287" t="str">
        <f t="shared" si="19"/>
        <v>cc&lt;=10 자연</v>
      </c>
    </row>
    <row r="110" ht="15.75" customHeight="1" outlineLevel="1">
      <c r="A110" s="287" t="str">
        <f t="shared" si="19"/>
        <v>cc&lt;=1 과학()</v>
      </c>
    </row>
    <row r="111" ht="15.75" customHeight="1" outlineLevel="1">
      <c r="A111" s="287" t="str">
        <f t="shared" si="19"/>
        <v>cc&lt;=0 </v>
      </c>
    </row>
    <row r="112" ht="15.75" customHeight="1" outlineLevel="1">
      <c r="A112" s="287" t="str">
        <f t="shared" si="19"/>
        <v>cc&lt;=0 </v>
      </c>
    </row>
    <row r="113" ht="15.75" customHeight="1" outlineLevel="1">
      <c r="A113" s="287" t="str">
        <f t="shared" si="19"/>
        <v>cc&lt;=5 법률</v>
      </c>
    </row>
    <row r="114" ht="15.75" customHeight="1" outlineLevel="1">
      <c r="A114" s="287" t="str">
        <f t="shared" si="19"/>
        <v>cc&lt;=1 인류학</v>
      </c>
    </row>
    <row r="115" ht="15.75" customHeight="1" outlineLevel="1">
      <c r="A115" s="287" t="str">
        <f t="shared" si="19"/>
        <v>cc&lt;=5 역사</v>
      </c>
    </row>
    <row r="116" ht="15.75" customHeight="1" outlineLevel="1">
      <c r="A116" s="287" t="str">
        <f t="shared" si="19"/>
        <v>cc&lt;=1 고고학</v>
      </c>
    </row>
    <row r="117" ht="15.75" customHeight="1" outlineLevel="1">
      <c r="A117" s="287" t="str">
        <f t="shared" si="19"/>
        <v>cc&lt;=5 감정</v>
      </c>
    </row>
    <row r="118" ht="15.75" customHeight="1" outlineLevel="1">
      <c r="A118" s="287" t="str">
        <f t="shared" si="19"/>
        <v>cc&lt;=5 예술/공예</v>
      </c>
    </row>
    <row r="119" ht="15.75" customHeight="1" outlineLevel="1">
      <c r="A119" s="287" t="str">
        <f t="shared" si="19"/>
        <v>cc&lt;=0 </v>
      </c>
    </row>
    <row r="120" ht="15.75" customHeight="1" outlineLevel="1">
      <c r="A120" s="287" t="str">
        <f t="shared" si="19"/>
        <v>cc&lt;=1 독순술</v>
      </c>
    </row>
    <row r="121" ht="15.75" customHeight="1" outlineLevel="1">
      <c r="A121" s="287" t="str">
        <f t="shared" si="19"/>
        <v>cc&lt;=5 동물 다루기</v>
      </c>
    </row>
    <row r="122" ht="15.75" customHeight="1" outlineLevel="1">
      <c r="A122" s="287" t="str">
        <f t="shared" si="19"/>
        <v>cc&lt;=1 잠수</v>
      </c>
    </row>
    <row r="123" ht="15.75" customHeight="1" outlineLevel="1">
      <c r="A123" s="287" t="str">
        <f t="shared" si="19"/>
        <v>cc&lt;=1 최면술</v>
      </c>
    </row>
    <row r="124" ht="15.75" customHeight="1" outlineLevel="1">
      <c r="A124" s="287" t="str">
        <f t="shared" si="19"/>
        <v>cc&lt;=1 비밀 지식</v>
      </c>
    </row>
    <row r="125" ht="15.75" customHeight="1" outlineLevel="1">
      <c r="A125" s="287" t="str">
        <f t="shared" ref="A125:A142" si="20">concatenate("cc&lt;=",AC19," ",W19)</f>
        <v>cc&lt;=0 크툴루 신화</v>
      </c>
    </row>
    <row r="126" ht="15.75" customHeight="1" outlineLevel="1">
      <c r="A126" s="287" t="str">
        <f t="shared" si="20"/>
        <v>cc&lt;=5 오컬트</v>
      </c>
    </row>
    <row r="127" ht="15.75" customHeight="1" outlineLevel="1">
      <c r="A127" s="287" t="str">
        <f t="shared" si="20"/>
        <v>cc&lt;=1 정신분석</v>
      </c>
    </row>
    <row r="128" ht="15.75" customHeight="1" outlineLevel="1">
      <c r="A128" s="287" t="str">
        <f t="shared" si="20"/>
        <v>cc&lt;=10 심리학</v>
      </c>
    </row>
    <row r="129" ht="15.75" customHeight="1" outlineLevel="1">
      <c r="A129" s="287" t="str">
        <f t="shared" si="20"/>
        <v>cc&lt;=15 위협</v>
      </c>
    </row>
    <row r="130" ht="15.75" customHeight="1" outlineLevel="1">
      <c r="A130" s="287" t="str">
        <f t="shared" si="20"/>
        <v>cc&lt;=15 매혹</v>
      </c>
    </row>
    <row r="131" ht="15.75" customHeight="1" outlineLevel="1">
      <c r="A131" s="287" t="str">
        <f t="shared" si="20"/>
        <v>cc&lt;=5 말재주</v>
      </c>
    </row>
    <row r="132" ht="15.75" customHeight="1" outlineLevel="1">
      <c r="A132" s="287" t="str">
        <f t="shared" si="20"/>
        <v>cc&lt;=10 설득</v>
      </c>
    </row>
    <row r="133" ht="15.75" customHeight="1" outlineLevel="1">
      <c r="A133" s="287" t="str">
        <f t="shared" si="20"/>
        <v>cc&lt;=0 모국어</v>
      </c>
    </row>
    <row r="134" ht="15.75" customHeight="1" outlineLevel="1">
      <c r="A134" s="287" t="str">
        <f t="shared" si="20"/>
        <v>cc&lt;=1 외국어()</v>
      </c>
    </row>
    <row r="135" ht="15.75" customHeight="1" outlineLevel="1">
      <c r="A135" s="287" t="str">
        <f t="shared" si="20"/>
        <v>cc&lt;=0 </v>
      </c>
    </row>
    <row r="136" ht="15.75" customHeight="1" outlineLevel="1">
      <c r="A136" s="287" t="str">
        <f t="shared" si="20"/>
        <v>cc&lt;=20 투척</v>
      </c>
    </row>
    <row r="137" ht="15.75" customHeight="1" outlineLevel="1">
      <c r="A137" s="287" t="str">
        <f t="shared" si="20"/>
        <v>cc&lt;=25 근접전(격투)</v>
      </c>
    </row>
    <row r="138" ht="15.75" customHeight="1" outlineLevel="1">
      <c r="A138" s="287" t="str">
        <f t="shared" si="20"/>
        <v>cc&lt;=20 근접전(도검)</v>
      </c>
    </row>
    <row r="139" ht="15.75" customHeight="1" outlineLevel="1">
      <c r="A139" s="287" t="str">
        <f t="shared" si="20"/>
        <v>cc&lt;=15 근접전(도끼)</v>
      </c>
    </row>
    <row r="140" ht="15.75" customHeight="1" outlineLevel="1">
      <c r="A140" s="287" t="str">
        <f t="shared" si="20"/>
        <v>cc&lt;=20 근접전(창)</v>
      </c>
    </row>
    <row r="141" ht="15.75" customHeight="1" outlineLevel="1">
      <c r="A141" s="287" t="str">
        <f t="shared" si="20"/>
        <v>cc&lt;=5 근접전(채찍)</v>
      </c>
    </row>
    <row r="142" ht="15.75" customHeight="1" outlineLevel="1">
      <c r="A142" s="287" t="str">
        <f t="shared" si="20"/>
        <v>cc&lt;=10 근접전(기타)</v>
      </c>
    </row>
    <row r="143" ht="15.75" customHeight="1" outlineLevel="1">
      <c r="A143" s="287" t="str">
        <f t="shared" ref="A143:A160" si="21">concatenate("cc&lt;=",AM19," ",AG19)</f>
        <v>cc&lt;=1 의료</v>
      </c>
    </row>
    <row r="144" ht="15.75" customHeight="1" outlineLevel="1">
      <c r="A144" s="287" t="str">
        <f t="shared" si="21"/>
        <v>cc&lt;=30 응급처치</v>
      </c>
    </row>
    <row r="145" ht="15.75" customHeight="1" outlineLevel="1">
      <c r="A145" s="287" t="str">
        <f t="shared" si="21"/>
        <v>cc&lt;=10 생존술()</v>
      </c>
    </row>
    <row r="146" ht="15.75" customHeight="1" outlineLevel="1">
      <c r="A146" s="287" t="str">
        <f t="shared" si="21"/>
        <v>cc&lt;=20 수영</v>
      </c>
    </row>
    <row r="147" ht="15.75" customHeight="1" outlineLevel="1">
      <c r="A147" s="287" t="str">
        <f t="shared" si="21"/>
        <v>cc&lt;=20 오르기</v>
      </c>
    </row>
    <row r="148" ht="15.75" customHeight="1" outlineLevel="1">
      <c r="A148" s="287" t="str">
        <f t="shared" si="21"/>
        <v>cc&lt;=20 도약</v>
      </c>
    </row>
    <row r="149" ht="15.75" customHeight="1" outlineLevel="1">
      <c r="A149" s="287" t="str">
        <f t="shared" si="21"/>
        <v>cc&lt;=0 회피</v>
      </c>
    </row>
    <row r="150" ht="15.75" customHeight="1" outlineLevel="1">
      <c r="A150" s="287" t="str">
        <f t="shared" si="21"/>
        <v>cc&lt;=5 변장</v>
      </c>
    </row>
    <row r="151" ht="15.75" customHeight="1" outlineLevel="1">
      <c r="A151" s="287" t="str">
        <f t="shared" si="21"/>
        <v>cc&lt;=20 은밀행동</v>
      </c>
    </row>
    <row r="152" ht="15.75" customHeight="1" outlineLevel="1">
      <c r="A152" s="287" t="str">
        <f t="shared" si="21"/>
        <v>cc&lt;=10 손놀림</v>
      </c>
    </row>
    <row r="153" ht="15.75" customHeight="1" outlineLevel="1">
      <c r="A153" s="287" t="str">
        <f t="shared" si="21"/>
        <v>cc&lt;=1 열쇠공</v>
      </c>
    </row>
    <row r="154" ht="15.75" customHeight="1" outlineLevel="1">
      <c r="A154" s="287" t="str">
        <f t="shared" si="21"/>
        <v>cc&lt;=20 사격(권총)</v>
      </c>
    </row>
    <row r="155" ht="15.75" customHeight="1" outlineLevel="1">
      <c r="A155" s="287" t="str">
        <f t="shared" si="21"/>
        <v>cc&lt;=25 사격(소총)</v>
      </c>
    </row>
    <row r="156" ht="15.75" customHeight="1" outlineLevel="1">
      <c r="A156" s="287" t="str">
        <f t="shared" si="21"/>
        <v>cc&lt;=15 사격(기관단총)</v>
      </c>
    </row>
    <row r="157" ht="15.75" customHeight="1" outlineLevel="1">
      <c r="A157" s="287" t="str">
        <f t="shared" si="21"/>
        <v>cc&lt;=10 사격(기관총)</v>
      </c>
    </row>
    <row r="158" ht="15.75" customHeight="1" outlineLevel="1">
      <c r="A158" s="287" t="str">
        <f t="shared" si="21"/>
        <v>cc&lt;=15 사격(활)</v>
      </c>
    </row>
    <row r="159" ht="15.75" customHeight="1" outlineLevel="1">
      <c r="A159" s="287" t="str">
        <f t="shared" si="21"/>
        <v>cc&lt;=10 사격(중화기)</v>
      </c>
    </row>
    <row r="160" ht="15.75" customHeight="1" outlineLevel="1">
      <c r="A160" s="287" t="str">
        <f t="shared" si="21"/>
        <v>cc&lt;=10 화염방사기</v>
      </c>
    </row>
    <row r="161" ht="15.75" customHeight="1" outlineLevel="1">
      <c r="A161" s="287" t="str">
        <f>concatenate("cc&lt;=",V10," ","근력")</f>
        <v>cc&lt;= 근력</v>
      </c>
    </row>
    <row r="162" ht="15.75" customHeight="1" outlineLevel="1">
      <c r="A162" s="287" t="str">
        <f>concatenate("cc&lt;=",V12," ","건강")</f>
        <v>cc&lt;= 건강</v>
      </c>
    </row>
    <row r="163" ht="15.75" customHeight="1" outlineLevel="1">
      <c r="A163" s="287" t="str">
        <f>concatenate("cc&lt;=",V14," ","크기")</f>
        <v>cc&lt;= 크기</v>
      </c>
    </row>
    <row r="164" ht="15.75" customHeight="1" outlineLevel="1">
      <c r="A164" s="287" t="str">
        <f>concatenate("cc&lt;=",AD10," ","민첩")</f>
        <v>cc&lt;= 민첩</v>
      </c>
    </row>
    <row r="165" ht="15.75" customHeight="1" outlineLevel="1">
      <c r="A165" s="287" t="str">
        <f>concatenate("cc&lt;=",AD12," ","외모")</f>
        <v>cc&lt;= 외모</v>
      </c>
    </row>
    <row r="166" ht="15.75" customHeight="1" outlineLevel="1">
      <c r="A166" s="287" t="str">
        <f>concatenate("cc&lt;=",AD14," ","지능(아이디어)")</f>
        <v>cc&lt;= 지능(아이디어)</v>
      </c>
    </row>
    <row r="167" ht="15.75" customHeight="1" outlineLevel="1">
      <c r="A167" s="287" t="str">
        <f>concatenate("cc&lt;=",AL10," ","정신력")</f>
        <v>cc&lt;= 정신력</v>
      </c>
    </row>
    <row r="168" ht="15.75" customHeight="1" outlineLevel="1">
      <c r="A168" s="287" t="str">
        <f>concatenate("cc&lt;=",AL12," ","교육(지식)")</f>
        <v>cc&lt;= 교육(지식)</v>
      </c>
    </row>
    <row r="169" ht="15.75" customHeight="1" outlineLevel="1">
      <c r="A169" s="288" t="s">
        <v>162</v>
      </c>
    </row>
    <row r="170" ht="15.75" customHeight="1" outlineLevel="1">
      <c r="A170" s="288" t="s">
        <v>163</v>
      </c>
    </row>
    <row r="171" ht="15.75" customHeight="1" outlineLevel="1">
      <c r="A171" s="288" t="str">
        <f t="shared" ref="A171:A177" si="22">if(OR(B41="",S41=""),"",concatenate(S41," ","피해","(",B41,")"))</f>
        <v>1d3+{DB} 피해(맨손)</v>
      </c>
    </row>
    <row r="172" ht="15.75" customHeight="1" outlineLevel="1">
      <c r="A172" s="288" t="str">
        <f t="shared" si="22"/>
        <v/>
      </c>
    </row>
    <row r="173" ht="15.75" customHeight="1" outlineLevel="1">
      <c r="A173" s="288" t="str">
        <f t="shared" si="22"/>
        <v/>
      </c>
    </row>
    <row r="174" ht="15.75" customHeight="1" outlineLevel="1">
      <c r="A174" s="288" t="str">
        <f t="shared" si="22"/>
        <v/>
      </c>
    </row>
    <row r="175" ht="15.75" customHeight="1" outlineLevel="1">
      <c r="A175" s="288" t="str">
        <f t="shared" si="22"/>
        <v/>
      </c>
    </row>
    <row r="176" ht="15.75" customHeight="1" outlineLevel="1">
      <c r="A176" s="288" t="str">
        <f t="shared" si="22"/>
        <v/>
      </c>
    </row>
    <row r="177" ht="15.75" customHeight="1" outlineLevel="1">
      <c r="A177" s="288" t="str">
        <f t="shared" si="22"/>
        <v/>
      </c>
    </row>
    <row r="178" ht="15.75" customHeight="1">
      <c r="A178" s="288"/>
      <c r="B178" s="288"/>
      <c r="C178" s="288"/>
      <c r="D178" s="288"/>
      <c r="E178" s="288"/>
      <c r="F178" s="288"/>
      <c r="G178" s="288"/>
      <c r="H178" s="288"/>
      <c r="I178" s="288"/>
      <c r="J178" s="288"/>
      <c r="K178" s="288"/>
      <c r="L178" s="288"/>
      <c r="M178" s="288"/>
      <c r="N178" s="288"/>
      <c r="O178" s="287"/>
      <c r="P178" s="287"/>
      <c r="Q178" s="287"/>
      <c r="R178" s="287"/>
      <c r="S178" s="287"/>
      <c r="T178" s="287"/>
      <c r="U178" s="287"/>
      <c r="V178" s="287"/>
      <c r="W178" s="287"/>
      <c r="X178" s="287"/>
      <c r="Y178" s="287"/>
      <c r="Z178" s="287"/>
      <c r="AA178" s="287"/>
      <c r="AB178" s="287"/>
      <c r="AC178" s="287"/>
      <c r="AD178" s="287"/>
      <c r="AE178" s="287"/>
      <c r="AF178" s="287"/>
      <c r="AG178" s="287"/>
      <c r="AH178" s="287"/>
      <c r="AI178" s="287"/>
      <c r="AJ178" s="287"/>
      <c r="AK178" s="287"/>
      <c r="AL178" s="287"/>
      <c r="AM178" s="287"/>
      <c r="AN178" s="287"/>
      <c r="AO178" s="287"/>
      <c r="AP178" s="287"/>
      <c r="AQ178" s="287"/>
      <c r="AR178" s="287"/>
      <c r="AS178" s="287"/>
      <c r="AT178" s="287"/>
      <c r="AU178" s="287"/>
      <c r="AV178" s="287"/>
      <c r="AW178" s="287"/>
      <c r="AX178" s="287"/>
      <c r="AY178" s="287"/>
      <c r="AZ178" s="287"/>
      <c r="BA178" s="287"/>
      <c r="BB178" s="287"/>
      <c r="BC178" s="287"/>
    </row>
    <row r="179" ht="15.75" customHeight="1">
      <c r="A179" s="287"/>
      <c r="B179" s="287"/>
      <c r="C179" s="287"/>
      <c r="D179" s="287"/>
      <c r="E179" s="287"/>
      <c r="F179" s="287"/>
      <c r="G179" s="287"/>
      <c r="H179" s="287"/>
      <c r="I179" s="287"/>
      <c r="J179" s="287"/>
      <c r="K179" s="287"/>
      <c r="L179" s="287"/>
      <c r="M179" s="287"/>
      <c r="N179" s="287"/>
      <c r="O179" s="287"/>
      <c r="P179" s="287"/>
      <c r="Q179" s="287"/>
      <c r="R179" s="287"/>
      <c r="S179" s="287"/>
      <c r="T179" s="287"/>
      <c r="U179" s="287"/>
      <c r="V179" s="287"/>
      <c r="W179" s="287"/>
      <c r="X179" s="287"/>
      <c r="Y179" s="287"/>
      <c r="Z179" s="287"/>
      <c r="AA179" s="287"/>
      <c r="AB179" s="287"/>
      <c r="AC179" s="287"/>
      <c r="AD179" s="287"/>
      <c r="AE179" s="287"/>
      <c r="AF179" s="287"/>
      <c r="AG179" s="287"/>
      <c r="AH179" s="287"/>
      <c r="AI179" s="287"/>
      <c r="AJ179" s="287"/>
      <c r="AK179" s="287"/>
      <c r="AL179" s="287"/>
      <c r="AM179" s="287"/>
      <c r="AN179" s="287"/>
      <c r="AO179" s="287"/>
      <c r="AP179" s="287"/>
      <c r="AQ179" s="287"/>
      <c r="AR179" s="287"/>
      <c r="AS179" s="287"/>
      <c r="AT179" s="287"/>
      <c r="AU179" s="287"/>
      <c r="AV179" s="287"/>
      <c r="AW179" s="287"/>
      <c r="AX179" s="287"/>
      <c r="AY179" s="287"/>
      <c r="AZ179" s="287"/>
      <c r="BA179" s="287"/>
      <c r="BB179" s="287"/>
      <c r="BC179" s="287"/>
    </row>
    <row r="180" ht="15.75" customHeight="1">
      <c r="A180" s="287"/>
      <c r="B180" s="287"/>
      <c r="C180" s="287"/>
      <c r="D180" s="287"/>
      <c r="E180" s="287"/>
      <c r="F180" s="287"/>
      <c r="G180" s="287"/>
      <c r="H180" s="287"/>
      <c r="I180" s="287"/>
      <c r="J180" s="287"/>
      <c r="K180" s="287"/>
      <c r="L180" s="287"/>
      <c r="M180" s="287"/>
      <c r="N180" s="287"/>
      <c r="O180" s="287"/>
      <c r="P180" s="287"/>
      <c r="Q180" s="287"/>
      <c r="R180" s="287"/>
      <c r="S180" s="287"/>
      <c r="T180" s="287"/>
      <c r="U180" s="287"/>
      <c r="V180" s="287"/>
      <c r="W180" s="287"/>
      <c r="X180" s="287"/>
      <c r="Y180" s="287"/>
      <c r="Z180" s="287"/>
      <c r="AA180" s="287"/>
      <c r="AB180" s="287"/>
      <c r="AC180" s="287"/>
      <c r="AD180" s="287"/>
      <c r="AE180" s="287"/>
      <c r="AF180" s="287"/>
      <c r="AG180" s="287"/>
      <c r="AH180" s="287"/>
      <c r="AI180" s="287"/>
      <c r="AJ180" s="287"/>
      <c r="AK180" s="287"/>
      <c r="AL180" s="287"/>
      <c r="AM180" s="287"/>
      <c r="AN180" s="287"/>
      <c r="AO180" s="287"/>
      <c r="AP180" s="287"/>
      <c r="AQ180" s="287"/>
      <c r="AR180" s="287"/>
      <c r="AS180" s="287"/>
      <c r="AT180" s="287"/>
      <c r="AU180" s="287"/>
      <c r="AV180" s="287"/>
      <c r="AW180" s="287"/>
      <c r="AX180" s="287"/>
      <c r="AY180" s="287"/>
      <c r="AZ180" s="287"/>
      <c r="BA180" s="287"/>
      <c r="BB180" s="287"/>
      <c r="BC180" s="287"/>
    </row>
    <row r="181" ht="15.75" customHeight="1">
      <c r="A181" s="287"/>
      <c r="B181" s="287"/>
      <c r="C181" s="287"/>
      <c r="D181" s="287"/>
      <c r="E181" s="287"/>
      <c r="F181" s="287"/>
      <c r="G181" s="287"/>
      <c r="H181" s="287"/>
      <c r="I181" s="287"/>
      <c r="J181" s="287"/>
      <c r="K181" s="287"/>
      <c r="L181" s="287"/>
      <c r="M181" s="287"/>
      <c r="N181" s="287"/>
      <c r="O181" s="287"/>
      <c r="P181" s="287"/>
      <c r="Q181" s="287"/>
      <c r="R181" s="287"/>
      <c r="S181" s="287"/>
      <c r="T181" s="287"/>
      <c r="U181" s="287"/>
      <c r="V181" s="287"/>
      <c r="W181" s="287"/>
      <c r="X181" s="287"/>
      <c r="Y181" s="287"/>
      <c r="Z181" s="287"/>
      <c r="AA181" s="287"/>
      <c r="AB181" s="287"/>
      <c r="AC181" s="287"/>
      <c r="AD181" s="287"/>
      <c r="AE181" s="287"/>
      <c r="AF181" s="287"/>
      <c r="AG181" s="287"/>
      <c r="AH181" s="287"/>
      <c r="AI181" s="287"/>
      <c r="AJ181" s="287"/>
      <c r="AK181" s="287"/>
      <c r="AL181" s="287"/>
      <c r="AM181" s="287"/>
      <c r="AN181" s="287"/>
      <c r="AO181" s="287"/>
      <c r="AP181" s="287"/>
      <c r="AQ181" s="287"/>
      <c r="AR181" s="287"/>
      <c r="AS181" s="287"/>
      <c r="AT181" s="287"/>
      <c r="AU181" s="287"/>
      <c r="AV181" s="287"/>
      <c r="AW181" s="287"/>
      <c r="AX181" s="287"/>
      <c r="AY181" s="287"/>
      <c r="AZ181" s="287"/>
      <c r="BA181" s="287"/>
      <c r="BB181" s="287"/>
      <c r="BC181" s="287"/>
    </row>
    <row r="182" ht="15.75" customHeight="1">
      <c r="A182" s="287"/>
      <c r="B182" s="287"/>
      <c r="C182" s="287"/>
      <c r="D182" s="287"/>
      <c r="E182" s="287"/>
      <c r="F182" s="287"/>
      <c r="G182" s="287"/>
      <c r="H182" s="287"/>
      <c r="I182" s="287"/>
      <c r="J182" s="287"/>
      <c r="K182" s="287"/>
      <c r="L182" s="287"/>
      <c r="M182" s="287"/>
      <c r="N182" s="287"/>
      <c r="O182" s="287"/>
      <c r="P182" s="287"/>
      <c r="Q182" s="287"/>
      <c r="R182" s="287"/>
      <c r="S182" s="287"/>
      <c r="T182" s="287"/>
      <c r="U182" s="287"/>
      <c r="V182" s="287"/>
      <c r="W182" s="287"/>
      <c r="X182" s="287"/>
      <c r="Y182" s="287"/>
      <c r="Z182" s="287"/>
      <c r="AA182" s="287"/>
      <c r="AB182" s="287"/>
      <c r="AC182" s="287"/>
      <c r="AD182" s="287"/>
      <c r="AE182" s="287"/>
      <c r="AF182" s="287"/>
      <c r="AG182" s="287"/>
      <c r="AH182" s="287"/>
      <c r="AI182" s="287"/>
      <c r="AJ182" s="287"/>
      <c r="AK182" s="287"/>
      <c r="AL182" s="287"/>
      <c r="AM182" s="287"/>
      <c r="AN182" s="287"/>
      <c r="AO182" s="287"/>
      <c r="AP182" s="287"/>
      <c r="AQ182" s="287"/>
      <c r="AR182" s="287"/>
      <c r="AS182" s="287"/>
      <c r="AT182" s="287"/>
      <c r="AU182" s="287"/>
      <c r="AV182" s="287"/>
      <c r="AW182" s="287"/>
      <c r="AX182" s="287"/>
      <c r="AY182" s="287"/>
      <c r="AZ182" s="287"/>
      <c r="BA182" s="287"/>
      <c r="BB182" s="287"/>
      <c r="BC182" s="287"/>
    </row>
    <row r="183" ht="15.75" customHeight="1">
      <c r="A183" s="287"/>
      <c r="B183" s="287"/>
      <c r="C183" s="287"/>
      <c r="D183" s="287"/>
      <c r="E183" s="287"/>
      <c r="F183" s="287"/>
      <c r="G183" s="287"/>
      <c r="H183" s="287"/>
      <c r="I183" s="287"/>
      <c r="J183" s="287"/>
      <c r="K183" s="287"/>
      <c r="L183" s="287"/>
      <c r="M183" s="287"/>
      <c r="N183" s="287"/>
      <c r="O183" s="287"/>
      <c r="P183" s="287"/>
      <c r="Q183" s="287"/>
      <c r="R183" s="287"/>
      <c r="S183" s="287"/>
      <c r="T183" s="287"/>
      <c r="U183" s="287"/>
      <c r="V183" s="287"/>
      <c r="W183" s="287"/>
      <c r="X183" s="287"/>
      <c r="Y183" s="287"/>
      <c r="Z183" s="287"/>
      <c r="AA183" s="287"/>
      <c r="AB183" s="287"/>
      <c r="AC183" s="287"/>
      <c r="AD183" s="287"/>
      <c r="AE183" s="287"/>
      <c r="AF183" s="287"/>
      <c r="AG183" s="287"/>
      <c r="AH183" s="287"/>
      <c r="AI183" s="287"/>
      <c r="AJ183" s="287"/>
      <c r="AK183" s="287"/>
      <c r="AL183" s="287"/>
      <c r="AM183" s="287"/>
      <c r="AN183" s="287"/>
      <c r="AO183" s="287"/>
      <c r="AP183" s="287"/>
      <c r="AQ183" s="287"/>
      <c r="AR183" s="287"/>
      <c r="AS183" s="287"/>
      <c r="AT183" s="287"/>
      <c r="AU183" s="287"/>
      <c r="AV183" s="287"/>
      <c r="AW183" s="287"/>
      <c r="AX183" s="287"/>
      <c r="AY183" s="287"/>
      <c r="AZ183" s="287"/>
      <c r="BA183" s="287"/>
      <c r="BB183" s="287"/>
      <c r="BC183" s="287"/>
    </row>
    <row r="184" ht="15.75" customHeight="1">
      <c r="A184" s="287"/>
      <c r="B184" s="287"/>
      <c r="C184" s="287"/>
      <c r="D184" s="287"/>
      <c r="E184" s="287"/>
      <c r="F184" s="287"/>
      <c r="G184" s="287"/>
      <c r="H184" s="287"/>
      <c r="I184" s="287"/>
      <c r="J184" s="287"/>
      <c r="K184" s="287"/>
      <c r="L184" s="287"/>
      <c r="M184" s="287"/>
      <c r="N184" s="287"/>
      <c r="O184" s="287"/>
      <c r="P184" s="287"/>
      <c r="Q184" s="287"/>
      <c r="R184" s="287"/>
      <c r="S184" s="287"/>
      <c r="T184" s="287"/>
      <c r="U184" s="287"/>
      <c r="V184" s="287"/>
      <c r="W184" s="287"/>
      <c r="X184" s="287"/>
      <c r="Y184" s="287"/>
      <c r="Z184" s="287"/>
      <c r="AA184" s="287"/>
      <c r="AB184" s="287"/>
      <c r="AC184" s="287"/>
      <c r="AD184" s="287"/>
      <c r="AE184" s="287"/>
      <c r="AF184" s="287"/>
      <c r="AG184" s="287"/>
      <c r="AH184" s="287"/>
      <c r="AI184" s="287"/>
      <c r="AJ184" s="287"/>
      <c r="AK184" s="287"/>
      <c r="AL184" s="287"/>
      <c r="AM184" s="287"/>
      <c r="AN184" s="287"/>
      <c r="AO184" s="287"/>
      <c r="AP184" s="287"/>
      <c r="AQ184" s="287"/>
      <c r="AR184" s="287"/>
      <c r="AS184" s="287"/>
      <c r="AT184" s="287"/>
      <c r="AU184" s="287"/>
      <c r="AV184" s="287"/>
      <c r="AW184" s="287"/>
      <c r="AX184" s="287"/>
      <c r="AY184" s="287"/>
      <c r="AZ184" s="287"/>
      <c r="BA184" s="287"/>
      <c r="BB184" s="287"/>
      <c r="BC184" s="287"/>
    </row>
    <row r="185" ht="15.75" customHeight="1">
      <c r="A185" s="287"/>
      <c r="B185" s="287"/>
      <c r="C185" s="287"/>
      <c r="D185" s="287"/>
      <c r="E185" s="287"/>
      <c r="F185" s="287"/>
      <c r="G185" s="287"/>
      <c r="H185" s="287"/>
      <c r="I185" s="287"/>
      <c r="J185" s="287"/>
      <c r="K185" s="287"/>
      <c r="L185" s="287"/>
      <c r="M185" s="287"/>
      <c r="N185" s="287"/>
      <c r="O185" s="287"/>
      <c r="P185" s="287"/>
      <c r="Q185" s="287"/>
      <c r="R185" s="287"/>
      <c r="S185" s="287"/>
      <c r="T185" s="287"/>
      <c r="U185" s="287"/>
      <c r="V185" s="287"/>
      <c r="W185" s="287"/>
      <c r="X185" s="287"/>
      <c r="Y185" s="287"/>
      <c r="Z185" s="287"/>
      <c r="AA185" s="287"/>
      <c r="AB185" s="287"/>
      <c r="AC185" s="287"/>
      <c r="AD185" s="287"/>
      <c r="AE185" s="287"/>
      <c r="AF185" s="287"/>
      <c r="AG185" s="287"/>
      <c r="AH185" s="287"/>
      <c r="AI185" s="287"/>
      <c r="AJ185" s="287"/>
      <c r="AK185" s="287"/>
      <c r="AL185" s="287"/>
      <c r="AM185" s="287"/>
      <c r="AN185" s="287"/>
      <c r="AO185" s="287"/>
      <c r="AP185" s="287"/>
      <c r="AQ185" s="287"/>
      <c r="AR185" s="287"/>
      <c r="AS185" s="287"/>
      <c r="AT185" s="287"/>
      <c r="AU185" s="287"/>
      <c r="AV185" s="287"/>
      <c r="AW185" s="287"/>
      <c r="AX185" s="287"/>
      <c r="AY185" s="287"/>
      <c r="AZ185" s="287"/>
      <c r="BA185" s="287"/>
      <c r="BB185" s="287"/>
      <c r="BC185" s="287"/>
    </row>
    <row r="186" ht="15.75" customHeight="1">
      <c r="A186" s="287"/>
      <c r="B186" s="287"/>
      <c r="C186" s="287"/>
      <c r="D186" s="287"/>
      <c r="E186" s="287"/>
      <c r="F186" s="287"/>
      <c r="G186" s="287"/>
      <c r="H186" s="287"/>
      <c r="I186" s="287"/>
      <c r="J186" s="287"/>
      <c r="K186" s="287"/>
      <c r="L186" s="287"/>
      <c r="M186" s="287"/>
      <c r="N186" s="287"/>
      <c r="O186" s="287"/>
      <c r="P186" s="287"/>
      <c r="Q186" s="287"/>
      <c r="R186" s="287"/>
      <c r="S186" s="287"/>
      <c r="T186" s="287"/>
      <c r="U186" s="287"/>
      <c r="V186" s="287"/>
      <c r="W186" s="287"/>
      <c r="X186" s="287"/>
      <c r="Y186" s="287"/>
      <c r="Z186" s="287"/>
      <c r="AA186" s="287"/>
      <c r="AB186" s="287"/>
      <c r="AC186" s="287"/>
      <c r="AD186" s="287"/>
      <c r="AE186" s="287"/>
      <c r="AF186" s="287"/>
      <c r="AG186" s="287"/>
      <c r="AH186" s="287"/>
      <c r="AI186" s="287"/>
      <c r="AJ186" s="287"/>
      <c r="AK186" s="287"/>
      <c r="AL186" s="287"/>
      <c r="AM186" s="287"/>
      <c r="AN186" s="287"/>
      <c r="AO186" s="287"/>
      <c r="AP186" s="287"/>
      <c r="AQ186" s="287"/>
      <c r="AR186" s="287"/>
      <c r="AS186" s="287"/>
      <c r="AT186" s="287"/>
      <c r="AU186" s="287"/>
      <c r="AV186" s="287"/>
      <c r="AW186" s="287"/>
      <c r="AX186" s="287"/>
      <c r="AY186" s="287"/>
      <c r="AZ186" s="287"/>
      <c r="BA186" s="287"/>
      <c r="BB186" s="287"/>
      <c r="BC186" s="287"/>
    </row>
    <row r="187" ht="15.75" customHeight="1">
      <c r="A187" s="287"/>
      <c r="B187" s="287"/>
      <c r="C187" s="287"/>
      <c r="D187" s="287"/>
      <c r="E187" s="287"/>
      <c r="F187" s="287"/>
      <c r="G187" s="287"/>
      <c r="H187" s="287"/>
      <c r="I187" s="287"/>
      <c r="J187" s="287"/>
      <c r="K187" s="287"/>
      <c r="L187" s="287"/>
      <c r="M187" s="287"/>
      <c r="N187" s="287"/>
      <c r="O187" s="287"/>
      <c r="P187" s="287"/>
      <c r="Q187" s="287"/>
      <c r="R187" s="287"/>
      <c r="S187" s="287"/>
      <c r="T187" s="287"/>
      <c r="U187" s="287"/>
      <c r="V187" s="287"/>
      <c r="W187" s="287"/>
      <c r="X187" s="287"/>
      <c r="Y187" s="287"/>
      <c r="Z187" s="287"/>
      <c r="AA187" s="287"/>
      <c r="AB187" s="287"/>
      <c r="AC187" s="287"/>
      <c r="AD187" s="287"/>
      <c r="AE187" s="287"/>
      <c r="AF187" s="287"/>
      <c r="AG187" s="287"/>
      <c r="AH187" s="287"/>
      <c r="AI187" s="287"/>
      <c r="AJ187" s="287"/>
      <c r="AK187" s="287"/>
      <c r="AL187" s="287"/>
      <c r="AM187" s="287"/>
      <c r="AN187" s="287"/>
      <c r="AO187" s="287"/>
      <c r="AP187" s="287"/>
      <c r="AQ187" s="287"/>
      <c r="AR187" s="287"/>
      <c r="AS187" s="287"/>
      <c r="AT187" s="287"/>
      <c r="AU187" s="287"/>
      <c r="AV187" s="287"/>
      <c r="AW187" s="287"/>
      <c r="AX187" s="287"/>
      <c r="AY187" s="287"/>
      <c r="AZ187" s="287"/>
      <c r="BA187" s="287"/>
      <c r="BB187" s="287"/>
      <c r="BC187" s="287"/>
    </row>
    <row r="188" ht="15.75" customHeight="1">
      <c r="A188" s="287"/>
      <c r="B188" s="287"/>
      <c r="C188" s="287"/>
      <c r="D188" s="287"/>
      <c r="E188" s="287"/>
      <c r="F188" s="287"/>
      <c r="G188" s="287"/>
      <c r="H188" s="287"/>
      <c r="I188" s="287"/>
      <c r="J188" s="287"/>
      <c r="K188" s="287"/>
      <c r="L188" s="287"/>
      <c r="M188" s="287"/>
      <c r="N188" s="287"/>
      <c r="O188" s="287"/>
      <c r="P188" s="287"/>
      <c r="Q188" s="287"/>
      <c r="R188" s="287"/>
      <c r="S188" s="287"/>
      <c r="T188" s="287"/>
      <c r="U188" s="287"/>
      <c r="V188" s="287"/>
      <c r="W188" s="287"/>
      <c r="X188" s="287"/>
      <c r="Y188" s="287"/>
      <c r="Z188" s="287"/>
      <c r="AA188" s="287"/>
      <c r="AB188" s="287"/>
      <c r="AC188" s="287"/>
      <c r="AD188" s="287"/>
      <c r="AE188" s="287"/>
      <c r="AF188" s="287"/>
      <c r="AG188" s="287"/>
      <c r="AH188" s="287"/>
      <c r="AI188" s="287"/>
      <c r="AJ188" s="287"/>
      <c r="AK188" s="287"/>
      <c r="AL188" s="287"/>
      <c r="AM188" s="287"/>
      <c r="AN188" s="287"/>
      <c r="AO188" s="287"/>
      <c r="AP188" s="287"/>
      <c r="AQ188" s="287"/>
      <c r="AR188" s="287"/>
      <c r="AS188" s="287"/>
      <c r="AT188" s="287"/>
      <c r="AU188" s="287"/>
      <c r="AV188" s="287"/>
      <c r="AW188" s="287"/>
      <c r="AX188" s="287"/>
      <c r="AY188" s="287"/>
      <c r="AZ188" s="287"/>
      <c r="BA188" s="287"/>
      <c r="BB188" s="287"/>
      <c r="BC188" s="287"/>
    </row>
    <row r="189" ht="15.75" customHeight="1">
      <c r="A189" s="287"/>
      <c r="B189" s="287"/>
      <c r="C189" s="287"/>
      <c r="D189" s="287"/>
      <c r="E189" s="287"/>
      <c r="F189" s="287"/>
      <c r="G189" s="287"/>
      <c r="H189" s="287"/>
      <c r="I189" s="287"/>
      <c r="J189" s="287"/>
      <c r="K189" s="287"/>
      <c r="L189" s="287"/>
      <c r="M189" s="287"/>
      <c r="N189" s="287"/>
      <c r="O189" s="287"/>
      <c r="P189" s="287"/>
      <c r="Q189" s="287"/>
      <c r="R189" s="287"/>
      <c r="S189" s="287"/>
      <c r="T189" s="287"/>
      <c r="U189" s="287"/>
      <c r="V189" s="287"/>
      <c r="W189" s="287"/>
      <c r="X189" s="287"/>
      <c r="Y189" s="287"/>
      <c r="Z189" s="287"/>
      <c r="AA189" s="287"/>
      <c r="AB189" s="287"/>
      <c r="AC189" s="287"/>
      <c r="AD189" s="287"/>
      <c r="AE189" s="287"/>
      <c r="AF189" s="287"/>
      <c r="AG189" s="287"/>
      <c r="AH189" s="287"/>
      <c r="AI189" s="287"/>
      <c r="AJ189" s="287"/>
      <c r="AK189" s="287"/>
      <c r="AL189" s="287"/>
      <c r="AM189" s="287"/>
      <c r="AN189" s="287"/>
      <c r="AO189" s="287"/>
      <c r="AP189" s="287"/>
      <c r="AQ189" s="287"/>
      <c r="AR189" s="287"/>
      <c r="AS189" s="287"/>
      <c r="AT189" s="287"/>
      <c r="AU189" s="287"/>
      <c r="AV189" s="287"/>
      <c r="AW189" s="287"/>
      <c r="AX189" s="287"/>
      <c r="AY189" s="287"/>
      <c r="AZ189" s="287"/>
      <c r="BA189" s="287"/>
      <c r="BB189" s="287"/>
      <c r="BC189" s="287"/>
    </row>
    <row r="190" ht="15.75" customHeight="1">
      <c r="A190" s="287"/>
      <c r="B190" s="287"/>
      <c r="C190" s="287"/>
      <c r="D190" s="287"/>
      <c r="E190" s="287"/>
      <c r="F190" s="287"/>
      <c r="G190" s="287"/>
      <c r="H190" s="287"/>
      <c r="I190" s="287"/>
      <c r="J190" s="287"/>
      <c r="K190" s="287"/>
      <c r="L190" s="287"/>
      <c r="M190" s="287"/>
      <c r="N190" s="287"/>
      <c r="O190" s="287"/>
      <c r="P190" s="287"/>
      <c r="Q190" s="287"/>
      <c r="R190" s="287"/>
      <c r="S190" s="287"/>
      <c r="T190" s="287"/>
      <c r="U190" s="287"/>
      <c r="V190" s="287"/>
      <c r="W190" s="287"/>
      <c r="X190" s="287"/>
      <c r="Y190" s="287"/>
      <c r="Z190" s="287"/>
      <c r="AA190" s="287"/>
      <c r="AB190" s="287"/>
      <c r="AC190" s="287"/>
      <c r="AD190" s="287"/>
      <c r="AE190" s="287"/>
      <c r="AF190" s="287"/>
      <c r="AG190" s="287"/>
      <c r="AH190" s="287"/>
      <c r="AI190" s="287"/>
      <c r="AJ190" s="287"/>
      <c r="AK190" s="287"/>
      <c r="AL190" s="287"/>
      <c r="AM190" s="287"/>
      <c r="AN190" s="287"/>
      <c r="AO190" s="287"/>
      <c r="AP190" s="287"/>
      <c r="AQ190" s="287"/>
      <c r="AR190" s="287"/>
      <c r="AS190" s="287"/>
      <c r="AT190" s="287"/>
      <c r="AU190" s="287"/>
      <c r="AV190" s="287"/>
      <c r="AW190" s="287"/>
      <c r="AX190" s="287"/>
      <c r="AY190" s="287"/>
      <c r="AZ190" s="287"/>
      <c r="BA190" s="287"/>
      <c r="BB190" s="287"/>
      <c r="BC190" s="287"/>
    </row>
    <row r="191" ht="15.75" customHeight="1">
      <c r="A191" s="287"/>
      <c r="B191" s="287"/>
      <c r="C191" s="287"/>
      <c r="D191" s="287"/>
      <c r="E191" s="287"/>
      <c r="F191" s="287"/>
      <c r="G191" s="287"/>
      <c r="H191" s="287"/>
      <c r="I191" s="287"/>
      <c r="J191" s="287"/>
      <c r="K191" s="287"/>
      <c r="L191" s="287"/>
      <c r="M191" s="287"/>
      <c r="N191" s="287"/>
      <c r="O191" s="287"/>
      <c r="P191" s="287"/>
      <c r="Q191" s="287"/>
      <c r="R191" s="287"/>
      <c r="S191" s="287"/>
      <c r="T191" s="287"/>
      <c r="U191" s="287"/>
      <c r="V191" s="287"/>
      <c r="W191" s="287"/>
      <c r="X191" s="287"/>
      <c r="Y191" s="287"/>
      <c r="Z191" s="287"/>
      <c r="AA191" s="287"/>
      <c r="AB191" s="287"/>
      <c r="AC191" s="287"/>
      <c r="AD191" s="287"/>
      <c r="AE191" s="287"/>
      <c r="AF191" s="287"/>
      <c r="AG191" s="287"/>
      <c r="AH191" s="287"/>
      <c r="AI191" s="287"/>
      <c r="AJ191" s="287"/>
      <c r="AK191" s="287"/>
      <c r="AL191" s="287"/>
      <c r="AM191" s="287"/>
      <c r="AN191" s="287"/>
      <c r="AO191" s="287"/>
      <c r="AP191" s="287"/>
      <c r="AQ191" s="287"/>
      <c r="AR191" s="287"/>
      <c r="AS191" s="287"/>
      <c r="AT191" s="287"/>
      <c r="AU191" s="287"/>
      <c r="AV191" s="287"/>
      <c r="AW191" s="287"/>
      <c r="AX191" s="287"/>
      <c r="AY191" s="287"/>
      <c r="AZ191" s="287"/>
      <c r="BA191" s="287"/>
      <c r="BB191" s="287"/>
      <c r="BC191" s="287"/>
    </row>
    <row r="192" ht="15.75" customHeight="1">
      <c r="A192" s="287"/>
      <c r="B192" s="287"/>
      <c r="C192" s="287"/>
      <c r="D192" s="287"/>
      <c r="E192" s="287"/>
      <c r="F192" s="287"/>
      <c r="G192" s="287"/>
      <c r="H192" s="287"/>
      <c r="I192" s="287"/>
      <c r="J192" s="287"/>
      <c r="K192" s="287"/>
      <c r="L192" s="287"/>
      <c r="M192" s="287"/>
      <c r="N192" s="287"/>
      <c r="O192" s="287"/>
      <c r="P192" s="287"/>
      <c r="Q192" s="287"/>
      <c r="R192" s="287"/>
      <c r="S192" s="287"/>
      <c r="T192" s="287"/>
      <c r="U192" s="287"/>
      <c r="V192" s="287"/>
      <c r="W192" s="287"/>
      <c r="X192" s="287"/>
      <c r="Y192" s="287"/>
      <c r="Z192" s="287"/>
      <c r="AA192" s="287"/>
      <c r="AB192" s="287"/>
      <c r="AC192" s="287"/>
      <c r="AD192" s="287"/>
      <c r="AE192" s="287"/>
      <c r="AF192" s="287"/>
      <c r="AG192" s="287"/>
      <c r="AH192" s="287"/>
      <c r="AI192" s="287"/>
      <c r="AJ192" s="287"/>
      <c r="AK192" s="287"/>
      <c r="AL192" s="287"/>
      <c r="AM192" s="287"/>
      <c r="AN192" s="287"/>
      <c r="AO192" s="287"/>
      <c r="AP192" s="287"/>
      <c r="AQ192" s="287"/>
      <c r="AR192" s="287"/>
      <c r="AS192" s="287"/>
      <c r="AT192" s="287"/>
      <c r="AU192" s="287"/>
      <c r="AV192" s="287"/>
      <c r="AW192" s="287"/>
      <c r="AX192" s="287"/>
      <c r="AY192" s="287"/>
      <c r="AZ192" s="287"/>
      <c r="BA192" s="287"/>
      <c r="BB192" s="287"/>
      <c r="BC192" s="287"/>
    </row>
    <row r="193" ht="15.75" customHeight="1">
      <c r="A193" s="287"/>
      <c r="B193" s="287"/>
      <c r="C193" s="287"/>
      <c r="D193" s="287"/>
      <c r="E193" s="287"/>
      <c r="F193" s="287"/>
      <c r="G193" s="287"/>
      <c r="H193" s="287"/>
      <c r="I193" s="287"/>
      <c r="J193" s="287"/>
      <c r="K193" s="287"/>
      <c r="L193" s="287"/>
      <c r="M193" s="287"/>
      <c r="N193" s="287"/>
      <c r="O193" s="287"/>
      <c r="P193" s="287"/>
      <c r="Q193" s="287"/>
      <c r="R193" s="287"/>
      <c r="S193" s="287"/>
      <c r="T193" s="287"/>
      <c r="U193" s="287"/>
      <c r="V193" s="287"/>
      <c r="W193" s="287"/>
      <c r="X193" s="287"/>
      <c r="Y193" s="287"/>
      <c r="Z193" s="287"/>
      <c r="AA193" s="287"/>
      <c r="AB193" s="287"/>
      <c r="AC193" s="287"/>
      <c r="AD193" s="287"/>
      <c r="AE193" s="287"/>
      <c r="AF193" s="287"/>
      <c r="AG193" s="287"/>
      <c r="AH193" s="287"/>
      <c r="AI193" s="287"/>
      <c r="AJ193" s="287"/>
      <c r="AK193" s="287"/>
      <c r="AL193" s="287"/>
      <c r="AM193" s="287"/>
      <c r="AN193" s="287"/>
      <c r="AO193" s="287"/>
      <c r="AP193" s="287"/>
      <c r="AQ193" s="287"/>
      <c r="AR193" s="287"/>
      <c r="AS193" s="287"/>
      <c r="AT193" s="287"/>
      <c r="AU193" s="287"/>
      <c r="AV193" s="287"/>
      <c r="AW193" s="287"/>
      <c r="AX193" s="287"/>
      <c r="AY193" s="287"/>
      <c r="AZ193" s="287"/>
      <c r="BA193" s="287"/>
      <c r="BB193" s="287"/>
      <c r="BC193" s="287"/>
    </row>
    <row r="194" ht="15.75" customHeight="1">
      <c r="A194" s="287"/>
      <c r="B194" s="287"/>
      <c r="C194" s="287"/>
      <c r="D194" s="287"/>
      <c r="E194" s="287"/>
      <c r="F194" s="287"/>
      <c r="G194" s="287"/>
      <c r="H194" s="287"/>
      <c r="I194" s="287"/>
      <c r="J194" s="287"/>
      <c r="K194" s="287"/>
      <c r="L194" s="287"/>
      <c r="M194" s="287"/>
      <c r="N194" s="287"/>
      <c r="O194" s="287"/>
      <c r="P194" s="287"/>
      <c r="Q194" s="287"/>
      <c r="R194" s="287"/>
      <c r="S194" s="287"/>
      <c r="T194" s="287"/>
      <c r="U194" s="287"/>
      <c r="V194" s="287"/>
      <c r="W194" s="287"/>
      <c r="X194" s="287"/>
      <c r="Y194" s="287"/>
      <c r="Z194" s="287"/>
      <c r="AA194" s="287"/>
      <c r="AB194" s="287"/>
      <c r="AC194" s="287"/>
      <c r="AD194" s="287"/>
      <c r="AE194" s="287"/>
      <c r="AF194" s="287"/>
      <c r="AG194" s="287"/>
      <c r="AH194" s="287"/>
      <c r="AI194" s="287"/>
      <c r="AJ194" s="287"/>
      <c r="AK194" s="287"/>
      <c r="AL194" s="287"/>
      <c r="AM194" s="287"/>
      <c r="AN194" s="287"/>
      <c r="AO194" s="287"/>
      <c r="AP194" s="287"/>
      <c r="AQ194" s="287"/>
      <c r="AR194" s="287"/>
      <c r="AS194" s="287"/>
      <c r="AT194" s="287"/>
      <c r="AU194" s="287"/>
      <c r="AV194" s="287"/>
      <c r="AW194" s="287"/>
      <c r="AX194" s="287"/>
      <c r="AY194" s="287"/>
      <c r="AZ194" s="287"/>
      <c r="BA194" s="287"/>
      <c r="BB194" s="287"/>
      <c r="BC194" s="287"/>
    </row>
    <row r="195" ht="15.75" customHeight="1">
      <c r="A195" s="287"/>
      <c r="B195" s="287"/>
      <c r="C195" s="287"/>
      <c r="D195" s="287"/>
      <c r="E195" s="287"/>
      <c r="F195" s="287"/>
      <c r="G195" s="287"/>
      <c r="H195" s="287"/>
      <c r="I195" s="287"/>
      <c r="J195" s="287"/>
      <c r="K195" s="287"/>
      <c r="L195" s="287"/>
      <c r="M195" s="287"/>
      <c r="N195" s="287"/>
      <c r="O195" s="287"/>
      <c r="P195" s="287"/>
      <c r="Q195" s="287"/>
      <c r="R195" s="287"/>
      <c r="S195" s="287"/>
      <c r="T195" s="287"/>
      <c r="U195" s="287"/>
      <c r="V195" s="287"/>
      <c r="W195" s="287"/>
      <c r="X195" s="287"/>
      <c r="Y195" s="287"/>
      <c r="Z195" s="287"/>
      <c r="AA195" s="287"/>
      <c r="AB195" s="287"/>
      <c r="AC195" s="287"/>
      <c r="AD195" s="287"/>
      <c r="AE195" s="287"/>
      <c r="AF195" s="287"/>
      <c r="AG195" s="287"/>
      <c r="AH195" s="287"/>
      <c r="AI195" s="287"/>
      <c r="AJ195" s="287"/>
      <c r="AK195" s="287"/>
      <c r="AL195" s="287"/>
      <c r="AM195" s="287"/>
      <c r="AN195" s="287"/>
      <c r="AO195" s="287"/>
      <c r="AP195" s="287"/>
      <c r="AQ195" s="287"/>
      <c r="AR195" s="287"/>
      <c r="AS195" s="287"/>
      <c r="AT195" s="287"/>
      <c r="AU195" s="287"/>
      <c r="AV195" s="287"/>
      <c r="AW195" s="287"/>
      <c r="AX195" s="287"/>
      <c r="AY195" s="287"/>
      <c r="AZ195" s="287"/>
      <c r="BA195" s="287"/>
      <c r="BB195" s="287"/>
      <c r="BC195" s="287"/>
    </row>
    <row r="196" ht="15.75" customHeight="1">
      <c r="A196" s="287"/>
      <c r="B196" s="287"/>
      <c r="C196" s="287"/>
      <c r="D196" s="287"/>
      <c r="E196" s="287"/>
      <c r="F196" s="287"/>
      <c r="G196" s="287"/>
      <c r="H196" s="287"/>
      <c r="I196" s="287"/>
      <c r="J196" s="287"/>
      <c r="K196" s="287"/>
      <c r="L196" s="287"/>
      <c r="M196" s="287"/>
      <c r="N196" s="287"/>
      <c r="O196" s="287"/>
      <c r="P196" s="287"/>
      <c r="Q196" s="287"/>
      <c r="R196" s="287"/>
      <c r="S196" s="287"/>
      <c r="T196" s="287"/>
      <c r="U196" s="287"/>
      <c r="V196" s="287"/>
      <c r="W196" s="287"/>
      <c r="X196" s="287"/>
      <c r="Y196" s="287"/>
      <c r="Z196" s="287"/>
      <c r="AA196" s="287"/>
      <c r="AB196" s="287"/>
      <c r="AC196" s="287"/>
      <c r="AD196" s="287"/>
      <c r="AE196" s="287"/>
      <c r="AF196" s="287"/>
      <c r="AG196" s="287"/>
      <c r="AH196" s="287"/>
      <c r="AI196" s="287"/>
      <c r="AJ196" s="287"/>
      <c r="AK196" s="287"/>
      <c r="AL196" s="287"/>
      <c r="AM196" s="287"/>
      <c r="AN196" s="287"/>
      <c r="AO196" s="287"/>
      <c r="AP196" s="287"/>
      <c r="AQ196" s="287"/>
      <c r="AR196" s="287"/>
      <c r="AS196" s="287"/>
      <c r="AT196" s="287"/>
      <c r="AU196" s="287"/>
      <c r="AV196" s="287"/>
      <c r="AW196" s="287"/>
      <c r="AX196" s="287"/>
      <c r="AY196" s="287"/>
      <c r="AZ196" s="287"/>
      <c r="BA196" s="287"/>
      <c r="BB196" s="287"/>
      <c r="BC196" s="287"/>
    </row>
    <row r="197" ht="15.75" customHeight="1">
      <c r="A197" s="287"/>
      <c r="B197" s="287"/>
      <c r="C197" s="287"/>
      <c r="D197" s="287"/>
      <c r="E197" s="287"/>
      <c r="F197" s="287"/>
      <c r="G197" s="287"/>
      <c r="H197" s="287"/>
      <c r="I197" s="287"/>
      <c r="J197" s="287"/>
      <c r="K197" s="287"/>
      <c r="L197" s="287"/>
      <c r="M197" s="287"/>
      <c r="N197" s="287"/>
      <c r="O197" s="287"/>
      <c r="P197" s="287"/>
      <c r="Q197" s="287"/>
      <c r="R197" s="287"/>
      <c r="S197" s="287"/>
      <c r="T197" s="287"/>
      <c r="U197" s="287"/>
      <c r="V197" s="287"/>
      <c r="W197" s="287"/>
      <c r="X197" s="287"/>
      <c r="Y197" s="287"/>
      <c r="Z197" s="287"/>
      <c r="AA197" s="287"/>
      <c r="AB197" s="287"/>
      <c r="AC197" s="287"/>
      <c r="AD197" s="287"/>
      <c r="AE197" s="287"/>
      <c r="AF197" s="287"/>
      <c r="AG197" s="287"/>
      <c r="AH197" s="287"/>
      <c r="AI197" s="287"/>
      <c r="AJ197" s="287"/>
      <c r="AK197" s="287"/>
      <c r="AL197" s="287"/>
      <c r="AM197" s="287"/>
      <c r="AN197" s="287"/>
      <c r="AO197" s="287"/>
      <c r="AP197" s="287"/>
      <c r="AQ197" s="287"/>
      <c r="AR197" s="287"/>
      <c r="AS197" s="287"/>
      <c r="AT197" s="287"/>
      <c r="AU197" s="287"/>
      <c r="AV197" s="287"/>
      <c r="AW197" s="287"/>
      <c r="AX197" s="287"/>
      <c r="AY197" s="287"/>
      <c r="AZ197" s="287"/>
      <c r="BA197" s="287"/>
      <c r="BB197" s="287"/>
      <c r="BC197" s="287"/>
    </row>
    <row r="198" ht="15.75" customHeight="1">
      <c r="A198" s="287"/>
      <c r="B198" s="287"/>
      <c r="C198" s="287"/>
      <c r="D198" s="287"/>
      <c r="E198" s="287"/>
      <c r="F198" s="287"/>
      <c r="G198" s="287"/>
      <c r="H198" s="287"/>
      <c r="I198" s="287"/>
      <c r="J198" s="287"/>
      <c r="K198" s="287"/>
      <c r="L198" s="287"/>
      <c r="M198" s="287"/>
      <c r="N198" s="287"/>
      <c r="O198" s="287"/>
      <c r="P198" s="287"/>
      <c r="Q198" s="287"/>
      <c r="R198" s="287"/>
      <c r="S198" s="287"/>
      <c r="T198" s="287"/>
      <c r="U198" s="287"/>
      <c r="V198" s="287"/>
      <c r="W198" s="287"/>
      <c r="X198" s="287"/>
      <c r="Y198" s="287"/>
      <c r="Z198" s="287"/>
      <c r="AA198" s="287"/>
      <c r="AB198" s="287"/>
      <c r="AC198" s="287"/>
      <c r="AD198" s="287"/>
      <c r="AE198" s="287"/>
      <c r="AF198" s="287"/>
      <c r="AG198" s="287"/>
      <c r="AH198" s="287"/>
      <c r="AI198" s="287"/>
      <c r="AJ198" s="287"/>
      <c r="AK198" s="287"/>
      <c r="AL198" s="287"/>
      <c r="AM198" s="287"/>
      <c r="AN198" s="287"/>
      <c r="AO198" s="287"/>
      <c r="AP198" s="287"/>
      <c r="AQ198" s="287"/>
      <c r="AR198" s="287"/>
      <c r="AS198" s="287"/>
      <c r="AT198" s="287"/>
      <c r="AU198" s="287"/>
      <c r="AV198" s="287"/>
      <c r="AW198" s="287"/>
      <c r="AX198" s="287"/>
      <c r="AY198" s="287"/>
      <c r="AZ198" s="287"/>
      <c r="BA198" s="287"/>
      <c r="BB198" s="287"/>
      <c r="BC198" s="287"/>
    </row>
    <row r="199" ht="15.75" customHeight="1">
      <c r="A199" s="287"/>
      <c r="B199" s="287"/>
      <c r="C199" s="287"/>
      <c r="D199" s="287"/>
      <c r="E199" s="287"/>
      <c r="F199" s="287"/>
      <c r="G199" s="287"/>
      <c r="H199" s="287"/>
      <c r="I199" s="287"/>
      <c r="J199" s="287"/>
      <c r="K199" s="287"/>
      <c r="L199" s="287"/>
      <c r="M199" s="287"/>
      <c r="N199" s="287"/>
      <c r="O199" s="287"/>
      <c r="P199" s="287"/>
      <c r="Q199" s="287"/>
      <c r="R199" s="287"/>
      <c r="S199" s="287"/>
      <c r="T199" s="287"/>
      <c r="U199" s="287"/>
      <c r="V199" s="287"/>
      <c r="W199" s="287"/>
      <c r="X199" s="287"/>
      <c r="Y199" s="287"/>
      <c r="Z199" s="287"/>
      <c r="AA199" s="287"/>
      <c r="AB199" s="287"/>
      <c r="AC199" s="287"/>
      <c r="AD199" s="287"/>
      <c r="AE199" s="287"/>
      <c r="AF199" s="287"/>
      <c r="AG199" s="287"/>
      <c r="AH199" s="287"/>
      <c r="AI199" s="287"/>
      <c r="AJ199" s="287"/>
      <c r="AK199" s="287"/>
      <c r="AL199" s="287"/>
      <c r="AM199" s="287"/>
      <c r="AN199" s="287"/>
      <c r="AO199" s="287"/>
      <c r="AP199" s="287"/>
      <c r="AQ199" s="287"/>
      <c r="AR199" s="287"/>
      <c r="AS199" s="287"/>
      <c r="AT199" s="287"/>
      <c r="AU199" s="287"/>
      <c r="AV199" s="287"/>
      <c r="AW199" s="287"/>
      <c r="AX199" s="287"/>
      <c r="AY199" s="287"/>
      <c r="AZ199" s="287"/>
      <c r="BA199" s="287"/>
      <c r="BB199" s="287"/>
      <c r="BC199" s="287"/>
    </row>
    <row r="200" ht="15.75" customHeight="1">
      <c r="A200" s="287"/>
      <c r="B200" s="287"/>
      <c r="C200" s="287"/>
      <c r="D200" s="287"/>
      <c r="E200" s="287"/>
      <c r="F200" s="287"/>
      <c r="G200" s="287"/>
      <c r="H200" s="287"/>
      <c r="I200" s="287"/>
      <c r="J200" s="287"/>
      <c r="K200" s="287"/>
      <c r="L200" s="287"/>
      <c r="M200" s="287"/>
      <c r="N200" s="287"/>
      <c r="O200" s="287"/>
      <c r="P200" s="287"/>
      <c r="Q200" s="287"/>
      <c r="R200" s="287"/>
      <c r="S200" s="287"/>
      <c r="T200" s="287"/>
      <c r="U200" s="287"/>
      <c r="V200" s="287"/>
      <c r="W200" s="287"/>
      <c r="X200" s="287"/>
      <c r="Y200" s="287"/>
      <c r="Z200" s="287"/>
      <c r="AA200" s="287"/>
      <c r="AB200" s="287"/>
      <c r="AC200" s="287"/>
      <c r="AD200" s="287"/>
      <c r="AE200" s="287"/>
      <c r="AF200" s="287"/>
      <c r="AG200" s="287"/>
      <c r="AH200" s="287"/>
      <c r="AI200" s="287"/>
      <c r="AJ200" s="287"/>
      <c r="AK200" s="287"/>
      <c r="AL200" s="287"/>
      <c r="AM200" s="287"/>
      <c r="AN200" s="287"/>
      <c r="AO200" s="287"/>
      <c r="AP200" s="287"/>
      <c r="AQ200" s="287"/>
      <c r="AR200" s="287"/>
      <c r="AS200" s="287"/>
      <c r="AT200" s="287"/>
      <c r="AU200" s="287"/>
      <c r="AV200" s="287"/>
      <c r="AW200" s="287"/>
      <c r="AX200" s="287"/>
      <c r="AY200" s="287"/>
      <c r="AZ200" s="287"/>
      <c r="BA200" s="287"/>
      <c r="BB200" s="287"/>
      <c r="BC200" s="287"/>
    </row>
    <row r="201" ht="15.75" customHeight="1">
      <c r="A201" s="287"/>
      <c r="B201" s="287"/>
      <c r="C201" s="287"/>
      <c r="D201" s="287"/>
      <c r="E201" s="287"/>
      <c r="F201" s="287"/>
      <c r="G201" s="287"/>
      <c r="H201" s="287"/>
      <c r="I201" s="287"/>
      <c r="J201" s="287"/>
      <c r="K201" s="287"/>
      <c r="L201" s="287"/>
      <c r="M201" s="287"/>
      <c r="N201" s="287"/>
      <c r="O201" s="287"/>
      <c r="P201" s="287"/>
      <c r="Q201" s="287"/>
      <c r="R201" s="287"/>
      <c r="S201" s="287"/>
      <c r="T201" s="287"/>
      <c r="U201" s="287"/>
      <c r="V201" s="287"/>
      <c r="W201" s="287"/>
      <c r="X201" s="287"/>
      <c r="Y201" s="287"/>
      <c r="Z201" s="287"/>
      <c r="AA201" s="287"/>
      <c r="AB201" s="287"/>
      <c r="AC201" s="287"/>
      <c r="AD201" s="287"/>
      <c r="AE201" s="287"/>
      <c r="AF201" s="287"/>
      <c r="AG201" s="287"/>
      <c r="AH201" s="287"/>
      <c r="AI201" s="287"/>
      <c r="AJ201" s="287"/>
      <c r="AK201" s="287"/>
      <c r="AL201" s="287"/>
      <c r="AM201" s="287"/>
      <c r="AN201" s="287"/>
      <c r="AO201" s="287"/>
      <c r="AP201" s="287"/>
      <c r="AQ201" s="287"/>
      <c r="AR201" s="287"/>
      <c r="AS201" s="287"/>
      <c r="AT201" s="287"/>
      <c r="AU201" s="287"/>
      <c r="AV201" s="287"/>
      <c r="AW201" s="287"/>
      <c r="AX201" s="287"/>
      <c r="AY201" s="287"/>
      <c r="AZ201" s="287"/>
      <c r="BA201" s="287"/>
      <c r="BB201" s="287"/>
      <c r="BC201" s="287"/>
    </row>
    <row r="202" ht="15.75" customHeight="1">
      <c r="A202" s="287"/>
      <c r="B202" s="287"/>
      <c r="C202" s="287"/>
      <c r="D202" s="287"/>
      <c r="E202" s="287"/>
      <c r="F202" s="287"/>
      <c r="G202" s="287"/>
      <c r="H202" s="287"/>
      <c r="I202" s="287"/>
      <c r="J202" s="287"/>
      <c r="K202" s="287"/>
      <c r="L202" s="287"/>
      <c r="M202" s="287"/>
      <c r="N202" s="287"/>
      <c r="O202" s="287"/>
      <c r="P202" s="287"/>
      <c r="Q202" s="287"/>
      <c r="R202" s="287"/>
      <c r="S202" s="287"/>
      <c r="T202" s="287"/>
      <c r="U202" s="287"/>
      <c r="V202" s="287"/>
      <c r="W202" s="287"/>
      <c r="X202" s="287"/>
      <c r="Y202" s="287"/>
      <c r="Z202" s="287"/>
      <c r="AA202" s="287"/>
      <c r="AB202" s="287"/>
      <c r="AC202" s="287"/>
      <c r="AD202" s="287"/>
      <c r="AE202" s="287"/>
      <c r="AF202" s="287"/>
      <c r="AG202" s="287"/>
      <c r="AH202" s="287"/>
      <c r="AI202" s="287"/>
      <c r="AJ202" s="287"/>
      <c r="AK202" s="287"/>
      <c r="AL202" s="287"/>
      <c r="AM202" s="287"/>
      <c r="AN202" s="287"/>
      <c r="AO202" s="287"/>
      <c r="AP202" s="287"/>
      <c r="AQ202" s="287"/>
      <c r="AR202" s="287"/>
      <c r="AS202" s="287"/>
      <c r="AT202" s="287"/>
      <c r="AU202" s="287"/>
      <c r="AV202" s="287"/>
      <c r="AW202" s="287"/>
      <c r="AX202" s="287"/>
      <c r="AY202" s="287"/>
      <c r="AZ202" s="287"/>
      <c r="BA202" s="287"/>
      <c r="BB202" s="287"/>
      <c r="BC202" s="287"/>
    </row>
    <row r="203" ht="15.75" customHeight="1">
      <c r="A203" s="287"/>
      <c r="B203" s="287"/>
      <c r="C203" s="287"/>
      <c r="D203" s="287"/>
      <c r="E203" s="287"/>
      <c r="F203" s="287"/>
      <c r="G203" s="287"/>
      <c r="H203" s="287"/>
      <c r="I203" s="287"/>
      <c r="J203" s="287"/>
      <c r="K203" s="287"/>
      <c r="L203" s="287"/>
      <c r="M203" s="287"/>
      <c r="N203" s="287"/>
      <c r="O203" s="287"/>
      <c r="P203" s="287"/>
      <c r="Q203" s="287"/>
      <c r="R203" s="287"/>
      <c r="S203" s="287"/>
      <c r="T203" s="287"/>
      <c r="U203" s="287"/>
      <c r="V203" s="287"/>
      <c r="W203" s="287"/>
      <c r="X203" s="287"/>
      <c r="Y203" s="287"/>
      <c r="Z203" s="287"/>
      <c r="AA203" s="287"/>
      <c r="AB203" s="287"/>
      <c r="AC203" s="287"/>
      <c r="AD203" s="287"/>
      <c r="AE203" s="287"/>
      <c r="AF203" s="287"/>
      <c r="AG203" s="287"/>
      <c r="AH203" s="287"/>
      <c r="AI203" s="287"/>
      <c r="AJ203" s="287"/>
      <c r="AK203" s="287"/>
      <c r="AL203" s="287"/>
      <c r="AM203" s="287"/>
      <c r="AN203" s="287"/>
      <c r="AO203" s="287"/>
      <c r="AP203" s="287"/>
      <c r="AQ203" s="287"/>
      <c r="AR203" s="287"/>
      <c r="AS203" s="287"/>
      <c r="AT203" s="287"/>
      <c r="AU203" s="287"/>
      <c r="AV203" s="287"/>
      <c r="AW203" s="287"/>
      <c r="AX203" s="287"/>
      <c r="AY203" s="287"/>
      <c r="AZ203" s="287"/>
      <c r="BA203" s="287"/>
      <c r="BB203" s="287"/>
      <c r="BC203" s="287"/>
    </row>
    <row r="204" ht="15.75" customHeight="1">
      <c r="A204" s="287"/>
      <c r="B204" s="287"/>
      <c r="C204" s="287"/>
      <c r="D204" s="287"/>
      <c r="E204" s="287"/>
      <c r="F204" s="287"/>
      <c r="G204" s="287"/>
      <c r="H204" s="287"/>
      <c r="I204" s="287"/>
      <c r="J204" s="287"/>
      <c r="K204" s="287"/>
      <c r="L204" s="287"/>
      <c r="M204" s="287"/>
      <c r="N204" s="287"/>
      <c r="O204" s="287"/>
      <c r="P204" s="287"/>
      <c r="Q204" s="287"/>
      <c r="R204" s="287"/>
      <c r="S204" s="287"/>
      <c r="T204" s="287"/>
      <c r="U204" s="287"/>
      <c r="V204" s="287"/>
      <c r="W204" s="287"/>
      <c r="X204" s="287"/>
      <c r="Y204" s="287"/>
      <c r="Z204" s="287"/>
      <c r="AA204" s="287"/>
      <c r="AB204" s="287"/>
      <c r="AC204" s="287"/>
      <c r="AD204" s="287"/>
      <c r="AE204" s="287"/>
      <c r="AF204" s="287"/>
      <c r="AG204" s="287"/>
      <c r="AH204" s="287"/>
      <c r="AI204" s="287"/>
      <c r="AJ204" s="287"/>
      <c r="AK204" s="287"/>
      <c r="AL204" s="287"/>
      <c r="AM204" s="287"/>
      <c r="AN204" s="287"/>
      <c r="AO204" s="287"/>
      <c r="AP204" s="287"/>
      <c r="AQ204" s="287"/>
      <c r="AR204" s="287"/>
      <c r="AS204" s="287"/>
      <c r="AT204" s="287"/>
      <c r="AU204" s="287"/>
      <c r="AV204" s="287"/>
      <c r="AW204" s="287"/>
      <c r="AX204" s="287"/>
      <c r="AY204" s="287"/>
      <c r="AZ204" s="287"/>
      <c r="BA204" s="287"/>
      <c r="BB204" s="287"/>
      <c r="BC204" s="287"/>
    </row>
    <row r="205" ht="15.75" customHeight="1">
      <c r="A205" s="287"/>
      <c r="B205" s="287"/>
      <c r="C205" s="287"/>
      <c r="D205" s="287"/>
      <c r="E205" s="287"/>
      <c r="F205" s="287"/>
      <c r="G205" s="287"/>
      <c r="H205" s="287"/>
      <c r="I205" s="287"/>
      <c r="J205" s="287"/>
      <c r="K205" s="287"/>
      <c r="L205" s="287"/>
      <c r="M205" s="287"/>
      <c r="N205" s="287"/>
      <c r="O205" s="287"/>
      <c r="P205" s="287"/>
      <c r="Q205" s="287"/>
      <c r="R205" s="287"/>
      <c r="S205" s="287"/>
      <c r="T205" s="287"/>
      <c r="U205" s="287"/>
      <c r="V205" s="287"/>
      <c r="W205" s="287"/>
      <c r="X205" s="287"/>
      <c r="Y205" s="287"/>
      <c r="Z205" s="287"/>
      <c r="AA205" s="287"/>
      <c r="AB205" s="287"/>
      <c r="AC205" s="287"/>
      <c r="AD205" s="287"/>
      <c r="AE205" s="287"/>
      <c r="AF205" s="287"/>
      <c r="AG205" s="287"/>
      <c r="AH205" s="287"/>
      <c r="AI205" s="287"/>
      <c r="AJ205" s="287"/>
      <c r="AK205" s="287"/>
      <c r="AL205" s="287"/>
      <c r="AM205" s="287"/>
      <c r="AN205" s="287"/>
      <c r="AO205" s="287"/>
      <c r="AP205" s="287"/>
      <c r="AQ205" s="287"/>
      <c r="AR205" s="287"/>
      <c r="AS205" s="287"/>
      <c r="AT205" s="287"/>
      <c r="AU205" s="287"/>
      <c r="AV205" s="287"/>
      <c r="AW205" s="287"/>
      <c r="AX205" s="287"/>
      <c r="AY205" s="287"/>
      <c r="AZ205" s="287"/>
      <c r="BA205" s="287"/>
      <c r="BB205" s="287"/>
      <c r="BC205" s="287"/>
    </row>
    <row r="206" ht="15.75" customHeight="1">
      <c r="A206" s="287"/>
      <c r="B206" s="287"/>
      <c r="C206" s="287"/>
      <c r="D206" s="287"/>
      <c r="E206" s="287"/>
      <c r="F206" s="287"/>
      <c r="G206" s="287"/>
      <c r="H206" s="287"/>
      <c r="I206" s="287"/>
      <c r="J206" s="287"/>
      <c r="K206" s="287"/>
      <c r="L206" s="287"/>
      <c r="M206" s="287"/>
      <c r="N206" s="287"/>
      <c r="O206" s="287"/>
      <c r="P206" s="287"/>
      <c r="Q206" s="287"/>
      <c r="R206" s="287"/>
      <c r="S206" s="287"/>
      <c r="T206" s="287"/>
      <c r="U206" s="287"/>
      <c r="V206" s="287"/>
      <c r="W206" s="287"/>
      <c r="X206" s="287"/>
      <c r="Y206" s="287"/>
      <c r="Z206" s="287"/>
      <c r="AA206" s="287"/>
      <c r="AB206" s="287"/>
      <c r="AC206" s="287"/>
      <c r="AD206" s="287"/>
      <c r="AE206" s="287"/>
      <c r="AF206" s="287"/>
      <c r="AG206" s="287"/>
      <c r="AH206" s="287"/>
      <c r="AI206" s="287"/>
      <c r="AJ206" s="287"/>
      <c r="AK206" s="287"/>
      <c r="AL206" s="287"/>
      <c r="AM206" s="287"/>
      <c r="AN206" s="287"/>
      <c r="AO206" s="287"/>
      <c r="AP206" s="287"/>
      <c r="AQ206" s="287"/>
      <c r="AR206" s="287"/>
      <c r="AS206" s="287"/>
      <c r="AT206" s="287"/>
      <c r="AU206" s="287"/>
      <c r="AV206" s="287"/>
      <c r="AW206" s="287"/>
      <c r="AX206" s="287"/>
      <c r="AY206" s="287"/>
      <c r="AZ206" s="287"/>
      <c r="BA206" s="287"/>
      <c r="BB206" s="287"/>
      <c r="BC206" s="287"/>
    </row>
    <row r="207" ht="15.75" customHeight="1">
      <c r="A207" s="287"/>
      <c r="B207" s="287"/>
      <c r="C207" s="287"/>
      <c r="D207" s="287"/>
      <c r="E207" s="287"/>
      <c r="F207" s="287"/>
      <c r="G207" s="287"/>
      <c r="H207" s="287"/>
      <c r="I207" s="287"/>
      <c r="J207" s="287"/>
      <c r="K207" s="287"/>
      <c r="L207" s="287"/>
      <c r="M207" s="287"/>
      <c r="N207" s="287"/>
      <c r="O207" s="287"/>
      <c r="P207" s="287"/>
      <c r="Q207" s="287"/>
      <c r="R207" s="287"/>
      <c r="S207" s="287"/>
      <c r="T207" s="287"/>
      <c r="U207" s="287"/>
      <c r="V207" s="287"/>
      <c r="W207" s="287"/>
      <c r="X207" s="287"/>
      <c r="Y207" s="287"/>
      <c r="Z207" s="287"/>
      <c r="AA207" s="287"/>
      <c r="AB207" s="287"/>
      <c r="AC207" s="287"/>
      <c r="AD207" s="287"/>
      <c r="AE207" s="287"/>
      <c r="AF207" s="287"/>
      <c r="AG207" s="287"/>
      <c r="AH207" s="287"/>
      <c r="AI207" s="287"/>
      <c r="AJ207" s="287"/>
      <c r="AK207" s="287"/>
      <c r="AL207" s="287"/>
      <c r="AM207" s="287"/>
      <c r="AN207" s="287"/>
      <c r="AO207" s="287"/>
      <c r="AP207" s="287"/>
      <c r="AQ207" s="287"/>
      <c r="AR207" s="287"/>
      <c r="AS207" s="287"/>
      <c r="AT207" s="287"/>
      <c r="AU207" s="287"/>
      <c r="AV207" s="287"/>
      <c r="AW207" s="287"/>
      <c r="AX207" s="287"/>
      <c r="AY207" s="287"/>
      <c r="AZ207" s="287"/>
      <c r="BA207" s="287"/>
      <c r="BB207" s="287"/>
      <c r="BC207" s="287"/>
    </row>
    <row r="208" ht="15.75" customHeight="1">
      <c r="A208" s="287"/>
      <c r="B208" s="287"/>
      <c r="C208" s="287"/>
      <c r="D208" s="287"/>
      <c r="E208" s="287"/>
      <c r="F208" s="287"/>
      <c r="G208" s="287"/>
      <c r="H208" s="287"/>
      <c r="I208" s="287"/>
      <c r="J208" s="287"/>
      <c r="K208" s="287"/>
      <c r="L208" s="287"/>
      <c r="M208" s="287"/>
      <c r="N208" s="287"/>
      <c r="O208" s="287"/>
      <c r="P208" s="287"/>
      <c r="Q208" s="287"/>
      <c r="R208" s="287"/>
      <c r="S208" s="287"/>
      <c r="T208" s="287"/>
      <c r="U208" s="287"/>
      <c r="V208" s="287"/>
      <c r="W208" s="287"/>
      <c r="X208" s="287"/>
      <c r="Y208" s="287"/>
      <c r="Z208" s="287"/>
      <c r="AA208" s="287"/>
      <c r="AB208" s="287"/>
      <c r="AC208" s="287"/>
      <c r="AD208" s="287"/>
      <c r="AE208" s="287"/>
      <c r="AF208" s="287"/>
      <c r="AG208" s="287"/>
      <c r="AH208" s="287"/>
      <c r="AI208" s="287"/>
      <c r="AJ208" s="287"/>
      <c r="AK208" s="287"/>
      <c r="AL208" s="287"/>
      <c r="AM208" s="287"/>
      <c r="AN208" s="287"/>
      <c r="AO208" s="287"/>
      <c r="AP208" s="287"/>
      <c r="AQ208" s="287"/>
      <c r="AR208" s="287"/>
      <c r="AS208" s="287"/>
      <c r="AT208" s="287"/>
      <c r="AU208" s="287"/>
      <c r="AV208" s="287"/>
      <c r="AW208" s="287"/>
      <c r="AX208" s="287"/>
      <c r="AY208" s="287"/>
      <c r="AZ208" s="287"/>
      <c r="BA208" s="287"/>
      <c r="BB208" s="287"/>
      <c r="BC208" s="287"/>
    </row>
    <row r="209" ht="15.75" customHeight="1">
      <c r="A209" s="287"/>
      <c r="B209" s="287"/>
      <c r="C209" s="287"/>
      <c r="D209" s="287"/>
      <c r="E209" s="287"/>
      <c r="F209" s="287"/>
      <c r="G209" s="287"/>
      <c r="H209" s="287"/>
      <c r="I209" s="287"/>
      <c r="J209" s="287"/>
      <c r="K209" s="287"/>
      <c r="L209" s="287"/>
      <c r="M209" s="287"/>
      <c r="N209" s="287"/>
      <c r="O209" s="287"/>
      <c r="P209" s="287"/>
      <c r="Q209" s="287"/>
      <c r="R209" s="287"/>
      <c r="S209" s="287"/>
      <c r="T209" s="287"/>
      <c r="U209" s="287"/>
      <c r="V209" s="287"/>
      <c r="W209" s="287"/>
      <c r="X209" s="287"/>
      <c r="Y209" s="287"/>
      <c r="Z209" s="287"/>
      <c r="AA209" s="287"/>
      <c r="AB209" s="287"/>
      <c r="AC209" s="287"/>
      <c r="AD209" s="287"/>
      <c r="AE209" s="287"/>
      <c r="AF209" s="287"/>
      <c r="AG209" s="287"/>
      <c r="AH209" s="287"/>
      <c r="AI209" s="287"/>
      <c r="AJ209" s="287"/>
      <c r="AK209" s="287"/>
      <c r="AL209" s="287"/>
      <c r="AM209" s="287"/>
      <c r="AN209" s="287"/>
      <c r="AO209" s="287"/>
      <c r="AP209" s="287"/>
      <c r="AQ209" s="287"/>
      <c r="AR209" s="287"/>
      <c r="AS209" s="287"/>
      <c r="AT209" s="287"/>
      <c r="AU209" s="287"/>
      <c r="AV209" s="287"/>
      <c r="AW209" s="287"/>
      <c r="AX209" s="287"/>
      <c r="AY209" s="287"/>
      <c r="AZ209" s="287"/>
      <c r="BA209" s="287"/>
      <c r="BB209" s="287"/>
      <c r="BC209" s="287"/>
    </row>
    <row r="210" ht="15.75" customHeight="1">
      <c r="A210" s="287"/>
      <c r="B210" s="287"/>
      <c r="C210" s="287"/>
      <c r="D210" s="287"/>
      <c r="E210" s="287"/>
      <c r="F210" s="287"/>
      <c r="G210" s="287"/>
      <c r="H210" s="287"/>
      <c r="I210" s="287"/>
      <c r="J210" s="287"/>
      <c r="K210" s="287"/>
      <c r="L210" s="287"/>
      <c r="M210" s="287"/>
      <c r="N210" s="287"/>
      <c r="O210" s="287"/>
      <c r="P210" s="287"/>
      <c r="Q210" s="287"/>
      <c r="R210" s="287"/>
      <c r="S210" s="287"/>
      <c r="T210" s="287"/>
      <c r="U210" s="287"/>
      <c r="V210" s="287"/>
      <c r="W210" s="287"/>
      <c r="X210" s="287"/>
      <c r="Y210" s="287"/>
      <c r="Z210" s="287"/>
      <c r="AA210" s="287"/>
      <c r="AB210" s="287"/>
      <c r="AC210" s="287"/>
      <c r="AD210" s="287"/>
      <c r="AE210" s="287"/>
      <c r="AF210" s="287"/>
      <c r="AG210" s="287"/>
      <c r="AH210" s="287"/>
      <c r="AI210" s="287"/>
      <c r="AJ210" s="287"/>
      <c r="AK210" s="287"/>
      <c r="AL210" s="287"/>
      <c r="AM210" s="287"/>
      <c r="AN210" s="287"/>
      <c r="AO210" s="287"/>
      <c r="AP210" s="287"/>
      <c r="AQ210" s="287"/>
      <c r="AR210" s="287"/>
      <c r="AS210" s="287"/>
      <c r="AT210" s="287"/>
      <c r="AU210" s="287"/>
      <c r="AV210" s="287"/>
      <c r="AW210" s="287"/>
      <c r="AX210" s="287"/>
      <c r="AY210" s="287"/>
      <c r="AZ210" s="287"/>
      <c r="BA210" s="287"/>
      <c r="BB210" s="287"/>
      <c r="BC210" s="287"/>
    </row>
    <row r="211" ht="15.75" customHeight="1">
      <c r="A211" s="287"/>
      <c r="B211" s="287"/>
      <c r="C211" s="287"/>
      <c r="D211" s="287"/>
      <c r="E211" s="287"/>
      <c r="F211" s="287"/>
      <c r="G211" s="287"/>
      <c r="H211" s="287"/>
      <c r="I211" s="287"/>
      <c r="J211" s="287"/>
      <c r="K211" s="287"/>
      <c r="L211" s="287"/>
      <c r="M211" s="287"/>
      <c r="N211" s="287"/>
      <c r="O211" s="287"/>
      <c r="P211" s="287"/>
      <c r="Q211" s="287"/>
      <c r="R211" s="287"/>
      <c r="S211" s="287"/>
      <c r="T211" s="287"/>
      <c r="U211" s="287"/>
      <c r="V211" s="287"/>
      <c r="W211" s="287"/>
      <c r="X211" s="287"/>
      <c r="Y211" s="287"/>
      <c r="Z211" s="287"/>
      <c r="AA211" s="287"/>
      <c r="AB211" s="287"/>
      <c r="AC211" s="287"/>
      <c r="AD211" s="287"/>
      <c r="AE211" s="287"/>
      <c r="AF211" s="287"/>
      <c r="AG211" s="287"/>
      <c r="AH211" s="287"/>
      <c r="AI211" s="287"/>
      <c r="AJ211" s="287"/>
      <c r="AK211" s="287"/>
      <c r="AL211" s="287"/>
      <c r="AM211" s="287"/>
      <c r="AN211" s="287"/>
      <c r="AO211" s="287"/>
      <c r="AP211" s="287"/>
      <c r="AQ211" s="287"/>
      <c r="AR211" s="287"/>
      <c r="AS211" s="287"/>
      <c r="AT211" s="287"/>
      <c r="AU211" s="287"/>
      <c r="AV211" s="287"/>
      <c r="AW211" s="287"/>
      <c r="AX211" s="287"/>
      <c r="AY211" s="287"/>
      <c r="AZ211" s="287"/>
      <c r="BA211" s="287"/>
      <c r="BB211" s="287"/>
      <c r="BC211" s="287"/>
    </row>
    <row r="212" ht="15.75" customHeight="1">
      <c r="A212" s="287"/>
      <c r="B212" s="287"/>
      <c r="C212" s="287"/>
      <c r="D212" s="287"/>
      <c r="E212" s="287"/>
      <c r="F212" s="287"/>
      <c r="G212" s="287"/>
      <c r="H212" s="287"/>
      <c r="I212" s="287"/>
      <c r="J212" s="287"/>
      <c r="K212" s="287"/>
      <c r="L212" s="287"/>
      <c r="M212" s="287"/>
      <c r="N212" s="287"/>
      <c r="O212" s="287"/>
      <c r="P212" s="287"/>
      <c r="Q212" s="287"/>
      <c r="R212" s="287"/>
      <c r="S212" s="287"/>
      <c r="T212" s="287"/>
      <c r="U212" s="287"/>
      <c r="V212" s="287"/>
      <c r="W212" s="287"/>
      <c r="X212" s="287"/>
      <c r="Y212" s="287"/>
      <c r="Z212" s="287"/>
      <c r="AA212" s="287"/>
      <c r="AB212" s="287"/>
      <c r="AC212" s="287"/>
      <c r="AD212" s="287"/>
      <c r="AE212" s="287"/>
      <c r="AF212" s="287"/>
      <c r="AG212" s="287"/>
      <c r="AH212" s="287"/>
      <c r="AI212" s="287"/>
      <c r="AJ212" s="287"/>
      <c r="AK212" s="287"/>
      <c r="AL212" s="287"/>
      <c r="AM212" s="287"/>
      <c r="AN212" s="287"/>
      <c r="AO212" s="287"/>
      <c r="AP212" s="287"/>
      <c r="AQ212" s="287"/>
      <c r="AR212" s="287"/>
      <c r="AS212" s="287"/>
      <c r="AT212" s="287"/>
      <c r="AU212" s="287"/>
      <c r="AV212" s="287"/>
      <c r="AW212" s="287"/>
      <c r="AX212" s="287"/>
      <c r="AY212" s="287"/>
      <c r="AZ212" s="287"/>
      <c r="BA212" s="287"/>
      <c r="BB212" s="287"/>
      <c r="BC212" s="287"/>
    </row>
    <row r="213" ht="15.75" customHeight="1">
      <c r="A213" s="287"/>
      <c r="B213" s="287"/>
      <c r="C213" s="287"/>
      <c r="D213" s="287"/>
      <c r="E213" s="287"/>
      <c r="F213" s="287"/>
      <c r="G213" s="287"/>
      <c r="H213" s="287"/>
      <c r="I213" s="287"/>
      <c r="J213" s="287"/>
      <c r="K213" s="287"/>
      <c r="L213" s="287"/>
      <c r="M213" s="287"/>
      <c r="N213" s="287"/>
      <c r="O213" s="287"/>
      <c r="P213" s="287"/>
      <c r="Q213" s="287"/>
      <c r="R213" s="287"/>
      <c r="S213" s="287"/>
      <c r="T213" s="287"/>
      <c r="U213" s="287"/>
      <c r="V213" s="287"/>
      <c r="W213" s="287"/>
      <c r="X213" s="287"/>
      <c r="Y213" s="287"/>
      <c r="Z213" s="287"/>
      <c r="AA213" s="287"/>
      <c r="AB213" s="287"/>
      <c r="AC213" s="287"/>
      <c r="AD213" s="287"/>
      <c r="AE213" s="287"/>
      <c r="AF213" s="287"/>
      <c r="AG213" s="287"/>
      <c r="AH213" s="287"/>
      <c r="AI213" s="287"/>
      <c r="AJ213" s="287"/>
      <c r="AK213" s="287"/>
      <c r="AL213" s="287"/>
      <c r="AM213" s="287"/>
      <c r="AN213" s="287"/>
      <c r="AO213" s="287"/>
      <c r="AP213" s="287"/>
      <c r="AQ213" s="287"/>
      <c r="AR213" s="287"/>
      <c r="AS213" s="287"/>
      <c r="AT213" s="287"/>
      <c r="AU213" s="287"/>
      <c r="AV213" s="287"/>
      <c r="AW213" s="287"/>
      <c r="AX213" s="287"/>
      <c r="AY213" s="287"/>
      <c r="AZ213" s="287"/>
      <c r="BA213" s="287"/>
      <c r="BB213" s="287"/>
      <c r="BC213" s="287"/>
    </row>
    <row r="214" ht="15.75" customHeight="1">
      <c r="A214" s="287"/>
      <c r="B214" s="287"/>
      <c r="C214" s="287"/>
      <c r="D214" s="287"/>
      <c r="E214" s="287"/>
      <c r="F214" s="287"/>
      <c r="G214" s="287"/>
      <c r="H214" s="287"/>
      <c r="I214" s="287"/>
      <c r="J214" s="287"/>
      <c r="K214" s="287"/>
      <c r="L214" s="287"/>
      <c r="M214" s="287"/>
      <c r="N214" s="287"/>
      <c r="O214" s="287"/>
      <c r="P214" s="287"/>
      <c r="Q214" s="287"/>
      <c r="R214" s="287"/>
      <c r="S214" s="287"/>
      <c r="T214" s="287"/>
      <c r="U214" s="287"/>
      <c r="V214" s="287"/>
      <c r="W214" s="287"/>
      <c r="X214" s="287"/>
      <c r="Y214" s="287"/>
      <c r="Z214" s="287"/>
      <c r="AA214" s="287"/>
      <c r="AB214" s="287"/>
      <c r="AC214" s="287"/>
      <c r="AD214" s="287"/>
      <c r="AE214" s="287"/>
      <c r="AF214" s="287"/>
      <c r="AG214" s="287"/>
      <c r="AH214" s="287"/>
      <c r="AI214" s="287"/>
      <c r="AJ214" s="287"/>
      <c r="AK214" s="287"/>
      <c r="AL214" s="287"/>
      <c r="AM214" s="287"/>
      <c r="AN214" s="287"/>
      <c r="AO214" s="287"/>
      <c r="AP214" s="287"/>
      <c r="AQ214" s="287"/>
      <c r="AR214" s="287"/>
      <c r="AS214" s="287"/>
      <c r="AT214" s="287"/>
      <c r="AU214" s="287"/>
      <c r="AV214" s="287"/>
      <c r="AW214" s="287"/>
      <c r="AX214" s="287"/>
      <c r="AY214" s="287"/>
      <c r="AZ214" s="287"/>
      <c r="BA214" s="287"/>
      <c r="BB214" s="287"/>
      <c r="BC214" s="287"/>
    </row>
    <row r="215" ht="15.75" customHeight="1">
      <c r="A215" s="287"/>
      <c r="B215" s="287"/>
      <c r="C215" s="287"/>
      <c r="D215" s="287"/>
      <c r="E215" s="287"/>
      <c r="F215" s="287"/>
      <c r="G215" s="287"/>
      <c r="H215" s="287"/>
      <c r="I215" s="287"/>
      <c r="J215" s="287"/>
      <c r="K215" s="287"/>
      <c r="L215" s="287"/>
      <c r="M215" s="287"/>
      <c r="N215" s="287"/>
      <c r="O215" s="287"/>
      <c r="P215" s="287"/>
      <c r="Q215" s="287"/>
      <c r="R215" s="287"/>
      <c r="S215" s="287"/>
      <c r="T215" s="287"/>
      <c r="U215" s="287"/>
      <c r="V215" s="287"/>
      <c r="W215" s="287"/>
      <c r="X215" s="287"/>
      <c r="Y215" s="287"/>
      <c r="Z215" s="287"/>
      <c r="AA215" s="287"/>
      <c r="AB215" s="287"/>
      <c r="AC215" s="287"/>
      <c r="AD215" s="287"/>
      <c r="AE215" s="287"/>
      <c r="AF215" s="287"/>
      <c r="AG215" s="287"/>
      <c r="AH215" s="287"/>
      <c r="AI215" s="287"/>
      <c r="AJ215" s="287"/>
      <c r="AK215" s="287"/>
      <c r="AL215" s="287"/>
      <c r="AM215" s="287"/>
      <c r="AN215" s="287"/>
      <c r="AO215" s="287"/>
      <c r="AP215" s="287"/>
      <c r="AQ215" s="287"/>
      <c r="AR215" s="287"/>
      <c r="AS215" s="287"/>
      <c r="AT215" s="287"/>
      <c r="AU215" s="287"/>
      <c r="AV215" s="287"/>
      <c r="AW215" s="287"/>
      <c r="AX215" s="287"/>
      <c r="AY215" s="287"/>
      <c r="AZ215" s="287"/>
      <c r="BA215" s="287"/>
      <c r="BB215" s="287"/>
      <c r="BC215" s="287"/>
    </row>
    <row r="216" ht="15.75" customHeight="1">
      <c r="A216" s="287"/>
      <c r="B216" s="287"/>
      <c r="C216" s="287"/>
      <c r="D216" s="287"/>
      <c r="E216" s="287"/>
      <c r="F216" s="287"/>
      <c r="G216" s="287"/>
      <c r="H216" s="287"/>
      <c r="I216" s="287"/>
      <c r="J216" s="287"/>
      <c r="K216" s="287"/>
      <c r="L216" s="287"/>
      <c r="M216" s="287"/>
      <c r="N216" s="287"/>
      <c r="O216" s="287"/>
      <c r="P216" s="287"/>
      <c r="Q216" s="287"/>
      <c r="R216" s="287"/>
      <c r="S216" s="287"/>
      <c r="T216" s="287"/>
      <c r="U216" s="287"/>
      <c r="V216" s="287"/>
      <c r="W216" s="287"/>
      <c r="X216" s="287"/>
      <c r="Y216" s="287"/>
      <c r="Z216" s="287"/>
      <c r="AA216" s="287"/>
      <c r="AB216" s="287"/>
      <c r="AC216" s="287"/>
      <c r="AD216" s="287"/>
      <c r="AE216" s="287"/>
      <c r="AF216" s="287"/>
      <c r="AG216" s="287"/>
      <c r="AH216" s="287"/>
      <c r="AI216" s="287"/>
      <c r="AJ216" s="287"/>
      <c r="AK216" s="287"/>
      <c r="AL216" s="287"/>
      <c r="AM216" s="287"/>
      <c r="AN216" s="287"/>
      <c r="AO216" s="287"/>
      <c r="AP216" s="287"/>
      <c r="AQ216" s="287"/>
      <c r="AR216" s="287"/>
      <c r="AS216" s="287"/>
      <c r="AT216" s="287"/>
      <c r="AU216" s="287"/>
      <c r="AV216" s="287"/>
      <c r="AW216" s="287"/>
      <c r="AX216" s="287"/>
      <c r="AY216" s="287"/>
      <c r="AZ216" s="287"/>
      <c r="BA216" s="287"/>
      <c r="BB216" s="287"/>
      <c r="BC216" s="287"/>
    </row>
    <row r="217" ht="15.75" customHeight="1">
      <c r="A217" s="287"/>
      <c r="B217" s="287"/>
      <c r="C217" s="287"/>
      <c r="D217" s="287"/>
      <c r="E217" s="287"/>
      <c r="F217" s="287"/>
      <c r="G217" s="287"/>
      <c r="H217" s="287"/>
      <c r="I217" s="287"/>
      <c r="J217" s="287"/>
      <c r="K217" s="287"/>
      <c r="L217" s="287"/>
      <c r="M217" s="287"/>
      <c r="N217" s="287"/>
      <c r="O217" s="287"/>
      <c r="P217" s="287"/>
      <c r="Q217" s="287"/>
      <c r="R217" s="287"/>
      <c r="S217" s="287"/>
      <c r="T217" s="287"/>
      <c r="U217" s="287"/>
      <c r="V217" s="287"/>
      <c r="W217" s="287"/>
      <c r="X217" s="287"/>
      <c r="Y217" s="287"/>
      <c r="Z217" s="287"/>
      <c r="AA217" s="287"/>
      <c r="AB217" s="287"/>
      <c r="AC217" s="287"/>
      <c r="AD217" s="287"/>
      <c r="AE217" s="287"/>
      <c r="AF217" s="287"/>
      <c r="AG217" s="287"/>
      <c r="AH217" s="287"/>
      <c r="AI217" s="287"/>
      <c r="AJ217" s="287"/>
      <c r="AK217" s="287"/>
      <c r="AL217" s="287"/>
      <c r="AM217" s="287"/>
      <c r="AN217" s="287"/>
      <c r="AO217" s="287"/>
      <c r="AP217" s="287"/>
      <c r="AQ217" s="287"/>
      <c r="AR217" s="287"/>
      <c r="AS217" s="287"/>
      <c r="AT217" s="287"/>
      <c r="AU217" s="287"/>
      <c r="AV217" s="287"/>
      <c r="AW217" s="287"/>
      <c r="AX217" s="287"/>
      <c r="AY217" s="287"/>
      <c r="AZ217" s="287"/>
      <c r="BA217" s="287"/>
      <c r="BB217" s="287"/>
      <c r="BC217" s="287"/>
    </row>
    <row r="218" ht="15.75" customHeight="1">
      <c r="A218" s="287"/>
      <c r="B218" s="287"/>
      <c r="C218" s="287"/>
      <c r="D218" s="287"/>
      <c r="E218" s="287"/>
      <c r="F218" s="287"/>
      <c r="G218" s="287"/>
      <c r="H218" s="287"/>
      <c r="I218" s="287"/>
      <c r="J218" s="287"/>
      <c r="K218" s="287"/>
      <c r="L218" s="287"/>
      <c r="M218" s="287"/>
      <c r="N218" s="287"/>
      <c r="O218" s="287"/>
      <c r="P218" s="287"/>
      <c r="Q218" s="287"/>
      <c r="R218" s="287"/>
      <c r="S218" s="287"/>
      <c r="T218" s="287"/>
      <c r="U218" s="287"/>
      <c r="V218" s="287"/>
      <c r="W218" s="287"/>
      <c r="X218" s="287"/>
      <c r="Y218" s="287"/>
      <c r="Z218" s="287"/>
      <c r="AA218" s="287"/>
      <c r="AB218" s="287"/>
      <c r="AC218" s="287"/>
      <c r="AD218" s="287"/>
      <c r="AE218" s="287"/>
      <c r="AF218" s="287"/>
      <c r="AG218" s="287"/>
      <c r="AH218" s="287"/>
      <c r="AI218" s="287"/>
      <c r="AJ218" s="287"/>
      <c r="AK218" s="287"/>
      <c r="AL218" s="287"/>
      <c r="AM218" s="287"/>
      <c r="AN218" s="287"/>
      <c r="AO218" s="287"/>
      <c r="AP218" s="287"/>
      <c r="AQ218" s="287"/>
      <c r="AR218" s="287"/>
      <c r="AS218" s="287"/>
      <c r="AT218" s="287"/>
      <c r="AU218" s="287"/>
      <c r="AV218" s="287"/>
      <c r="AW218" s="287"/>
      <c r="AX218" s="287"/>
      <c r="AY218" s="287"/>
      <c r="AZ218" s="287"/>
      <c r="BA218" s="287"/>
      <c r="BB218" s="287"/>
      <c r="BC218" s="287"/>
    </row>
    <row r="219" ht="15.75" customHeight="1">
      <c r="A219" s="287"/>
      <c r="B219" s="287"/>
      <c r="C219" s="287"/>
      <c r="D219" s="287"/>
      <c r="E219" s="287"/>
      <c r="F219" s="287"/>
      <c r="G219" s="287"/>
      <c r="H219" s="287"/>
      <c r="I219" s="287"/>
      <c r="J219" s="287"/>
      <c r="K219" s="287"/>
      <c r="L219" s="287"/>
      <c r="M219" s="287"/>
      <c r="N219" s="287"/>
      <c r="O219" s="287"/>
      <c r="P219" s="287"/>
      <c r="Q219" s="287"/>
      <c r="R219" s="287"/>
      <c r="S219" s="287"/>
      <c r="T219" s="287"/>
      <c r="U219" s="287"/>
      <c r="V219" s="287"/>
      <c r="W219" s="287"/>
      <c r="X219" s="287"/>
      <c r="Y219" s="287"/>
      <c r="Z219" s="287"/>
      <c r="AA219" s="287"/>
      <c r="AB219" s="287"/>
      <c r="AC219" s="287"/>
      <c r="AD219" s="287"/>
      <c r="AE219" s="287"/>
      <c r="AF219" s="287"/>
      <c r="AG219" s="287"/>
      <c r="AH219" s="287"/>
      <c r="AI219" s="287"/>
      <c r="AJ219" s="287"/>
      <c r="AK219" s="287"/>
      <c r="AL219" s="287"/>
      <c r="AM219" s="287"/>
      <c r="AN219" s="287"/>
      <c r="AO219" s="287"/>
      <c r="AP219" s="287"/>
      <c r="AQ219" s="287"/>
      <c r="AR219" s="287"/>
      <c r="AS219" s="287"/>
      <c r="AT219" s="287"/>
      <c r="AU219" s="287"/>
      <c r="AV219" s="287"/>
      <c r="AW219" s="287"/>
      <c r="AX219" s="287"/>
      <c r="AY219" s="287"/>
      <c r="AZ219" s="287"/>
      <c r="BA219" s="287"/>
      <c r="BB219" s="287"/>
      <c r="BC219" s="287"/>
    </row>
    <row r="220" ht="15.75" customHeight="1">
      <c r="A220" s="287"/>
      <c r="B220" s="287"/>
      <c r="C220" s="287"/>
      <c r="D220" s="287"/>
      <c r="E220" s="287"/>
      <c r="F220" s="287"/>
      <c r="G220" s="287"/>
      <c r="H220" s="287"/>
      <c r="I220" s="287"/>
      <c r="J220" s="287"/>
      <c r="K220" s="287"/>
      <c r="L220" s="287"/>
      <c r="M220" s="287"/>
      <c r="N220" s="287"/>
      <c r="O220" s="287"/>
      <c r="P220" s="287"/>
      <c r="Q220" s="287"/>
      <c r="R220" s="287"/>
      <c r="S220" s="287"/>
      <c r="T220" s="287"/>
      <c r="U220" s="287"/>
      <c r="V220" s="287"/>
      <c r="W220" s="287"/>
      <c r="X220" s="287"/>
      <c r="Y220" s="287"/>
      <c r="Z220" s="287"/>
      <c r="AA220" s="287"/>
      <c r="AB220" s="287"/>
      <c r="AC220" s="287"/>
      <c r="AD220" s="287"/>
      <c r="AE220" s="287"/>
      <c r="AF220" s="287"/>
      <c r="AG220" s="287"/>
      <c r="AH220" s="287"/>
      <c r="AI220" s="287"/>
      <c r="AJ220" s="287"/>
      <c r="AK220" s="287"/>
      <c r="AL220" s="287"/>
      <c r="AM220" s="287"/>
      <c r="AN220" s="287"/>
      <c r="AO220" s="287"/>
      <c r="AP220" s="287"/>
      <c r="AQ220" s="287"/>
      <c r="AR220" s="287"/>
      <c r="AS220" s="287"/>
      <c r="AT220" s="287"/>
      <c r="AU220" s="287"/>
      <c r="AV220" s="287"/>
      <c r="AW220" s="287"/>
      <c r="AX220" s="287"/>
      <c r="AY220" s="287"/>
      <c r="AZ220" s="287"/>
      <c r="BA220" s="287"/>
      <c r="BB220" s="287"/>
      <c r="BC220" s="287"/>
    </row>
    <row r="221" ht="15.75" customHeight="1">
      <c r="A221" s="287"/>
      <c r="B221" s="287"/>
      <c r="C221" s="287"/>
      <c r="D221" s="287"/>
      <c r="E221" s="287"/>
      <c r="F221" s="287"/>
      <c r="G221" s="287"/>
      <c r="H221" s="287"/>
      <c r="I221" s="287"/>
      <c r="J221" s="287"/>
      <c r="K221" s="287"/>
      <c r="L221" s="287"/>
      <c r="M221" s="287"/>
      <c r="N221" s="287"/>
      <c r="O221" s="287"/>
      <c r="P221" s="287"/>
      <c r="Q221" s="287"/>
      <c r="R221" s="287"/>
      <c r="S221" s="287"/>
      <c r="T221" s="287"/>
      <c r="U221" s="287"/>
      <c r="V221" s="287"/>
      <c r="W221" s="287"/>
      <c r="X221" s="287"/>
      <c r="Y221" s="287"/>
      <c r="Z221" s="287"/>
      <c r="AA221" s="287"/>
      <c r="AB221" s="287"/>
      <c r="AC221" s="287"/>
      <c r="AD221" s="287"/>
      <c r="AE221" s="287"/>
      <c r="AF221" s="287"/>
      <c r="AG221" s="287"/>
      <c r="AH221" s="287"/>
      <c r="AI221" s="287"/>
      <c r="AJ221" s="287"/>
      <c r="AK221" s="287"/>
      <c r="AL221" s="287"/>
      <c r="AM221" s="287"/>
      <c r="AN221" s="287"/>
      <c r="AO221" s="287"/>
      <c r="AP221" s="287"/>
      <c r="AQ221" s="287"/>
      <c r="AR221" s="287"/>
      <c r="AS221" s="287"/>
      <c r="AT221" s="287"/>
      <c r="AU221" s="287"/>
      <c r="AV221" s="287"/>
      <c r="AW221" s="287"/>
      <c r="AX221" s="287"/>
      <c r="AY221" s="287"/>
      <c r="AZ221" s="287"/>
      <c r="BA221" s="287"/>
      <c r="BB221" s="287"/>
      <c r="BC221" s="287"/>
    </row>
    <row r="222" ht="15.75" customHeight="1">
      <c r="A222" s="287"/>
      <c r="B222" s="287"/>
      <c r="C222" s="287"/>
      <c r="D222" s="287"/>
      <c r="E222" s="287"/>
      <c r="F222" s="287"/>
      <c r="G222" s="287"/>
      <c r="H222" s="287"/>
      <c r="I222" s="287"/>
      <c r="J222" s="287"/>
      <c r="K222" s="287"/>
      <c r="L222" s="287"/>
      <c r="M222" s="287"/>
      <c r="N222" s="287"/>
      <c r="O222" s="287"/>
      <c r="P222" s="287"/>
      <c r="Q222" s="287"/>
      <c r="R222" s="287"/>
      <c r="S222" s="287"/>
      <c r="T222" s="287"/>
      <c r="U222" s="287"/>
      <c r="V222" s="287"/>
      <c r="W222" s="287"/>
      <c r="X222" s="287"/>
      <c r="Y222" s="287"/>
      <c r="Z222" s="287"/>
      <c r="AA222" s="287"/>
      <c r="AB222" s="287"/>
      <c r="AC222" s="287"/>
      <c r="AD222" s="287"/>
      <c r="AE222" s="287"/>
      <c r="AF222" s="287"/>
      <c r="AG222" s="287"/>
      <c r="AH222" s="287"/>
      <c r="AI222" s="287"/>
      <c r="AJ222" s="287"/>
      <c r="AK222" s="287"/>
      <c r="AL222" s="287"/>
      <c r="AM222" s="287"/>
      <c r="AN222" s="287"/>
      <c r="AO222" s="287"/>
      <c r="AP222" s="287"/>
      <c r="AQ222" s="287"/>
      <c r="AR222" s="287"/>
      <c r="AS222" s="287"/>
      <c r="AT222" s="287"/>
      <c r="AU222" s="287"/>
      <c r="AV222" s="287"/>
      <c r="AW222" s="287"/>
      <c r="AX222" s="287"/>
      <c r="AY222" s="287"/>
      <c r="AZ222" s="287"/>
      <c r="BA222" s="287"/>
      <c r="BB222" s="287"/>
      <c r="BC222" s="287"/>
    </row>
    <row r="223" ht="15.75" customHeight="1">
      <c r="A223" s="287"/>
      <c r="B223" s="287"/>
      <c r="C223" s="287"/>
      <c r="D223" s="287"/>
      <c r="E223" s="287"/>
      <c r="F223" s="287"/>
      <c r="G223" s="287"/>
      <c r="H223" s="287"/>
      <c r="I223" s="287"/>
      <c r="J223" s="287"/>
      <c r="K223" s="287"/>
      <c r="L223" s="287"/>
      <c r="M223" s="287"/>
      <c r="N223" s="287"/>
      <c r="O223" s="287"/>
      <c r="P223" s="287"/>
      <c r="Q223" s="287"/>
      <c r="R223" s="287"/>
      <c r="S223" s="287"/>
      <c r="T223" s="287"/>
      <c r="U223" s="287"/>
      <c r="V223" s="287"/>
      <c r="W223" s="287"/>
      <c r="X223" s="287"/>
      <c r="Y223" s="287"/>
      <c r="Z223" s="287"/>
      <c r="AA223" s="287"/>
      <c r="AB223" s="287"/>
      <c r="AC223" s="287"/>
      <c r="AD223" s="287"/>
      <c r="AE223" s="287"/>
      <c r="AF223" s="287"/>
      <c r="AG223" s="287"/>
      <c r="AH223" s="287"/>
      <c r="AI223" s="287"/>
      <c r="AJ223" s="287"/>
      <c r="AK223" s="287"/>
      <c r="AL223" s="287"/>
      <c r="AM223" s="287"/>
      <c r="AN223" s="287"/>
      <c r="AO223" s="287"/>
      <c r="AP223" s="287"/>
      <c r="AQ223" s="287"/>
      <c r="AR223" s="287"/>
      <c r="AS223" s="287"/>
      <c r="AT223" s="287"/>
      <c r="AU223" s="287"/>
      <c r="AV223" s="287"/>
      <c r="AW223" s="287"/>
      <c r="AX223" s="287"/>
      <c r="AY223" s="287"/>
      <c r="AZ223" s="287"/>
      <c r="BA223" s="287"/>
      <c r="BB223" s="287"/>
      <c r="BC223" s="287"/>
    </row>
    <row r="224" ht="15.75" customHeight="1">
      <c r="A224" s="287"/>
      <c r="B224" s="287"/>
      <c r="C224" s="287"/>
      <c r="D224" s="287"/>
      <c r="E224" s="287"/>
      <c r="F224" s="287"/>
      <c r="G224" s="287"/>
      <c r="H224" s="287"/>
      <c r="I224" s="287"/>
      <c r="J224" s="287"/>
      <c r="K224" s="287"/>
      <c r="L224" s="287"/>
      <c r="M224" s="287"/>
      <c r="N224" s="287"/>
      <c r="O224" s="287"/>
      <c r="P224" s="287"/>
      <c r="Q224" s="287"/>
      <c r="R224" s="287"/>
      <c r="S224" s="287"/>
      <c r="T224" s="287"/>
      <c r="U224" s="287"/>
      <c r="V224" s="287"/>
      <c r="W224" s="287"/>
      <c r="X224" s="287"/>
      <c r="Y224" s="287"/>
      <c r="Z224" s="287"/>
      <c r="AA224" s="287"/>
      <c r="AB224" s="287"/>
      <c r="AC224" s="287"/>
      <c r="AD224" s="287"/>
      <c r="AE224" s="287"/>
      <c r="AF224" s="287"/>
      <c r="AG224" s="287"/>
      <c r="AH224" s="287"/>
      <c r="AI224" s="287"/>
      <c r="AJ224" s="287"/>
      <c r="AK224" s="287"/>
      <c r="AL224" s="287"/>
      <c r="AM224" s="287"/>
      <c r="AN224" s="287"/>
      <c r="AO224" s="287"/>
      <c r="AP224" s="287"/>
      <c r="AQ224" s="287"/>
      <c r="AR224" s="287"/>
      <c r="AS224" s="287"/>
      <c r="AT224" s="287"/>
      <c r="AU224" s="287"/>
      <c r="AV224" s="287"/>
      <c r="AW224" s="287"/>
      <c r="AX224" s="287"/>
      <c r="AY224" s="287"/>
      <c r="AZ224" s="287"/>
      <c r="BA224" s="287"/>
      <c r="BB224" s="287"/>
      <c r="BC224" s="287"/>
    </row>
    <row r="225" ht="15.75" customHeight="1">
      <c r="A225" s="287"/>
      <c r="B225" s="287"/>
      <c r="C225" s="287"/>
      <c r="D225" s="287"/>
      <c r="E225" s="287"/>
      <c r="F225" s="287"/>
      <c r="G225" s="287"/>
      <c r="H225" s="287"/>
      <c r="I225" s="287"/>
      <c r="J225" s="287"/>
      <c r="K225" s="287"/>
      <c r="L225" s="287"/>
      <c r="M225" s="287"/>
      <c r="N225" s="287"/>
      <c r="O225" s="287"/>
      <c r="P225" s="287"/>
      <c r="Q225" s="287"/>
      <c r="R225" s="287"/>
      <c r="S225" s="287"/>
      <c r="T225" s="287"/>
      <c r="U225" s="287"/>
      <c r="V225" s="287"/>
      <c r="W225" s="287"/>
      <c r="X225" s="287"/>
      <c r="Y225" s="287"/>
      <c r="Z225" s="287"/>
      <c r="AA225" s="287"/>
      <c r="AB225" s="287"/>
      <c r="AC225" s="287"/>
      <c r="AD225" s="287"/>
      <c r="AE225" s="287"/>
      <c r="AF225" s="287"/>
      <c r="AG225" s="287"/>
      <c r="AH225" s="287"/>
      <c r="AI225" s="287"/>
      <c r="AJ225" s="287"/>
      <c r="AK225" s="287"/>
      <c r="AL225" s="287"/>
      <c r="AM225" s="287"/>
      <c r="AN225" s="287"/>
      <c r="AO225" s="287"/>
      <c r="AP225" s="287"/>
      <c r="AQ225" s="287"/>
      <c r="AR225" s="287"/>
      <c r="AS225" s="287"/>
      <c r="AT225" s="287"/>
      <c r="AU225" s="287"/>
      <c r="AV225" s="287"/>
      <c r="AW225" s="287"/>
      <c r="AX225" s="287"/>
      <c r="AY225" s="287"/>
      <c r="AZ225" s="287"/>
      <c r="BA225" s="287"/>
      <c r="BB225" s="287"/>
      <c r="BC225" s="287"/>
    </row>
    <row r="226" ht="15.75" customHeight="1">
      <c r="A226" s="287"/>
      <c r="B226" s="287"/>
      <c r="C226" s="287"/>
      <c r="D226" s="287"/>
      <c r="E226" s="287"/>
      <c r="F226" s="287"/>
      <c r="G226" s="287"/>
      <c r="H226" s="287"/>
      <c r="I226" s="287"/>
      <c r="J226" s="287"/>
      <c r="K226" s="287"/>
      <c r="L226" s="287"/>
      <c r="M226" s="287"/>
      <c r="N226" s="287"/>
      <c r="O226" s="287"/>
      <c r="P226" s="287"/>
      <c r="Q226" s="287"/>
      <c r="R226" s="287"/>
      <c r="S226" s="287"/>
      <c r="T226" s="287"/>
      <c r="U226" s="287"/>
      <c r="V226" s="287"/>
      <c r="W226" s="287"/>
      <c r="X226" s="287"/>
      <c r="Y226" s="287"/>
      <c r="Z226" s="287"/>
      <c r="AA226" s="287"/>
      <c r="AB226" s="287"/>
      <c r="AC226" s="287"/>
      <c r="AD226" s="287"/>
      <c r="AE226" s="287"/>
      <c r="AF226" s="287"/>
      <c r="AG226" s="287"/>
      <c r="AH226" s="287"/>
      <c r="AI226" s="287"/>
      <c r="AJ226" s="287"/>
      <c r="AK226" s="287"/>
      <c r="AL226" s="287"/>
      <c r="AM226" s="287"/>
      <c r="AN226" s="287"/>
      <c r="AO226" s="287"/>
      <c r="AP226" s="287"/>
      <c r="AQ226" s="287"/>
      <c r="AR226" s="287"/>
      <c r="AS226" s="287"/>
      <c r="AT226" s="287"/>
      <c r="AU226" s="287"/>
      <c r="AV226" s="287"/>
      <c r="AW226" s="287"/>
      <c r="AX226" s="287"/>
      <c r="AY226" s="287"/>
      <c r="AZ226" s="287"/>
      <c r="BA226" s="287"/>
      <c r="BB226" s="287"/>
      <c r="BC226" s="287"/>
    </row>
    <row r="227" ht="15.75" customHeight="1">
      <c r="A227" s="287"/>
      <c r="B227" s="287"/>
      <c r="C227" s="287"/>
      <c r="D227" s="287"/>
      <c r="E227" s="287"/>
      <c r="F227" s="287"/>
      <c r="G227" s="287"/>
      <c r="H227" s="287"/>
      <c r="I227" s="287"/>
      <c r="J227" s="287"/>
      <c r="K227" s="287"/>
      <c r="L227" s="287"/>
      <c r="M227" s="287"/>
      <c r="N227" s="287"/>
      <c r="O227" s="287"/>
      <c r="P227" s="287"/>
      <c r="Q227" s="287"/>
      <c r="R227" s="287"/>
      <c r="S227" s="287"/>
      <c r="T227" s="287"/>
      <c r="U227" s="287"/>
      <c r="V227" s="287"/>
      <c r="W227" s="287"/>
      <c r="X227" s="287"/>
      <c r="Y227" s="287"/>
      <c r="Z227" s="287"/>
      <c r="AA227" s="287"/>
      <c r="AB227" s="287"/>
      <c r="AC227" s="287"/>
      <c r="AD227" s="287"/>
      <c r="AE227" s="287"/>
      <c r="AF227" s="287"/>
      <c r="AG227" s="287"/>
      <c r="AH227" s="287"/>
      <c r="AI227" s="287"/>
      <c r="AJ227" s="287"/>
      <c r="AK227" s="287"/>
      <c r="AL227" s="287"/>
      <c r="AM227" s="287"/>
      <c r="AN227" s="287"/>
      <c r="AO227" s="287"/>
      <c r="AP227" s="287"/>
      <c r="AQ227" s="287"/>
      <c r="AR227" s="287"/>
      <c r="AS227" s="287"/>
      <c r="AT227" s="287"/>
      <c r="AU227" s="287"/>
      <c r="AV227" s="287"/>
      <c r="AW227" s="287"/>
      <c r="AX227" s="287"/>
      <c r="AY227" s="287"/>
      <c r="AZ227" s="287"/>
      <c r="BA227" s="287"/>
      <c r="BB227" s="287"/>
      <c r="BC227" s="287"/>
    </row>
    <row r="228" ht="15.75" customHeight="1">
      <c r="A228" s="287"/>
      <c r="B228" s="287"/>
      <c r="C228" s="287"/>
      <c r="D228" s="287"/>
      <c r="E228" s="287"/>
      <c r="F228" s="287"/>
      <c r="G228" s="287"/>
      <c r="H228" s="287"/>
      <c r="I228" s="287"/>
      <c r="J228" s="287"/>
      <c r="K228" s="287"/>
      <c r="L228" s="287"/>
      <c r="M228" s="287"/>
      <c r="N228" s="287"/>
      <c r="O228" s="287"/>
      <c r="P228" s="287"/>
      <c r="Q228" s="287"/>
      <c r="R228" s="287"/>
      <c r="S228" s="287"/>
      <c r="T228" s="287"/>
      <c r="U228" s="287"/>
      <c r="V228" s="287"/>
      <c r="W228" s="287"/>
      <c r="X228" s="287"/>
      <c r="Y228" s="287"/>
      <c r="Z228" s="287"/>
      <c r="AA228" s="287"/>
      <c r="AB228" s="287"/>
      <c r="AC228" s="287"/>
      <c r="AD228" s="287"/>
      <c r="AE228" s="287"/>
      <c r="AF228" s="287"/>
      <c r="AG228" s="287"/>
      <c r="AH228" s="287"/>
      <c r="AI228" s="287"/>
      <c r="AJ228" s="287"/>
      <c r="AK228" s="287"/>
      <c r="AL228" s="287"/>
      <c r="AM228" s="287"/>
      <c r="AN228" s="287"/>
      <c r="AO228" s="287"/>
      <c r="AP228" s="287"/>
      <c r="AQ228" s="287"/>
      <c r="AR228" s="287"/>
      <c r="AS228" s="287"/>
      <c r="AT228" s="287"/>
      <c r="AU228" s="287"/>
      <c r="AV228" s="287"/>
      <c r="AW228" s="287"/>
      <c r="AX228" s="287"/>
      <c r="AY228" s="287"/>
      <c r="AZ228" s="287"/>
      <c r="BA228" s="287"/>
      <c r="BB228" s="287"/>
      <c r="BC228" s="287"/>
    </row>
    <row r="229" ht="15.75" customHeight="1">
      <c r="A229" s="287"/>
      <c r="B229" s="287"/>
      <c r="C229" s="287"/>
      <c r="D229" s="287"/>
      <c r="E229" s="287"/>
      <c r="F229" s="287"/>
      <c r="G229" s="287"/>
      <c r="H229" s="287"/>
      <c r="I229" s="287"/>
      <c r="J229" s="287"/>
      <c r="K229" s="287"/>
      <c r="L229" s="287"/>
      <c r="M229" s="287"/>
      <c r="N229" s="287"/>
      <c r="O229" s="287"/>
      <c r="P229" s="287"/>
      <c r="Q229" s="287"/>
      <c r="R229" s="287"/>
      <c r="S229" s="287"/>
      <c r="T229" s="287"/>
      <c r="U229" s="287"/>
      <c r="V229" s="287"/>
      <c r="W229" s="287"/>
      <c r="X229" s="287"/>
      <c r="Y229" s="287"/>
      <c r="Z229" s="287"/>
      <c r="AA229" s="287"/>
      <c r="AB229" s="287"/>
      <c r="AC229" s="287"/>
      <c r="AD229" s="287"/>
      <c r="AE229" s="287"/>
      <c r="AF229" s="287"/>
      <c r="AG229" s="287"/>
      <c r="AH229" s="287"/>
      <c r="AI229" s="287"/>
      <c r="AJ229" s="287"/>
      <c r="AK229" s="287"/>
      <c r="AL229" s="287"/>
      <c r="AM229" s="287"/>
      <c r="AN229" s="287"/>
      <c r="AO229" s="287"/>
      <c r="AP229" s="287"/>
      <c r="AQ229" s="287"/>
      <c r="AR229" s="287"/>
      <c r="AS229" s="287"/>
      <c r="AT229" s="287"/>
      <c r="AU229" s="287"/>
      <c r="AV229" s="287"/>
      <c r="AW229" s="287"/>
      <c r="AX229" s="287"/>
      <c r="AY229" s="287"/>
      <c r="AZ229" s="287"/>
      <c r="BA229" s="287"/>
      <c r="BB229" s="287"/>
      <c r="BC229" s="287"/>
    </row>
    <row r="230" ht="15.75" customHeight="1">
      <c r="A230" s="287"/>
      <c r="B230" s="287"/>
      <c r="C230" s="287"/>
      <c r="D230" s="287"/>
      <c r="E230" s="287"/>
      <c r="F230" s="287"/>
      <c r="G230" s="287"/>
      <c r="H230" s="287"/>
      <c r="I230" s="287"/>
      <c r="J230" s="287"/>
      <c r="K230" s="287"/>
      <c r="L230" s="287"/>
      <c r="M230" s="287"/>
      <c r="N230" s="287"/>
      <c r="O230" s="287"/>
      <c r="P230" s="287"/>
      <c r="Q230" s="287"/>
      <c r="R230" s="287"/>
      <c r="S230" s="287"/>
      <c r="T230" s="287"/>
      <c r="U230" s="287"/>
      <c r="V230" s="287"/>
      <c r="W230" s="287"/>
      <c r="X230" s="287"/>
      <c r="Y230" s="287"/>
      <c r="Z230" s="287"/>
      <c r="AA230" s="287"/>
      <c r="AB230" s="287"/>
      <c r="AC230" s="287"/>
      <c r="AD230" s="287"/>
      <c r="AE230" s="287"/>
      <c r="AF230" s="287"/>
      <c r="AG230" s="287"/>
      <c r="AH230" s="287"/>
      <c r="AI230" s="287"/>
      <c r="AJ230" s="287"/>
      <c r="AK230" s="287"/>
      <c r="AL230" s="287"/>
      <c r="AM230" s="287"/>
      <c r="AN230" s="287"/>
      <c r="AO230" s="287"/>
      <c r="AP230" s="287"/>
      <c r="AQ230" s="287"/>
      <c r="AR230" s="287"/>
      <c r="AS230" s="287"/>
      <c r="AT230" s="287"/>
      <c r="AU230" s="287"/>
      <c r="AV230" s="287"/>
      <c r="AW230" s="287"/>
      <c r="AX230" s="287"/>
      <c r="AY230" s="287"/>
      <c r="AZ230" s="287"/>
      <c r="BA230" s="287"/>
      <c r="BB230" s="287"/>
      <c r="BC230" s="287"/>
    </row>
    <row r="231" ht="15.75" customHeight="1">
      <c r="A231" s="287"/>
      <c r="B231" s="287"/>
      <c r="C231" s="287"/>
      <c r="D231" s="287"/>
      <c r="E231" s="287"/>
      <c r="F231" s="287"/>
      <c r="G231" s="287"/>
      <c r="H231" s="287"/>
      <c r="I231" s="287"/>
      <c r="J231" s="287"/>
      <c r="K231" s="287"/>
      <c r="L231" s="287"/>
      <c r="M231" s="287"/>
      <c r="N231" s="287"/>
      <c r="O231" s="287"/>
      <c r="P231" s="287"/>
      <c r="Q231" s="287"/>
      <c r="R231" s="287"/>
      <c r="S231" s="287"/>
      <c r="T231" s="287"/>
      <c r="U231" s="287"/>
      <c r="V231" s="287"/>
      <c r="W231" s="287"/>
      <c r="X231" s="287"/>
      <c r="Y231" s="287"/>
      <c r="Z231" s="287"/>
      <c r="AA231" s="287"/>
      <c r="AB231" s="287"/>
      <c r="AC231" s="287"/>
      <c r="AD231" s="287"/>
      <c r="AE231" s="287"/>
      <c r="AF231" s="287"/>
      <c r="AG231" s="287"/>
      <c r="AH231" s="287"/>
      <c r="AI231" s="287"/>
      <c r="AJ231" s="287"/>
      <c r="AK231" s="287"/>
      <c r="AL231" s="287"/>
      <c r="AM231" s="287"/>
      <c r="AN231" s="287"/>
      <c r="AO231" s="287"/>
      <c r="AP231" s="287"/>
      <c r="AQ231" s="287"/>
      <c r="AR231" s="287"/>
      <c r="AS231" s="287"/>
      <c r="AT231" s="287"/>
      <c r="AU231" s="287"/>
      <c r="AV231" s="287"/>
      <c r="AW231" s="287"/>
      <c r="AX231" s="287"/>
      <c r="AY231" s="287"/>
      <c r="AZ231" s="287"/>
      <c r="BA231" s="287"/>
      <c r="BB231" s="287"/>
      <c r="BC231" s="287"/>
    </row>
    <row r="232" ht="15.75" customHeight="1">
      <c r="A232" s="287"/>
      <c r="B232" s="287"/>
      <c r="C232" s="287"/>
      <c r="D232" s="287"/>
      <c r="E232" s="287"/>
      <c r="F232" s="287"/>
      <c r="G232" s="287"/>
      <c r="H232" s="287"/>
      <c r="I232" s="287"/>
      <c r="J232" s="287"/>
      <c r="K232" s="287"/>
      <c r="L232" s="287"/>
      <c r="M232" s="287"/>
      <c r="N232" s="287"/>
      <c r="O232" s="287"/>
      <c r="P232" s="287"/>
      <c r="Q232" s="287"/>
      <c r="R232" s="287"/>
      <c r="S232" s="287"/>
      <c r="T232" s="287"/>
      <c r="U232" s="287"/>
      <c r="V232" s="287"/>
      <c r="W232" s="287"/>
      <c r="X232" s="287"/>
      <c r="Y232" s="287"/>
      <c r="Z232" s="287"/>
      <c r="AA232" s="287"/>
      <c r="AB232" s="287"/>
      <c r="AC232" s="287"/>
      <c r="AD232" s="287"/>
      <c r="AE232" s="287"/>
      <c r="AF232" s="287"/>
      <c r="AG232" s="287"/>
      <c r="AH232" s="287"/>
      <c r="AI232" s="287"/>
      <c r="AJ232" s="287"/>
      <c r="AK232" s="287"/>
      <c r="AL232" s="287"/>
      <c r="AM232" s="287"/>
      <c r="AN232" s="287"/>
      <c r="AO232" s="287"/>
      <c r="AP232" s="287"/>
      <c r="AQ232" s="287"/>
      <c r="AR232" s="287"/>
      <c r="AS232" s="287"/>
      <c r="AT232" s="287"/>
      <c r="AU232" s="287"/>
      <c r="AV232" s="287"/>
      <c r="AW232" s="287"/>
      <c r="AX232" s="287"/>
      <c r="AY232" s="287"/>
      <c r="AZ232" s="287"/>
      <c r="BA232" s="287"/>
      <c r="BB232" s="287"/>
      <c r="BC232" s="287"/>
    </row>
    <row r="233" ht="15.75" customHeight="1">
      <c r="A233" s="287"/>
      <c r="B233" s="287"/>
      <c r="C233" s="287"/>
      <c r="D233" s="287"/>
      <c r="E233" s="287"/>
      <c r="F233" s="287"/>
      <c r="G233" s="287"/>
      <c r="H233" s="287"/>
      <c r="I233" s="287"/>
      <c r="J233" s="287"/>
      <c r="K233" s="287"/>
      <c r="L233" s="287"/>
      <c r="M233" s="287"/>
      <c r="N233" s="287"/>
      <c r="O233" s="287"/>
      <c r="P233" s="287"/>
      <c r="Q233" s="287"/>
      <c r="R233" s="287"/>
      <c r="S233" s="287"/>
      <c r="T233" s="287"/>
      <c r="U233" s="287"/>
      <c r="V233" s="287"/>
      <c r="W233" s="287"/>
      <c r="X233" s="287"/>
      <c r="Y233" s="287"/>
      <c r="Z233" s="287"/>
      <c r="AA233" s="287"/>
      <c r="AB233" s="287"/>
      <c r="AC233" s="287"/>
      <c r="AD233" s="287"/>
      <c r="AE233" s="287"/>
      <c r="AF233" s="287"/>
      <c r="AG233" s="287"/>
      <c r="AH233" s="287"/>
      <c r="AI233" s="287"/>
      <c r="AJ233" s="287"/>
      <c r="AK233" s="287"/>
      <c r="AL233" s="287"/>
      <c r="AM233" s="287"/>
      <c r="AN233" s="287"/>
      <c r="AO233" s="287"/>
      <c r="AP233" s="287"/>
      <c r="AQ233" s="287"/>
      <c r="AR233" s="287"/>
      <c r="AS233" s="287"/>
      <c r="AT233" s="287"/>
      <c r="AU233" s="287"/>
      <c r="AV233" s="287"/>
      <c r="AW233" s="287"/>
      <c r="AX233" s="287"/>
      <c r="AY233" s="287"/>
      <c r="AZ233" s="287"/>
      <c r="BA233" s="287"/>
      <c r="BB233" s="287"/>
      <c r="BC233" s="287"/>
    </row>
    <row r="234" ht="15.75" customHeight="1">
      <c r="A234" s="287"/>
      <c r="B234" s="287"/>
      <c r="C234" s="287"/>
      <c r="D234" s="287"/>
      <c r="E234" s="287"/>
      <c r="F234" s="287"/>
      <c r="G234" s="287"/>
      <c r="H234" s="287"/>
      <c r="I234" s="287"/>
      <c r="J234" s="287"/>
      <c r="K234" s="287"/>
      <c r="L234" s="287"/>
      <c r="M234" s="287"/>
      <c r="N234" s="287"/>
      <c r="O234" s="287"/>
      <c r="P234" s="287"/>
      <c r="Q234" s="287"/>
      <c r="R234" s="287"/>
      <c r="S234" s="287"/>
      <c r="T234" s="287"/>
      <c r="U234" s="287"/>
      <c r="V234" s="287"/>
      <c r="W234" s="287"/>
      <c r="X234" s="287"/>
      <c r="Y234" s="287"/>
      <c r="Z234" s="287"/>
      <c r="AA234" s="287"/>
      <c r="AB234" s="287"/>
      <c r="AC234" s="287"/>
      <c r="AD234" s="287"/>
      <c r="AE234" s="287"/>
      <c r="AF234" s="287"/>
      <c r="AG234" s="287"/>
      <c r="AH234" s="287"/>
      <c r="AI234" s="287"/>
      <c r="AJ234" s="287"/>
      <c r="AK234" s="287"/>
      <c r="AL234" s="287"/>
      <c r="AM234" s="287"/>
      <c r="AN234" s="287"/>
      <c r="AO234" s="287"/>
      <c r="AP234" s="287"/>
      <c r="AQ234" s="287"/>
      <c r="AR234" s="287"/>
      <c r="AS234" s="287"/>
      <c r="AT234" s="287"/>
      <c r="AU234" s="287"/>
      <c r="AV234" s="287"/>
      <c r="AW234" s="287"/>
      <c r="AX234" s="287"/>
      <c r="AY234" s="287"/>
      <c r="AZ234" s="287"/>
      <c r="BA234" s="287"/>
      <c r="BB234" s="287"/>
      <c r="BC234" s="287"/>
    </row>
    <row r="235" ht="15.75" customHeight="1">
      <c r="A235" s="287"/>
      <c r="B235" s="287"/>
      <c r="C235" s="287"/>
      <c r="D235" s="287"/>
      <c r="E235" s="287"/>
      <c r="F235" s="287"/>
      <c r="G235" s="287"/>
      <c r="H235" s="287"/>
      <c r="I235" s="287"/>
      <c r="J235" s="287"/>
      <c r="K235" s="287"/>
      <c r="L235" s="287"/>
      <c r="M235" s="287"/>
      <c r="N235" s="287"/>
      <c r="O235" s="287"/>
      <c r="P235" s="287"/>
      <c r="Q235" s="287"/>
      <c r="R235" s="287"/>
      <c r="S235" s="287"/>
      <c r="T235" s="287"/>
      <c r="U235" s="287"/>
      <c r="V235" s="287"/>
      <c r="W235" s="287"/>
      <c r="X235" s="287"/>
      <c r="Y235" s="287"/>
      <c r="Z235" s="287"/>
      <c r="AA235" s="287"/>
      <c r="AB235" s="287"/>
      <c r="AC235" s="287"/>
      <c r="AD235" s="287"/>
      <c r="AE235" s="287"/>
      <c r="AF235" s="287"/>
      <c r="AG235" s="287"/>
      <c r="AH235" s="287"/>
      <c r="AI235" s="287"/>
      <c r="AJ235" s="287"/>
      <c r="AK235" s="287"/>
      <c r="AL235" s="287"/>
      <c r="AM235" s="287"/>
      <c r="AN235" s="287"/>
      <c r="AO235" s="287"/>
      <c r="AP235" s="287"/>
      <c r="AQ235" s="287"/>
      <c r="AR235" s="287"/>
      <c r="AS235" s="287"/>
      <c r="AT235" s="287"/>
      <c r="AU235" s="287"/>
      <c r="AV235" s="287"/>
      <c r="AW235" s="287"/>
      <c r="AX235" s="287"/>
      <c r="AY235" s="287"/>
      <c r="AZ235" s="287"/>
      <c r="BA235" s="287"/>
      <c r="BB235" s="287"/>
      <c r="BC235" s="287"/>
    </row>
    <row r="236" ht="15.75" customHeight="1">
      <c r="A236" s="287"/>
      <c r="B236" s="287"/>
      <c r="C236" s="287"/>
      <c r="D236" s="287"/>
      <c r="E236" s="287"/>
      <c r="F236" s="287"/>
      <c r="G236" s="287"/>
      <c r="H236" s="287"/>
      <c r="I236" s="287"/>
      <c r="J236" s="287"/>
      <c r="K236" s="287"/>
      <c r="L236" s="287"/>
      <c r="M236" s="287"/>
      <c r="N236" s="287"/>
      <c r="O236" s="287"/>
      <c r="P236" s="287"/>
      <c r="Q236" s="287"/>
      <c r="R236" s="287"/>
      <c r="S236" s="287"/>
      <c r="T236" s="287"/>
      <c r="U236" s="287"/>
      <c r="V236" s="287"/>
      <c r="W236" s="287"/>
      <c r="X236" s="287"/>
      <c r="Y236" s="287"/>
      <c r="Z236" s="287"/>
      <c r="AA236" s="287"/>
      <c r="AB236" s="287"/>
      <c r="AC236" s="287"/>
      <c r="AD236" s="287"/>
      <c r="AE236" s="287"/>
      <c r="AF236" s="287"/>
      <c r="AG236" s="287"/>
      <c r="AH236" s="287"/>
      <c r="AI236" s="287"/>
      <c r="AJ236" s="287"/>
      <c r="AK236" s="287"/>
      <c r="AL236" s="287"/>
      <c r="AM236" s="287"/>
      <c r="AN236" s="287"/>
      <c r="AO236" s="287"/>
      <c r="AP236" s="287"/>
      <c r="AQ236" s="287"/>
      <c r="AR236" s="287"/>
      <c r="AS236" s="287"/>
      <c r="AT236" s="287"/>
      <c r="AU236" s="287"/>
      <c r="AV236" s="287"/>
      <c r="AW236" s="287"/>
      <c r="AX236" s="287"/>
      <c r="AY236" s="287"/>
      <c r="AZ236" s="287"/>
      <c r="BA236" s="287"/>
      <c r="BB236" s="287"/>
      <c r="BC236" s="287"/>
    </row>
    <row r="237" ht="15.75" customHeight="1">
      <c r="A237" s="287"/>
      <c r="B237" s="287"/>
      <c r="C237" s="287"/>
      <c r="D237" s="287"/>
      <c r="E237" s="287"/>
      <c r="F237" s="287"/>
      <c r="G237" s="287"/>
      <c r="H237" s="287"/>
      <c r="I237" s="287"/>
      <c r="J237" s="287"/>
      <c r="K237" s="287"/>
      <c r="L237" s="287"/>
      <c r="M237" s="287"/>
      <c r="N237" s="287"/>
      <c r="O237" s="287"/>
      <c r="P237" s="287"/>
      <c r="Q237" s="287"/>
      <c r="R237" s="287"/>
      <c r="S237" s="287"/>
      <c r="T237" s="287"/>
      <c r="U237" s="287"/>
      <c r="V237" s="287"/>
      <c r="W237" s="287"/>
      <c r="X237" s="287"/>
      <c r="Y237" s="287"/>
      <c r="Z237" s="287"/>
      <c r="AA237" s="287"/>
      <c r="AB237" s="287"/>
      <c r="AC237" s="287"/>
      <c r="AD237" s="287"/>
      <c r="AE237" s="287"/>
      <c r="AF237" s="287"/>
      <c r="AG237" s="287"/>
      <c r="AH237" s="287"/>
      <c r="AI237" s="287"/>
      <c r="AJ237" s="287"/>
      <c r="AK237" s="287"/>
      <c r="AL237" s="287"/>
      <c r="AM237" s="287"/>
      <c r="AN237" s="287"/>
      <c r="AO237" s="287"/>
      <c r="AP237" s="287"/>
      <c r="AQ237" s="287"/>
      <c r="AR237" s="287"/>
      <c r="AS237" s="287"/>
      <c r="AT237" s="287"/>
      <c r="AU237" s="287"/>
      <c r="AV237" s="287"/>
      <c r="AW237" s="287"/>
      <c r="AX237" s="287"/>
      <c r="AY237" s="287"/>
      <c r="AZ237" s="287"/>
      <c r="BA237" s="287"/>
      <c r="BB237" s="287"/>
      <c r="BC237" s="287"/>
    </row>
    <row r="238" ht="15.75" customHeight="1">
      <c r="A238" s="287"/>
      <c r="B238" s="287"/>
      <c r="C238" s="287"/>
      <c r="D238" s="287"/>
      <c r="E238" s="287"/>
      <c r="F238" s="287"/>
      <c r="G238" s="287"/>
      <c r="H238" s="287"/>
      <c r="I238" s="287"/>
      <c r="J238" s="287"/>
      <c r="K238" s="287"/>
      <c r="L238" s="287"/>
      <c r="M238" s="287"/>
      <c r="N238" s="287"/>
      <c r="O238" s="287"/>
      <c r="P238" s="287"/>
      <c r="Q238" s="287"/>
      <c r="R238" s="287"/>
      <c r="S238" s="287"/>
      <c r="T238" s="287"/>
      <c r="U238" s="287"/>
      <c r="V238" s="287"/>
      <c r="W238" s="287"/>
      <c r="X238" s="287"/>
      <c r="Y238" s="287"/>
      <c r="Z238" s="287"/>
      <c r="AA238" s="287"/>
      <c r="AB238" s="287"/>
      <c r="AC238" s="287"/>
      <c r="AD238" s="287"/>
      <c r="AE238" s="287"/>
      <c r="AF238" s="287"/>
      <c r="AG238" s="287"/>
      <c r="AH238" s="287"/>
      <c r="AI238" s="287"/>
      <c r="AJ238" s="287"/>
      <c r="AK238" s="287"/>
      <c r="AL238" s="287"/>
      <c r="AM238" s="287"/>
      <c r="AN238" s="287"/>
      <c r="AO238" s="287"/>
      <c r="AP238" s="287"/>
      <c r="AQ238" s="287"/>
      <c r="AR238" s="287"/>
      <c r="AS238" s="287"/>
      <c r="AT238" s="287"/>
      <c r="AU238" s="287"/>
      <c r="AV238" s="287"/>
      <c r="AW238" s="287"/>
      <c r="AX238" s="287"/>
      <c r="AY238" s="287"/>
      <c r="AZ238" s="287"/>
      <c r="BA238" s="287"/>
      <c r="BB238" s="287"/>
      <c r="BC238" s="287"/>
    </row>
    <row r="239" ht="15.75" customHeight="1">
      <c r="A239" s="287"/>
      <c r="B239" s="287"/>
      <c r="C239" s="287"/>
      <c r="D239" s="287"/>
      <c r="E239" s="287"/>
      <c r="F239" s="287"/>
      <c r="G239" s="287"/>
      <c r="H239" s="287"/>
      <c r="I239" s="287"/>
      <c r="J239" s="287"/>
      <c r="K239" s="287"/>
      <c r="L239" s="287"/>
      <c r="M239" s="287"/>
      <c r="N239" s="287"/>
      <c r="O239" s="287"/>
      <c r="P239" s="287"/>
      <c r="Q239" s="287"/>
      <c r="R239" s="287"/>
      <c r="S239" s="287"/>
      <c r="T239" s="287"/>
      <c r="U239" s="287"/>
      <c r="V239" s="287"/>
      <c r="W239" s="287"/>
      <c r="X239" s="287"/>
      <c r="Y239" s="287"/>
      <c r="Z239" s="287"/>
      <c r="AA239" s="287"/>
      <c r="AB239" s="287"/>
      <c r="AC239" s="287"/>
      <c r="AD239" s="287"/>
      <c r="AE239" s="287"/>
      <c r="AF239" s="287"/>
      <c r="AG239" s="287"/>
      <c r="AH239" s="287"/>
      <c r="AI239" s="287"/>
      <c r="AJ239" s="287"/>
      <c r="AK239" s="287"/>
      <c r="AL239" s="287"/>
      <c r="AM239" s="287"/>
      <c r="AN239" s="287"/>
      <c r="AO239" s="287"/>
      <c r="AP239" s="287"/>
      <c r="AQ239" s="287"/>
      <c r="AR239" s="287"/>
      <c r="AS239" s="287"/>
      <c r="AT239" s="287"/>
      <c r="AU239" s="287"/>
      <c r="AV239" s="287"/>
      <c r="AW239" s="287"/>
      <c r="AX239" s="287"/>
      <c r="AY239" s="287"/>
      <c r="AZ239" s="287"/>
      <c r="BA239" s="287"/>
      <c r="BB239" s="287"/>
      <c r="BC239" s="287"/>
    </row>
    <row r="240" ht="15.75" customHeight="1">
      <c r="A240" s="287"/>
      <c r="B240" s="287"/>
      <c r="C240" s="287"/>
      <c r="D240" s="287"/>
      <c r="E240" s="287"/>
      <c r="F240" s="287"/>
      <c r="G240" s="287"/>
      <c r="H240" s="287"/>
      <c r="I240" s="287"/>
      <c r="J240" s="287"/>
      <c r="K240" s="287"/>
      <c r="L240" s="287"/>
      <c r="M240" s="287"/>
      <c r="N240" s="287"/>
      <c r="O240" s="287"/>
      <c r="P240" s="287"/>
      <c r="Q240" s="287"/>
      <c r="R240" s="287"/>
      <c r="S240" s="287"/>
      <c r="T240" s="287"/>
      <c r="U240" s="287"/>
      <c r="V240" s="287"/>
      <c r="W240" s="287"/>
      <c r="X240" s="287"/>
      <c r="Y240" s="287"/>
      <c r="Z240" s="287"/>
      <c r="AA240" s="287"/>
      <c r="AB240" s="287"/>
      <c r="AC240" s="287"/>
      <c r="AD240" s="287"/>
      <c r="AE240" s="287"/>
      <c r="AF240" s="287"/>
      <c r="AG240" s="287"/>
      <c r="AH240" s="287"/>
      <c r="AI240" s="287"/>
      <c r="AJ240" s="287"/>
      <c r="AK240" s="287"/>
      <c r="AL240" s="287"/>
      <c r="AM240" s="287"/>
      <c r="AN240" s="287"/>
      <c r="AO240" s="287"/>
      <c r="AP240" s="287"/>
      <c r="AQ240" s="287"/>
      <c r="AR240" s="287"/>
      <c r="AS240" s="287"/>
      <c r="AT240" s="287"/>
      <c r="AU240" s="287"/>
      <c r="AV240" s="287"/>
      <c r="AW240" s="287"/>
      <c r="AX240" s="287"/>
      <c r="AY240" s="287"/>
      <c r="AZ240" s="287"/>
      <c r="BA240" s="287"/>
      <c r="BB240" s="287"/>
      <c r="BC240" s="287"/>
    </row>
    <row r="241" ht="15.75" customHeight="1">
      <c r="A241" s="287"/>
      <c r="B241" s="287"/>
      <c r="C241" s="287"/>
      <c r="D241" s="287"/>
      <c r="E241" s="287"/>
      <c r="F241" s="287"/>
      <c r="G241" s="287"/>
      <c r="H241" s="287"/>
      <c r="I241" s="287"/>
      <c r="J241" s="287"/>
      <c r="K241" s="287"/>
      <c r="L241" s="287"/>
      <c r="M241" s="287"/>
      <c r="N241" s="287"/>
      <c r="O241" s="287"/>
      <c r="P241" s="287"/>
      <c r="Q241" s="287"/>
      <c r="R241" s="287"/>
      <c r="S241" s="287"/>
      <c r="T241" s="287"/>
      <c r="U241" s="287"/>
      <c r="V241" s="287"/>
      <c r="W241" s="287"/>
      <c r="X241" s="287"/>
      <c r="Y241" s="287"/>
      <c r="Z241" s="287"/>
      <c r="AA241" s="287"/>
      <c r="AB241" s="287"/>
      <c r="AC241" s="287"/>
      <c r="AD241" s="287"/>
      <c r="AE241" s="287"/>
      <c r="AF241" s="287"/>
      <c r="AG241" s="287"/>
      <c r="AH241" s="287"/>
      <c r="AI241" s="287"/>
      <c r="AJ241" s="287"/>
      <c r="AK241" s="287"/>
      <c r="AL241" s="287"/>
      <c r="AM241" s="287"/>
      <c r="AN241" s="287"/>
      <c r="AO241" s="287"/>
      <c r="AP241" s="287"/>
      <c r="AQ241" s="287"/>
      <c r="AR241" s="287"/>
      <c r="AS241" s="287"/>
      <c r="AT241" s="287"/>
      <c r="AU241" s="287"/>
      <c r="AV241" s="287"/>
      <c r="AW241" s="287"/>
      <c r="AX241" s="287"/>
      <c r="AY241" s="287"/>
      <c r="AZ241" s="287"/>
      <c r="BA241" s="287"/>
      <c r="BB241" s="287"/>
      <c r="BC241" s="287"/>
    </row>
    <row r="242" ht="15.75" customHeight="1">
      <c r="A242" s="287"/>
      <c r="B242" s="287"/>
      <c r="C242" s="287"/>
      <c r="D242" s="287"/>
      <c r="E242" s="287"/>
      <c r="F242" s="287"/>
      <c r="G242" s="287"/>
      <c r="H242" s="287"/>
      <c r="I242" s="287"/>
      <c r="J242" s="287"/>
      <c r="K242" s="287"/>
      <c r="L242" s="287"/>
      <c r="M242" s="287"/>
      <c r="N242" s="287"/>
      <c r="O242" s="287"/>
      <c r="P242" s="287"/>
      <c r="Q242" s="287"/>
      <c r="R242" s="287"/>
      <c r="S242" s="287"/>
      <c r="T242" s="287"/>
      <c r="U242" s="287"/>
      <c r="V242" s="287"/>
      <c r="W242" s="287"/>
      <c r="X242" s="287"/>
      <c r="Y242" s="287"/>
      <c r="Z242" s="287"/>
      <c r="AA242" s="287"/>
      <c r="AB242" s="287"/>
      <c r="AC242" s="287"/>
      <c r="AD242" s="287"/>
      <c r="AE242" s="287"/>
      <c r="AF242" s="287"/>
      <c r="AG242" s="287"/>
      <c r="AH242" s="287"/>
      <c r="AI242" s="287"/>
      <c r="AJ242" s="287"/>
      <c r="AK242" s="287"/>
      <c r="AL242" s="287"/>
      <c r="AM242" s="287"/>
      <c r="AN242" s="287"/>
      <c r="AO242" s="287"/>
      <c r="AP242" s="287"/>
      <c r="AQ242" s="287"/>
      <c r="AR242" s="287"/>
      <c r="AS242" s="287"/>
      <c r="AT242" s="287"/>
      <c r="AU242" s="287"/>
      <c r="AV242" s="287"/>
      <c r="AW242" s="287"/>
      <c r="AX242" s="287"/>
      <c r="AY242" s="287"/>
      <c r="AZ242" s="287"/>
      <c r="BA242" s="287"/>
      <c r="BB242" s="287"/>
      <c r="BC242" s="287"/>
    </row>
    <row r="243" ht="15.75" customHeight="1">
      <c r="A243" s="287"/>
      <c r="B243" s="287"/>
      <c r="C243" s="287"/>
      <c r="D243" s="287"/>
      <c r="E243" s="287"/>
      <c r="F243" s="287"/>
      <c r="G243" s="287"/>
      <c r="H243" s="287"/>
      <c r="I243" s="287"/>
      <c r="J243" s="287"/>
      <c r="K243" s="287"/>
      <c r="L243" s="287"/>
      <c r="M243" s="287"/>
      <c r="N243" s="287"/>
      <c r="O243" s="287"/>
      <c r="P243" s="287"/>
      <c r="Q243" s="287"/>
      <c r="R243" s="287"/>
      <c r="S243" s="287"/>
      <c r="T243" s="287"/>
      <c r="U243" s="287"/>
      <c r="V243" s="287"/>
      <c r="W243" s="287"/>
      <c r="X243" s="287"/>
      <c r="Y243" s="287"/>
      <c r="Z243" s="287"/>
      <c r="AA243" s="287"/>
      <c r="AB243" s="287"/>
      <c r="AC243" s="287"/>
      <c r="AD243" s="287"/>
      <c r="AE243" s="287"/>
      <c r="AF243" s="287"/>
      <c r="AG243" s="287"/>
      <c r="AH243" s="287"/>
      <c r="AI243" s="287"/>
      <c r="AJ243" s="287"/>
      <c r="AK243" s="287"/>
      <c r="AL243" s="287"/>
      <c r="AM243" s="287"/>
      <c r="AN243" s="287"/>
      <c r="AO243" s="287"/>
      <c r="AP243" s="287"/>
      <c r="AQ243" s="287"/>
      <c r="AR243" s="287"/>
      <c r="AS243" s="287"/>
      <c r="AT243" s="287"/>
      <c r="AU243" s="287"/>
      <c r="AV243" s="287"/>
      <c r="AW243" s="287"/>
      <c r="AX243" s="287"/>
      <c r="AY243" s="287"/>
      <c r="AZ243" s="287"/>
      <c r="BA243" s="287"/>
      <c r="BB243" s="287"/>
      <c r="BC243" s="287"/>
    </row>
    <row r="244" ht="15.75" customHeight="1">
      <c r="A244" s="287"/>
      <c r="B244" s="287"/>
      <c r="C244" s="287"/>
      <c r="D244" s="287"/>
      <c r="E244" s="287"/>
      <c r="F244" s="287"/>
      <c r="G244" s="287"/>
      <c r="H244" s="287"/>
      <c r="I244" s="287"/>
      <c r="J244" s="287"/>
      <c r="K244" s="287"/>
      <c r="L244" s="287"/>
      <c r="M244" s="287"/>
      <c r="N244" s="287"/>
      <c r="O244" s="287"/>
      <c r="P244" s="287"/>
      <c r="Q244" s="287"/>
      <c r="R244" s="287"/>
      <c r="S244" s="287"/>
      <c r="T244" s="287"/>
      <c r="U244" s="287"/>
      <c r="V244" s="287"/>
      <c r="W244" s="287"/>
      <c r="X244" s="287"/>
      <c r="Y244" s="287"/>
      <c r="Z244" s="287"/>
      <c r="AA244" s="287"/>
      <c r="AB244" s="287"/>
      <c r="AC244" s="287"/>
      <c r="AD244" s="287"/>
      <c r="AE244" s="287"/>
      <c r="AF244" s="287"/>
      <c r="AG244" s="287"/>
      <c r="AH244" s="287"/>
      <c r="AI244" s="287"/>
      <c r="AJ244" s="287"/>
      <c r="AK244" s="287"/>
      <c r="AL244" s="287"/>
      <c r="AM244" s="287"/>
      <c r="AN244" s="287"/>
      <c r="AO244" s="287"/>
      <c r="AP244" s="287"/>
      <c r="AQ244" s="287"/>
      <c r="AR244" s="287"/>
      <c r="AS244" s="287"/>
      <c r="AT244" s="287"/>
      <c r="AU244" s="287"/>
      <c r="AV244" s="287"/>
      <c r="AW244" s="287"/>
      <c r="AX244" s="287"/>
      <c r="AY244" s="287"/>
      <c r="AZ244" s="287"/>
      <c r="BA244" s="287"/>
      <c r="BB244" s="287"/>
      <c r="BC244" s="287"/>
    </row>
    <row r="245" ht="15.75" customHeight="1">
      <c r="A245" s="287"/>
      <c r="B245" s="287"/>
      <c r="C245" s="287"/>
      <c r="D245" s="287"/>
      <c r="E245" s="287"/>
      <c r="F245" s="287"/>
      <c r="G245" s="287"/>
      <c r="H245" s="287"/>
      <c r="I245" s="287"/>
      <c r="J245" s="287"/>
      <c r="K245" s="287"/>
      <c r="L245" s="287"/>
      <c r="M245" s="287"/>
      <c r="N245" s="287"/>
      <c r="O245" s="287"/>
      <c r="P245" s="287"/>
      <c r="Q245" s="287"/>
      <c r="R245" s="287"/>
      <c r="S245" s="287"/>
      <c r="T245" s="287"/>
      <c r="U245" s="287"/>
      <c r="V245" s="287"/>
      <c r="W245" s="287"/>
      <c r="X245" s="287"/>
      <c r="Y245" s="287"/>
      <c r="Z245" s="287"/>
      <c r="AA245" s="287"/>
      <c r="AB245" s="287"/>
      <c r="AC245" s="287"/>
      <c r="AD245" s="287"/>
      <c r="AE245" s="287"/>
      <c r="AF245" s="287"/>
      <c r="AG245" s="287"/>
      <c r="AH245" s="287"/>
      <c r="AI245" s="287"/>
      <c r="AJ245" s="287"/>
      <c r="AK245" s="287"/>
      <c r="AL245" s="287"/>
      <c r="AM245" s="287"/>
      <c r="AN245" s="287"/>
      <c r="AO245" s="287"/>
      <c r="AP245" s="287"/>
      <c r="AQ245" s="287"/>
      <c r="AR245" s="287"/>
      <c r="AS245" s="287"/>
      <c r="AT245" s="287"/>
      <c r="AU245" s="287"/>
      <c r="AV245" s="287"/>
      <c r="AW245" s="287"/>
      <c r="AX245" s="287"/>
      <c r="AY245" s="287"/>
      <c r="AZ245" s="287"/>
      <c r="BA245" s="287"/>
      <c r="BB245" s="287"/>
      <c r="BC245" s="287"/>
    </row>
    <row r="246" ht="15.75" customHeight="1">
      <c r="A246" s="287"/>
      <c r="B246" s="287"/>
      <c r="C246" s="287"/>
      <c r="D246" s="287"/>
      <c r="E246" s="287"/>
      <c r="F246" s="287"/>
      <c r="G246" s="287"/>
      <c r="H246" s="287"/>
      <c r="I246" s="287"/>
      <c r="J246" s="287"/>
      <c r="K246" s="287"/>
      <c r="L246" s="287"/>
      <c r="M246" s="287"/>
      <c r="N246" s="287"/>
      <c r="O246" s="287"/>
      <c r="P246" s="287"/>
      <c r="Q246" s="287"/>
      <c r="R246" s="287"/>
      <c r="S246" s="287"/>
      <c r="T246" s="287"/>
      <c r="U246" s="287"/>
      <c r="V246" s="287"/>
      <c r="W246" s="287"/>
      <c r="X246" s="287"/>
      <c r="Y246" s="287"/>
      <c r="Z246" s="287"/>
      <c r="AA246" s="287"/>
      <c r="AB246" s="287"/>
      <c r="AC246" s="287"/>
      <c r="AD246" s="287"/>
      <c r="AE246" s="287"/>
      <c r="AF246" s="287"/>
      <c r="AG246" s="287"/>
      <c r="AH246" s="287"/>
      <c r="AI246" s="287"/>
      <c r="AJ246" s="287"/>
      <c r="AK246" s="287"/>
      <c r="AL246" s="287"/>
      <c r="AM246" s="287"/>
      <c r="AN246" s="287"/>
      <c r="AO246" s="287"/>
      <c r="AP246" s="287"/>
      <c r="AQ246" s="287"/>
      <c r="AR246" s="287"/>
      <c r="AS246" s="287"/>
      <c r="AT246" s="287"/>
      <c r="AU246" s="287"/>
      <c r="AV246" s="287"/>
      <c r="AW246" s="287"/>
      <c r="AX246" s="287"/>
      <c r="AY246" s="287"/>
      <c r="AZ246" s="287"/>
      <c r="BA246" s="287"/>
      <c r="BB246" s="287"/>
      <c r="BC246" s="287"/>
    </row>
    <row r="247" ht="15.75" customHeight="1">
      <c r="A247" s="287"/>
      <c r="B247" s="287"/>
      <c r="C247" s="287"/>
      <c r="D247" s="287"/>
      <c r="E247" s="287"/>
      <c r="F247" s="287"/>
      <c r="G247" s="287"/>
      <c r="H247" s="287"/>
      <c r="I247" s="287"/>
      <c r="J247" s="287"/>
      <c r="K247" s="287"/>
      <c r="L247" s="287"/>
      <c r="M247" s="287"/>
      <c r="N247" s="287"/>
      <c r="O247" s="287"/>
      <c r="P247" s="287"/>
      <c r="Q247" s="287"/>
      <c r="R247" s="287"/>
      <c r="S247" s="287"/>
      <c r="T247" s="287"/>
      <c r="U247" s="287"/>
      <c r="V247" s="287"/>
      <c r="W247" s="287"/>
      <c r="X247" s="287"/>
      <c r="Y247" s="287"/>
      <c r="Z247" s="287"/>
      <c r="AA247" s="287"/>
      <c r="AB247" s="287"/>
      <c r="AC247" s="287"/>
      <c r="AD247" s="287"/>
      <c r="AE247" s="287"/>
      <c r="AF247" s="287"/>
      <c r="AG247" s="287"/>
      <c r="AH247" s="287"/>
      <c r="AI247" s="287"/>
      <c r="AJ247" s="287"/>
      <c r="AK247" s="287"/>
      <c r="AL247" s="287"/>
      <c r="AM247" s="287"/>
      <c r="AN247" s="287"/>
      <c r="AO247" s="287"/>
      <c r="AP247" s="287"/>
      <c r="AQ247" s="287"/>
      <c r="AR247" s="287"/>
      <c r="AS247" s="287"/>
      <c r="AT247" s="287"/>
      <c r="AU247" s="287"/>
      <c r="AV247" s="287"/>
      <c r="AW247" s="287"/>
      <c r="AX247" s="287"/>
      <c r="AY247" s="287"/>
      <c r="AZ247" s="287"/>
      <c r="BA247" s="287"/>
      <c r="BB247" s="287"/>
      <c r="BC247" s="287"/>
    </row>
    <row r="248" ht="15.75" customHeight="1">
      <c r="A248" s="287"/>
      <c r="B248" s="287"/>
      <c r="C248" s="287"/>
      <c r="D248" s="287"/>
      <c r="E248" s="287"/>
      <c r="F248" s="287"/>
      <c r="G248" s="287"/>
      <c r="H248" s="287"/>
      <c r="I248" s="287"/>
      <c r="J248" s="287"/>
      <c r="K248" s="287"/>
      <c r="L248" s="287"/>
      <c r="M248" s="287"/>
      <c r="N248" s="287"/>
      <c r="O248" s="287"/>
      <c r="P248" s="287"/>
      <c r="Q248" s="287"/>
      <c r="R248" s="287"/>
      <c r="S248" s="287"/>
      <c r="T248" s="287"/>
      <c r="U248" s="287"/>
      <c r="V248" s="287"/>
      <c r="W248" s="287"/>
      <c r="X248" s="287"/>
      <c r="Y248" s="287"/>
      <c r="Z248" s="287"/>
      <c r="AA248" s="287"/>
      <c r="AB248" s="287"/>
      <c r="AC248" s="287"/>
      <c r="AD248" s="287"/>
      <c r="AE248" s="287"/>
      <c r="AF248" s="287"/>
      <c r="AG248" s="287"/>
      <c r="AH248" s="287"/>
      <c r="AI248" s="287"/>
      <c r="AJ248" s="287"/>
      <c r="AK248" s="287"/>
      <c r="AL248" s="287"/>
      <c r="AM248" s="287"/>
      <c r="AN248" s="287"/>
      <c r="AO248" s="287"/>
      <c r="AP248" s="287"/>
      <c r="AQ248" s="287"/>
      <c r="AR248" s="287"/>
      <c r="AS248" s="287"/>
      <c r="AT248" s="287"/>
      <c r="AU248" s="287"/>
      <c r="AV248" s="287"/>
      <c r="AW248" s="287"/>
      <c r="AX248" s="287"/>
      <c r="AY248" s="287"/>
      <c r="AZ248" s="287"/>
      <c r="BA248" s="287"/>
      <c r="BB248" s="287"/>
      <c r="BC248" s="287"/>
    </row>
    <row r="249" ht="15.75" customHeight="1">
      <c r="A249" s="287"/>
      <c r="B249" s="287"/>
      <c r="C249" s="287"/>
      <c r="D249" s="287"/>
      <c r="E249" s="287"/>
      <c r="F249" s="287"/>
      <c r="G249" s="287"/>
      <c r="H249" s="287"/>
      <c r="I249" s="287"/>
      <c r="J249" s="287"/>
      <c r="K249" s="287"/>
      <c r="L249" s="287"/>
      <c r="M249" s="287"/>
      <c r="N249" s="287"/>
      <c r="O249" s="287"/>
      <c r="P249" s="287"/>
      <c r="Q249" s="287"/>
      <c r="R249" s="287"/>
      <c r="S249" s="287"/>
      <c r="T249" s="287"/>
      <c r="U249" s="287"/>
      <c r="V249" s="287"/>
      <c r="W249" s="287"/>
      <c r="X249" s="287"/>
      <c r="Y249" s="287"/>
      <c r="Z249" s="287"/>
      <c r="AA249" s="287"/>
      <c r="AB249" s="287"/>
      <c r="AC249" s="287"/>
      <c r="AD249" s="287"/>
      <c r="AE249" s="287"/>
      <c r="AF249" s="287"/>
      <c r="AG249" s="287"/>
      <c r="AH249" s="287"/>
      <c r="AI249" s="287"/>
      <c r="AJ249" s="287"/>
      <c r="AK249" s="287"/>
      <c r="AL249" s="287"/>
      <c r="AM249" s="287"/>
      <c r="AN249" s="287"/>
      <c r="AO249" s="287"/>
      <c r="AP249" s="287"/>
      <c r="AQ249" s="287"/>
      <c r="AR249" s="287"/>
      <c r="AS249" s="287"/>
      <c r="AT249" s="287"/>
      <c r="AU249" s="287"/>
      <c r="AV249" s="287"/>
      <c r="AW249" s="287"/>
      <c r="AX249" s="287"/>
      <c r="AY249" s="287"/>
      <c r="AZ249" s="287"/>
      <c r="BA249" s="287"/>
      <c r="BB249" s="287"/>
      <c r="BC249" s="287"/>
    </row>
    <row r="250" ht="15.75" customHeight="1">
      <c r="A250" s="287"/>
      <c r="B250" s="287"/>
      <c r="C250" s="287"/>
      <c r="D250" s="287"/>
      <c r="E250" s="287"/>
      <c r="F250" s="287"/>
      <c r="G250" s="287"/>
      <c r="H250" s="287"/>
      <c r="I250" s="287"/>
      <c r="J250" s="287"/>
      <c r="K250" s="287"/>
      <c r="L250" s="287"/>
      <c r="M250" s="287"/>
      <c r="N250" s="287"/>
      <c r="O250" s="287"/>
      <c r="P250" s="287"/>
      <c r="Q250" s="287"/>
      <c r="R250" s="287"/>
      <c r="S250" s="287"/>
      <c r="T250" s="287"/>
      <c r="U250" s="287"/>
      <c r="V250" s="287"/>
      <c r="W250" s="287"/>
      <c r="X250" s="287"/>
      <c r="Y250" s="287"/>
      <c r="Z250" s="287"/>
      <c r="AA250" s="287"/>
      <c r="AB250" s="287"/>
      <c r="AC250" s="287"/>
      <c r="AD250" s="287"/>
      <c r="AE250" s="287"/>
      <c r="AF250" s="287"/>
      <c r="AG250" s="287"/>
      <c r="AH250" s="287"/>
      <c r="AI250" s="287"/>
      <c r="AJ250" s="287"/>
      <c r="AK250" s="287"/>
      <c r="AL250" s="287"/>
      <c r="AM250" s="287"/>
      <c r="AN250" s="287"/>
      <c r="AO250" s="287"/>
      <c r="AP250" s="287"/>
      <c r="AQ250" s="287"/>
      <c r="AR250" s="287"/>
      <c r="AS250" s="287"/>
      <c r="AT250" s="287"/>
      <c r="AU250" s="287"/>
      <c r="AV250" s="287"/>
      <c r="AW250" s="287"/>
      <c r="AX250" s="287"/>
      <c r="AY250" s="287"/>
      <c r="AZ250" s="287"/>
      <c r="BA250" s="287"/>
      <c r="BB250" s="287"/>
      <c r="BC250" s="287"/>
    </row>
    <row r="251" ht="15.75" customHeight="1">
      <c r="A251" s="287"/>
      <c r="B251" s="287"/>
      <c r="C251" s="287"/>
      <c r="D251" s="287"/>
      <c r="E251" s="287"/>
      <c r="F251" s="287"/>
      <c r="G251" s="287"/>
      <c r="H251" s="287"/>
      <c r="I251" s="287"/>
      <c r="J251" s="287"/>
      <c r="K251" s="287"/>
      <c r="L251" s="287"/>
      <c r="M251" s="287"/>
      <c r="N251" s="287"/>
      <c r="O251" s="287"/>
      <c r="P251" s="287"/>
      <c r="Q251" s="287"/>
      <c r="R251" s="287"/>
      <c r="S251" s="287"/>
      <c r="T251" s="287"/>
      <c r="U251" s="287"/>
      <c r="V251" s="287"/>
      <c r="W251" s="287"/>
      <c r="X251" s="287"/>
      <c r="Y251" s="287"/>
      <c r="Z251" s="287"/>
      <c r="AA251" s="287"/>
      <c r="AB251" s="287"/>
      <c r="AC251" s="287"/>
      <c r="AD251" s="287"/>
      <c r="AE251" s="287"/>
      <c r="AF251" s="287"/>
      <c r="AG251" s="287"/>
      <c r="AH251" s="287"/>
      <c r="AI251" s="287"/>
      <c r="AJ251" s="287"/>
      <c r="AK251" s="287"/>
      <c r="AL251" s="287"/>
      <c r="AM251" s="287"/>
      <c r="AN251" s="287"/>
      <c r="AO251" s="287"/>
      <c r="AP251" s="287"/>
      <c r="AQ251" s="287"/>
      <c r="AR251" s="287"/>
      <c r="AS251" s="287"/>
      <c r="AT251" s="287"/>
      <c r="AU251" s="287"/>
      <c r="AV251" s="287"/>
      <c r="AW251" s="287"/>
      <c r="AX251" s="287"/>
      <c r="AY251" s="287"/>
      <c r="AZ251" s="287"/>
      <c r="BA251" s="287"/>
      <c r="BB251" s="287"/>
      <c r="BC251" s="287"/>
    </row>
    <row r="252" ht="15.75" customHeight="1">
      <c r="A252" s="287"/>
      <c r="B252" s="287"/>
      <c r="C252" s="287"/>
      <c r="D252" s="287"/>
      <c r="E252" s="287"/>
      <c r="F252" s="287"/>
      <c r="G252" s="287"/>
      <c r="H252" s="287"/>
      <c r="I252" s="287"/>
      <c r="J252" s="287"/>
      <c r="K252" s="287"/>
      <c r="L252" s="287"/>
      <c r="M252" s="287"/>
      <c r="N252" s="287"/>
      <c r="O252" s="287"/>
      <c r="P252" s="287"/>
      <c r="Q252" s="287"/>
      <c r="R252" s="287"/>
      <c r="S252" s="287"/>
      <c r="T252" s="287"/>
      <c r="U252" s="287"/>
      <c r="V252" s="287"/>
      <c r="W252" s="287"/>
      <c r="X252" s="287"/>
      <c r="Y252" s="287"/>
      <c r="Z252" s="287"/>
      <c r="AA252" s="287"/>
      <c r="AB252" s="287"/>
      <c r="AC252" s="287"/>
      <c r="AD252" s="287"/>
      <c r="AE252" s="287"/>
      <c r="AF252" s="287"/>
      <c r="AG252" s="287"/>
      <c r="AH252" s="287"/>
      <c r="AI252" s="287"/>
      <c r="AJ252" s="287"/>
      <c r="AK252" s="287"/>
      <c r="AL252" s="287"/>
      <c r="AM252" s="287"/>
      <c r="AN252" s="287"/>
      <c r="AO252" s="287"/>
      <c r="AP252" s="287"/>
      <c r="AQ252" s="287"/>
      <c r="AR252" s="287"/>
      <c r="AS252" s="287"/>
      <c r="AT252" s="287"/>
      <c r="AU252" s="287"/>
      <c r="AV252" s="287"/>
      <c r="AW252" s="287"/>
      <c r="AX252" s="287"/>
      <c r="AY252" s="287"/>
      <c r="AZ252" s="287"/>
      <c r="BA252" s="287"/>
      <c r="BB252" s="287"/>
      <c r="BC252" s="287"/>
    </row>
    <row r="253" ht="15.75" customHeight="1">
      <c r="A253" s="287"/>
      <c r="B253" s="287"/>
      <c r="C253" s="287"/>
      <c r="D253" s="287"/>
      <c r="E253" s="287"/>
      <c r="F253" s="287"/>
      <c r="G253" s="287"/>
      <c r="H253" s="287"/>
      <c r="I253" s="287"/>
      <c r="J253" s="287"/>
      <c r="K253" s="287"/>
      <c r="L253" s="287"/>
      <c r="M253" s="287"/>
      <c r="N253" s="287"/>
      <c r="O253" s="287"/>
      <c r="P253" s="287"/>
      <c r="Q253" s="287"/>
      <c r="R253" s="287"/>
      <c r="S253" s="287"/>
      <c r="T253" s="287"/>
      <c r="U253" s="287"/>
      <c r="V253" s="287"/>
      <c r="W253" s="287"/>
      <c r="X253" s="287"/>
      <c r="Y253" s="287"/>
      <c r="Z253" s="287"/>
      <c r="AA253" s="287"/>
      <c r="AB253" s="287"/>
      <c r="AC253" s="287"/>
      <c r="AD253" s="287"/>
      <c r="AE253" s="287"/>
      <c r="AF253" s="287"/>
      <c r="AG253" s="287"/>
      <c r="AH253" s="287"/>
      <c r="AI253" s="287"/>
      <c r="AJ253" s="287"/>
      <c r="AK253" s="287"/>
      <c r="AL253" s="287"/>
      <c r="AM253" s="287"/>
      <c r="AN253" s="287"/>
      <c r="AO253" s="287"/>
      <c r="AP253" s="287"/>
      <c r="AQ253" s="287"/>
      <c r="AR253" s="287"/>
      <c r="AS253" s="287"/>
      <c r="AT253" s="287"/>
      <c r="AU253" s="287"/>
      <c r="AV253" s="287"/>
      <c r="AW253" s="287"/>
      <c r="AX253" s="287"/>
      <c r="AY253" s="287"/>
      <c r="AZ253" s="287"/>
      <c r="BA253" s="287"/>
      <c r="BB253" s="287"/>
      <c r="BC253" s="287"/>
    </row>
    <row r="254" ht="15.75" customHeight="1">
      <c r="A254" s="287"/>
      <c r="B254" s="287"/>
      <c r="C254" s="287"/>
      <c r="D254" s="287"/>
      <c r="E254" s="287"/>
      <c r="F254" s="287"/>
      <c r="G254" s="287"/>
      <c r="H254" s="287"/>
      <c r="I254" s="287"/>
      <c r="J254" s="287"/>
      <c r="K254" s="287"/>
      <c r="L254" s="287"/>
      <c r="M254" s="287"/>
      <c r="N254" s="287"/>
      <c r="O254" s="287"/>
      <c r="P254" s="287"/>
      <c r="Q254" s="287"/>
      <c r="R254" s="287"/>
      <c r="S254" s="287"/>
      <c r="T254" s="287"/>
      <c r="U254" s="287"/>
      <c r="V254" s="287"/>
      <c r="W254" s="287"/>
      <c r="X254" s="287"/>
      <c r="Y254" s="287"/>
      <c r="Z254" s="287"/>
      <c r="AA254" s="287"/>
      <c r="AB254" s="287"/>
      <c r="AC254" s="287"/>
      <c r="AD254" s="287"/>
      <c r="AE254" s="287"/>
      <c r="AF254" s="287"/>
      <c r="AG254" s="287"/>
      <c r="AH254" s="287"/>
      <c r="AI254" s="287"/>
      <c r="AJ254" s="287"/>
      <c r="AK254" s="287"/>
      <c r="AL254" s="287"/>
      <c r="AM254" s="287"/>
      <c r="AN254" s="287"/>
      <c r="AO254" s="287"/>
      <c r="AP254" s="287"/>
      <c r="AQ254" s="287"/>
      <c r="AR254" s="287"/>
      <c r="AS254" s="287"/>
      <c r="AT254" s="287"/>
      <c r="AU254" s="287"/>
      <c r="AV254" s="287"/>
      <c r="AW254" s="287"/>
      <c r="AX254" s="287"/>
      <c r="AY254" s="287"/>
      <c r="AZ254" s="287"/>
      <c r="BA254" s="287"/>
      <c r="BB254" s="287"/>
      <c r="BC254" s="287"/>
    </row>
    <row r="255" ht="15.75" customHeight="1">
      <c r="A255" s="287"/>
      <c r="B255" s="287"/>
      <c r="C255" s="287"/>
      <c r="D255" s="287"/>
      <c r="E255" s="287"/>
      <c r="F255" s="287"/>
      <c r="G255" s="287"/>
      <c r="H255" s="287"/>
      <c r="I255" s="287"/>
      <c r="J255" s="287"/>
      <c r="K255" s="287"/>
      <c r="L255" s="287"/>
      <c r="M255" s="287"/>
      <c r="N255" s="287"/>
      <c r="O255" s="287"/>
      <c r="P255" s="287"/>
      <c r="Q255" s="287"/>
      <c r="R255" s="287"/>
      <c r="S255" s="287"/>
      <c r="T255" s="287"/>
      <c r="U255" s="287"/>
      <c r="V255" s="287"/>
      <c r="W255" s="287"/>
      <c r="X255" s="287"/>
      <c r="Y255" s="287"/>
      <c r="Z255" s="287"/>
      <c r="AA255" s="287"/>
      <c r="AB255" s="287"/>
      <c r="AC255" s="287"/>
      <c r="AD255" s="287"/>
      <c r="AE255" s="287"/>
      <c r="AF255" s="287"/>
      <c r="AG255" s="287"/>
      <c r="AH255" s="287"/>
      <c r="AI255" s="287"/>
      <c r="AJ255" s="287"/>
      <c r="AK255" s="287"/>
      <c r="AL255" s="287"/>
      <c r="AM255" s="287"/>
      <c r="AN255" s="287"/>
      <c r="AO255" s="287"/>
      <c r="AP255" s="287"/>
      <c r="AQ255" s="287"/>
      <c r="AR255" s="287"/>
      <c r="AS255" s="287"/>
      <c r="AT255" s="287"/>
      <c r="AU255" s="287"/>
      <c r="AV255" s="287"/>
      <c r="AW255" s="287"/>
      <c r="AX255" s="287"/>
      <c r="AY255" s="287"/>
      <c r="AZ255" s="287"/>
      <c r="BA255" s="287"/>
      <c r="BB255" s="287"/>
      <c r="BC255" s="287"/>
    </row>
    <row r="256" ht="15.75" customHeight="1">
      <c r="A256" s="287"/>
      <c r="B256" s="287"/>
      <c r="C256" s="287"/>
      <c r="D256" s="287"/>
      <c r="E256" s="287"/>
      <c r="F256" s="287"/>
      <c r="G256" s="287"/>
      <c r="H256" s="287"/>
      <c r="I256" s="287"/>
      <c r="J256" s="287"/>
      <c r="K256" s="287"/>
      <c r="L256" s="287"/>
      <c r="M256" s="287"/>
      <c r="N256" s="287"/>
      <c r="O256" s="287"/>
      <c r="P256" s="287"/>
      <c r="Q256" s="287"/>
      <c r="R256" s="287"/>
      <c r="S256" s="287"/>
      <c r="T256" s="287"/>
      <c r="U256" s="287"/>
      <c r="V256" s="287"/>
      <c r="W256" s="287"/>
      <c r="X256" s="287"/>
      <c r="Y256" s="287"/>
      <c r="Z256" s="287"/>
      <c r="AA256" s="287"/>
      <c r="AB256" s="287"/>
      <c r="AC256" s="287"/>
      <c r="AD256" s="287"/>
      <c r="AE256" s="287"/>
      <c r="AF256" s="287"/>
      <c r="AG256" s="287"/>
      <c r="AH256" s="287"/>
      <c r="AI256" s="287"/>
      <c r="AJ256" s="287"/>
      <c r="AK256" s="287"/>
      <c r="AL256" s="287"/>
      <c r="AM256" s="287"/>
      <c r="AN256" s="287"/>
      <c r="AO256" s="287"/>
      <c r="AP256" s="287"/>
      <c r="AQ256" s="287"/>
      <c r="AR256" s="287"/>
      <c r="AS256" s="287"/>
      <c r="AT256" s="287"/>
      <c r="AU256" s="287"/>
      <c r="AV256" s="287"/>
      <c r="AW256" s="287"/>
      <c r="AX256" s="287"/>
      <c r="AY256" s="287"/>
      <c r="AZ256" s="287"/>
      <c r="BA256" s="287"/>
      <c r="BB256" s="287"/>
      <c r="BC256" s="287"/>
    </row>
    <row r="257" ht="15.75" customHeight="1">
      <c r="A257" s="287"/>
      <c r="B257" s="287"/>
      <c r="C257" s="287"/>
      <c r="D257" s="287"/>
      <c r="E257" s="287"/>
      <c r="F257" s="287"/>
      <c r="G257" s="287"/>
      <c r="H257" s="287"/>
      <c r="I257" s="287"/>
      <c r="J257" s="287"/>
      <c r="K257" s="287"/>
      <c r="L257" s="287"/>
      <c r="M257" s="287"/>
      <c r="N257" s="287"/>
      <c r="O257" s="287"/>
      <c r="P257" s="287"/>
      <c r="Q257" s="287"/>
      <c r="R257" s="287"/>
      <c r="S257" s="287"/>
      <c r="T257" s="287"/>
      <c r="U257" s="287"/>
      <c r="V257" s="287"/>
      <c r="W257" s="287"/>
      <c r="X257" s="287"/>
      <c r="Y257" s="287"/>
      <c r="Z257" s="287"/>
      <c r="AA257" s="287"/>
      <c r="AB257" s="287"/>
      <c r="AC257" s="287"/>
      <c r="AD257" s="287"/>
      <c r="AE257" s="287"/>
      <c r="AF257" s="287"/>
      <c r="AG257" s="287"/>
      <c r="AH257" s="287"/>
      <c r="AI257" s="287"/>
      <c r="AJ257" s="287"/>
      <c r="AK257" s="287"/>
      <c r="AL257" s="287"/>
      <c r="AM257" s="287"/>
      <c r="AN257" s="287"/>
      <c r="AO257" s="287"/>
      <c r="AP257" s="287"/>
      <c r="AQ257" s="287"/>
      <c r="AR257" s="287"/>
      <c r="AS257" s="287"/>
      <c r="AT257" s="287"/>
      <c r="AU257" s="287"/>
      <c r="AV257" s="287"/>
      <c r="AW257" s="287"/>
      <c r="AX257" s="287"/>
      <c r="AY257" s="287"/>
      <c r="AZ257" s="287"/>
      <c r="BA257" s="287"/>
      <c r="BB257" s="287"/>
      <c r="BC257" s="287"/>
    </row>
    <row r="258" ht="15.75" customHeight="1">
      <c r="A258" s="287"/>
      <c r="B258" s="287"/>
      <c r="C258" s="287"/>
      <c r="D258" s="287"/>
      <c r="E258" s="287"/>
      <c r="F258" s="287"/>
      <c r="G258" s="287"/>
      <c r="H258" s="287"/>
      <c r="I258" s="287"/>
      <c r="J258" s="287"/>
      <c r="K258" s="287"/>
      <c r="L258" s="287"/>
      <c r="M258" s="287"/>
      <c r="N258" s="287"/>
      <c r="O258" s="287"/>
      <c r="P258" s="287"/>
      <c r="Q258" s="287"/>
      <c r="R258" s="287"/>
      <c r="S258" s="287"/>
      <c r="T258" s="287"/>
      <c r="U258" s="287"/>
      <c r="V258" s="287"/>
      <c r="W258" s="287"/>
      <c r="X258" s="287"/>
      <c r="Y258" s="287"/>
      <c r="Z258" s="287"/>
      <c r="AA258" s="287"/>
      <c r="AB258" s="287"/>
      <c r="AC258" s="287"/>
      <c r="AD258" s="287"/>
      <c r="AE258" s="287"/>
      <c r="AF258" s="287"/>
      <c r="AG258" s="287"/>
      <c r="AH258" s="287"/>
      <c r="AI258" s="287"/>
      <c r="AJ258" s="287"/>
      <c r="AK258" s="287"/>
      <c r="AL258" s="287"/>
      <c r="AM258" s="287"/>
      <c r="AN258" s="287"/>
      <c r="AO258" s="287"/>
      <c r="AP258" s="287"/>
      <c r="AQ258" s="287"/>
      <c r="AR258" s="287"/>
      <c r="AS258" s="287"/>
      <c r="AT258" s="287"/>
      <c r="AU258" s="287"/>
      <c r="AV258" s="287"/>
      <c r="AW258" s="287"/>
      <c r="AX258" s="287"/>
      <c r="AY258" s="287"/>
      <c r="AZ258" s="287"/>
      <c r="BA258" s="287"/>
      <c r="BB258" s="287"/>
      <c r="BC258" s="287"/>
    </row>
    <row r="259" ht="15.75" customHeight="1">
      <c r="A259" s="287"/>
      <c r="B259" s="287"/>
      <c r="C259" s="287"/>
      <c r="D259" s="287"/>
      <c r="E259" s="287"/>
      <c r="F259" s="287"/>
      <c r="G259" s="287"/>
      <c r="H259" s="287"/>
      <c r="I259" s="287"/>
      <c r="J259" s="287"/>
      <c r="K259" s="287"/>
      <c r="L259" s="287"/>
      <c r="M259" s="287"/>
      <c r="N259" s="287"/>
      <c r="O259" s="287"/>
      <c r="P259" s="287"/>
      <c r="Q259" s="287"/>
      <c r="R259" s="287"/>
      <c r="S259" s="287"/>
      <c r="T259" s="287"/>
      <c r="U259" s="287"/>
      <c r="V259" s="287"/>
      <c r="W259" s="287"/>
      <c r="X259" s="287"/>
      <c r="Y259" s="287"/>
      <c r="Z259" s="287"/>
      <c r="AA259" s="287"/>
      <c r="AB259" s="287"/>
      <c r="AC259" s="287"/>
      <c r="AD259" s="287"/>
      <c r="AE259" s="287"/>
      <c r="AF259" s="287"/>
      <c r="AG259" s="287"/>
      <c r="AH259" s="287"/>
      <c r="AI259" s="287"/>
      <c r="AJ259" s="287"/>
      <c r="AK259" s="287"/>
      <c r="AL259" s="287"/>
      <c r="AM259" s="287"/>
      <c r="AN259" s="287"/>
      <c r="AO259" s="287"/>
      <c r="AP259" s="287"/>
      <c r="AQ259" s="287"/>
      <c r="AR259" s="287"/>
      <c r="AS259" s="287"/>
      <c r="AT259" s="287"/>
      <c r="AU259" s="287"/>
      <c r="AV259" s="287"/>
      <c r="AW259" s="287"/>
      <c r="AX259" s="287"/>
      <c r="AY259" s="287"/>
      <c r="AZ259" s="287"/>
      <c r="BA259" s="287"/>
      <c r="BB259" s="287"/>
      <c r="BC259" s="287"/>
    </row>
    <row r="260" ht="15.75" customHeight="1">
      <c r="A260" s="287"/>
      <c r="B260" s="287"/>
      <c r="C260" s="287"/>
      <c r="D260" s="287"/>
      <c r="E260" s="287"/>
      <c r="F260" s="287"/>
      <c r="G260" s="287"/>
      <c r="H260" s="287"/>
      <c r="I260" s="287"/>
      <c r="J260" s="287"/>
      <c r="K260" s="287"/>
      <c r="L260" s="287"/>
      <c r="M260" s="287"/>
      <c r="N260" s="287"/>
      <c r="O260" s="287"/>
      <c r="P260" s="287"/>
      <c r="Q260" s="287"/>
      <c r="R260" s="287"/>
      <c r="S260" s="287"/>
      <c r="T260" s="287"/>
      <c r="U260" s="287"/>
      <c r="V260" s="287"/>
      <c r="W260" s="287"/>
      <c r="X260" s="287"/>
      <c r="Y260" s="287"/>
      <c r="Z260" s="287"/>
      <c r="AA260" s="287"/>
      <c r="AB260" s="287"/>
      <c r="AC260" s="287"/>
      <c r="AD260" s="287"/>
      <c r="AE260" s="287"/>
      <c r="AF260" s="287"/>
      <c r="AG260" s="287"/>
      <c r="AH260" s="287"/>
      <c r="AI260" s="287"/>
      <c r="AJ260" s="287"/>
      <c r="AK260" s="287"/>
      <c r="AL260" s="287"/>
      <c r="AM260" s="287"/>
      <c r="AN260" s="287"/>
      <c r="AO260" s="287"/>
      <c r="AP260" s="287"/>
      <c r="AQ260" s="287"/>
      <c r="AR260" s="287"/>
      <c r="AS260" s="287"/>
      <c r="AT260" s="287"/>
      <c r="AU260" s="287"/>
      <c r="AV260" s="287"/>
      <c r="AW260" s="287"/>
      <c r="AX260" s="287"/>
      <c r="AY260" s="287"/>
      <c r="AZ260" s="287"/>
      <c r="BA260" s="287"/>
      <c r="BB260" s="287"/>
      <c r="BC260" s="287"/>
    </row>
    <row r="261" ht="15.75" customHeight="1">
      <c r="A261" s="287"/>
      <c r="B261" s="287"/>
      <c r="C261" s="287"/>
      <c r="D261" s="287"/>
      <c r="E261" s="287"/>
      <c r="F261" s="287"/>
      <c r="G261" s="287"/>
      <c r="H261" s="287"/>
      <c r="I261" s="287"/>
      <c r="J261" s="287"/>
      <c r="K261" s="287"/>
      <c r="L261" s="287"/>
      <c r="M261" s="287"/>
      <c r="N261" s="287"/>
      <c r="O261" s="287"/>
      <c r="P261" s="287"/>
      <c r="Q261" s="287"/>
      <c r="R261" s="287"/>
      <c r="S261" s="287"/>
      <c r="T261" s="287"/>
      <c r="U261" s="287"/>
      <c r="V261" s="287"/>
      <c r="W261" s="287"/>
      <c r="X261" s="287"/>
      <c r="Y261" s="287"/>
      <c r="Z261" s="287"/>
      <c r="AA261" s="287"/>
      <c r="AB261" s="287"/>
      <c r="AC261" s="287"/>
      <c r="AD261" s="287"/>
      <c r="AE261" s="287"/>
      <c r="AF261" s="287"/>
      <c r="AG261" s="287"/>
      <c r="AH261" s="287"/>
      <c r="AI261" s="287"/>
      <c r="AJ261" s="287"/>
      <c r="AK261" s="287"/>
      <c r="AL261" s="287"/>
      <c r="AM261" s="287"/>
      <c r="AN261" s="287"/>
      <c r="AO261" s="287"/>
      <c r="AP261" s="287"/>
      <c r="AQ261" s="287"/>
      <c r="AR261" s="287"/>
      <c r="AS261" s="287"/>
      <c r="AT261" s="287"/>
      <c r="AU261" s="287"/>
      <c r="AV261" s="287"/>
      <c r="AW261" s="287"/>
      <c r="AX261" s="287"/>
      <c r="AY261" s="287"/>
      <c r="AZ261" s="287"/>
      <c r="BA261" s="287"/>
      <c r="BB261" s="287"/>
      <c r="BC261" s="287"/>
    </row>
    <row r="262" ht="15.75" customHeight="1">
      <c r="A262" s="287"/>
      <c r="B262" s="287"/>
      <c r="C262" s="287"/>
      <c r="D262" s="287"/>
      <c r="E262" s="287"/>
      <c r="F262" s="287"/>
      <c r="G262" s="287"/>
      <c r="H262" s="287"/>
      <c r="I262" s="287"/>
      <c r="J262" s="287"/>
      <c r="K262" s="287"/>
      <c r="L262" s="287"/>
      <c r="M262" s="287"/>
      <c r="N262" s="287"/>
      <c r="O262" s="287"/>
      <c r="P262" s="287"/>
      <c r="Q262" s="287"/>
      <c r="R262" s="287"/>
      <c r="S262" s="287"/>
      <c r="T262" s="287"/>
      <c r="U262" s="287"/>
      <c r="V262" s="287"/>
      <c r="W262" s="287"/>
      <c r="X262" s="287"/>
      <c r="Y262" s="287"/>
      <c r="Z262" s="287"/>
      <c r="AA262" s="287"/>
      <c r="AB262" s="287"/>
      <c r="AC262" s="287"/>
      <c r="AD262" s="287"/>
      <c r="AE262" s="287"/>
      <c r="AF262" s="287"/>
      <c r="AG262" s="287"/>
      <c r="AH262" s="287"/>
      <c r="AI262" s="287"/>
      <c r="AJ262" s="287"/>
      <c r="AK262" s="287"/>
      <c r="AL262" s="287"/>
      <c r="AM262" s="287"/>
      <c r="AN262" s="287"/>
      <c r="AO262" s="287"/>
      <c r="AP262" s="287"/>
      <c r="AQ262" s="287"/>
      <c r="AR262" s="287"/>
      <c r="AS262" s="287"/>
      <c r="AT262" s="287"/>
      <c r="AU262" s="287"/>
      <c r="AV262" s="287"/>
      <c r="AW262" s="287"/>
      <c r="AX262" s="287"/>
      <c r="AY262" s="287"/>
      <c r="AZ262" s="287"/>
      <c r="BA262" s="287"/>
      <c r="BB262" s="287"/>
      <c r="BC262" s="287"/>
    </row>
    <row r="263" ht="15.75" customHeight="1">
      <c r="A263" s="287"/>
      <c r="B263" s="287"/>
      <c r="C263" s="287"/>
      <c r="D263" s="287"/>
      <c r="E263" s="287"/>
      <c r="F263" s="287"/>
      <c r="G263" s="287"/>
      <c r="H263" s="287"/>
      <c r="I263" s="287"/>
      <c r="J263" s="287"/>
      <c r="K263" s="287"/>
      <c r="L263" s="287"/>
      <c r="M263" s="287"/>
      <c r="N263" s="287"/>
      <c r="O263" s="287"/>
      <c r="P263" s="287"/>
      <c r="Q263" s="287"/>
      <c r="R263" s="287"/>
      <c r="S263" s="287"/>
      <c r="T263" s="287"/>
      <c r="U263" s="287"/>
      <c r="V263" s="287"/>
      <c r="W263" s="287"/>
      <c r="X263" s="287"/>
      <c r="Y263" s="287"/>
      <c r="Z263" s="287"/>
      <c r="AA263" s="287"/>
      <c r="AB263" s="287"/>
      <c r="AC263" s="287"/>
      <c r="AD263" s="287"/>
      <c r="AE263" s="287"/>
      <c r="AF263" s="287"/>
      <c r="AG263" s="287"/>
      <c r="AH263" s="287"/>
      <c r="AI263" s="287"/>
      <c r="AJ263" s="287"/>
      <c r="AK263" s="287"/>
      <c r="AL263" s="287"/>
      <c r="AM263" s="287"/>
      <c r="AN263" s="287"/>
      <c r="AO263" s="287"/>
      <c r="AP263" s="287"/>
      <c r="AQ263" s="287"/>
      <c r="AR263" s="287"/>
      <c r="AS263" s="287"/>
      <c r="AT263" s="287"/>
      <c r="AU263" s="287"/>
      <c r="AV263" s="287"/>
      <c r="AW263" s="287"/>
      <c r="AX263" s="287"/>
      <c r="AY263" s="287"/>
      <c r="AZ263" s="287"/>
      <c r="BA263" s="287"/>
      <c r="BB263" s="287"/>
      <c r="BC263" s="287"/>
    </row>
    <row r="264" ht="15.75" customHeight="1">
      <c r="A264" s="287"/>
      <c r="B264" s="287"/>
      <c r="C264" s="287"/>
      <c r="D264" s="287"/>
      <c r="E264" s="287"/>
      <c r="F264" s="287"/>
      <c r="G264" s="287"/>
      <c r="H264" s="287"/>
      <c r="I264" s="287"/>
      <c r="J264" s="287"/>
      <c r="K264" s="287"/>
      <c r="L264" s="287"/>
      <c r="M264" s="287"/>
      <c r="N264" s="287"/>
      <c r="O264" s="287"/>
      <c r="P264" s="287"/>
      <c r="Q264" s="287"/>
      <c r="R264" s="287"/>
      <c r="S264" s="287"/>
      <c r="T264" s="287"/>
      <c r="U264" s="287"/>
      <c r="V264" s="287"/>
      <c r="W264" s="287"/>
      <c r="X264" s="287"/>
      <c r="Y264" s="287"/>
      <c r="Z264" s="287"/>
      <c r="AA264" s="287"/>
      <c r="AB264" s="287"/>
      <c r="AC264" s="287"/>
      <c r="AD264" s="287"/>
      <c r="AE264" s="287"/>
      <c r="AF264" s="287"/>
      <c r="AG264" s="287"/>
      <c r="AH264" s="287"/>
      <c r="AI264" s="287"/>
      <c r="AJ264" s="287"/>
      <c r="AK264" s="287"/>
      <c r="AL264" s="287"/>
      <c r="AM264" s="287"/>
      <c r="AN264" s="287"/>
      <c r="AO264" s="287"/>
      <c r="AP264" s="287"/>
      <c r="AQ264" s="287"/>
      <c r="AR264" s="287"/>
      <c r="AS264" s="287"/>
      <c r="AT264" s="287"/>
      <c r="AU264" s="287"/>
      <c r="AV264" s="287"/>
      <c r="AW264" s="287"/>
      <c r="AX264" s="287"/>
      <c r="AY264" s="287"/>
      <c r="AZ264" s="287"/>
      <c r="BA264" s="287"/>
      <c r="BB264" s="287"/>
      <c r="BC264" s="287"/>
    </row>
    <row r="265" ht="15.75" customHeight="1">
      <c r="A265" s="287"/>
      <c r="B265" s="287"/>
      <c r="C265" s="287"/>
      <c r="D265" s="287"/>
      <c r="E265" s="287"/>
      <c r="F265" s="287"/>
      <c r="G265" s="287"/>
      <c r="H265" s="287"/>
      <c r="I265" s="287"/>
      <c r="J265" s="287"/>
      <c r="K265" s="287"/>
      <c r="L265" s="287"/>
      <c r="M265" s="287"/>
      <c r="N265" s="287"/>
      <c r="O265" s="287"/>
      <c r="P265" s="287"/>
      <c r="Q265" s="287"/>
      <c r="R265" s="287"/>
      <c r="S265" s="287"/>
      <c r="T265" s="287"/>
      <c r="U265" s="287"/>
      <c r="V265" s="287"/>
      <c r="W265" s="287"/>
      <c r="X265" s="287"/>
      <c r="Y265" s="287"/>
      <c r="Z265" s="287"/>
      <c r="AA265" s="287"/>
      <c r="AB265" s="287"/>
      <c r="AC265" s="287"/>
      <c r="AD265" s="287"/>
      <c r="AE265" s="287"/>
      <c r="AF265" s="287"/>
      <c r="AG265" s="287"/>
      <c r="AH265" s="287"/>
      <c r="AI265" s="287"/>
      <c r="AJ265" s="287"/>
      <c r="AK265" s="287"/>
      <c r="AL265" s="287"/>
      <c r="AM265" s="287"/>
      <c r="AN265" s="287"/>
      <c r="AO265" s="287"/>
      <c r="AP265" s="287"/>
      <c r="AQ265" s="287"/>
      <c r="AR265" s="287"/>
      <c r="AS265" s="287"/>
      <c r="AT265" s="287"/>
      <c r="AU265" s="287"/>
      <c r="AV265" s="287"/>
      <c r="AW265" s="287"/>
      <c r="AX265" s="287"/>
      <c r="AY265" s="287"/>
      <c r="AZ265" s="287"/>
      <c r="BA265" s="287"/>
      <c r="BB265" s="287"/>
      <c r="BC265" s="287"/>
    </row>
    <row r="266" ht="15.75" customHeight="1">
      <c r="A266" s="287"/>
      <c r="B266" s="287"/>
      <c r="C266" s="287"/>
      <c r="D266" s="287"/>
      <c r="E266" s="287"/>
      <c r="F266" s="287"/>
      <c r="G266" s="287"/>
      <c r="H266" s="287"/>
      <c r="I266" s="287"/>
      <c r="J266" s="287"/>
      <c r="K266" s="287"/>
      <c r="L266" s="287"/>
      <c r="M266" s="287"/>
      <c r="N266" s="287"/>
      <c r="O266" s="287"/>
      <c r="P266" s="287"/>
      <c r="Q266" s="287"/>
      <c r="R266" s="287"/>
      <c r="S266" s="287"/>
      <c r="T266" s="287"/>
      <c r="U266" s="287"/>
      <c r="V266" s="287"/>
      <c r="W266" s="287"/>
      <c r="X266" s="287"/>
      <c r="Y266" s="287"/>
      <c r="Z266" s="287"/>
      <c r="AA266" s="287"/>
      <c r="AB266" s="287"/>
      <c r="AC266" s="287"/>
      <c r="AD266" s="287"/>
      <c r="AE266" s="287"/>
      <c r="AF266" s="287"/>
      <c r="AG266" s="287"/>
      <c r="AH266" s="287"/>
      <c r="AI266" s="287"/>
      <c r="AJ266" s="287"/>
      <c r="AK266" s="287"/>
      <c r="AL266" s="287"/>
      <c r="AM266" s="287"/>
      <c r="AN266" s="287"/>
      <c r="AO266" s="287"/>
      <c r="AP266" s="287"/>
      <c r="AQ266" s="287"/>
      <c r="AR266" s="287"/>
      <c r="AS266" s="287"/>
      <c r="AT266" s="287"/>
      <c r="AU266" s="287"/>
      <c r="AV266" s="287"/>
      <c r="AW266" s="287"/>
      <c r="AX266" s="287"/>
      <c r="AY266" s="287"/>
      <c r="AZ266" s="287"/>
      <c r="BA266" s="287"/>
      <c r="BB266" s="287"/>
      <c r="BC266" s="287"/>
    </row>
    <row r="267" ht="15.75" customHeight="1">
      <c r="A267" s="287"/>
      <c r="B267" s="287"/>
      <c r="C267" s="287"/>
      <c r="D267" s="287"/>
      <c r="E267" s="287"/>
      <c r="F267" s="287"/>
      <c r="G267" s="287"/>
      <c r="H267" s="287"/>
      <c r="I267" s="287"/>
      <c r="J267" s="287"/>
      <c r="K267" s="287"/>
      <c r="L267" s="287"/>
      <c r="M267" s="287"/>
      <c r="N267" s="287"/>
      <c r="O267" s="287"/>
      <c r="P267" s="287"/>
      <c r="Q267" s="287"/>
      <c r="R267" s="287"/>
      <c r="S267" s="287"/>
      <c r="T267" s="287"/>
      <c r="U267" s="287"/>
      <c r="V267" s="287"/>
      <c r="W267" s="287"/>
      <c r="X267" s="287"/>
      <c r="Y267" s="287"/>
      <c r="Z267" s="287"/>
      <c r="AA267" s="287"/>
      <c r="AB267" s="287"/>
      <c r="AC267" s="287"/>
      <c r="AD267" s="287"/>
      <c r="AE267" s="287"/>
      <c r="AF267" s="287"/>
      <c r="AG267" s="287"/>
      <c r="AH267" s="287"/>
      <c r="AI267" s="287"/>
      <c r="AJ267" s="287"/>
      <c r="AK267" s="287"/>
      <c r="AL267" s="287"/>
      <c r="AM267" s="287"/>
      <c r="AN267" s="287"/>
      <c r="AO267" s="287"/>
      <c r="AP267" s="287"/>
      <c r="AQ267" s="287"/>
      <c r="AR267" s="287"/>
      <c r="AS267" s="287"/>
      <c r="AT267" s="287"/>
      <c r="AU267" s="287"/>
      <c r="AV267" s="287"/>
      <c r="AW267" s="287"/>
      <c r="AX267" s="287"/>
      <c r="AY267" s="287"/>
      <c r="AZ267" s="287"/>
      <c r="BA267" s="287"/>
      <c r="BB267" s="287"/>
      <c r="BC267" s="287"/>
    </row>
    <row r="268" ht="15.75" customHeight="1">
      <c r="A268" s="287"/>
      <c r="B268" s="287"/>
      <c r="C268" s="287"/>
      <c r="D268" s="287"/>
      <c r="E268" s="287"/>
      <c r="F268" s="287"/>
      <c r="G268" s="287"/>
      <c r="H268" s="287"/>
      <c r="I268" s="287"/>
      <c r="J268" s="287"/>
      <c r="K268" s="287"/>
      <c r="L268" s="287"/>
      <c r="M268" s="287"/>
      <c r="N268" s="287"/>
      <c r="O268" s="287"/>
      <c r="P268" s="287"/>
      <c r="Q268" s="287"/>
      <c r="R268" s="287"/>
      <c r="S268" s="287"/>
      <c r="T268" s="287"/>
      <c r="U268" s="287"/>
      <c r="V268" s="287"/>
      <c r="W268" s="287"/>
      <c r="X268" s="287"/>
      <c r="Y268" s="287"/>
      <c r="Z268" s="287"/>
      <c r="AA268" s="287"/>
      <c r="AB268" s="287"/>
      <c r="AC268" s="287"/>
      <c r="AD268" s="287"/>
      <c r="AE268" s="287"/>
      <c r="AF268" s="287"/>
      <c r="AG268" s="287"/>
      <c r="AH268" s="287"/>
      <c r="AI268" s="287"/>
      <c r="AJ268" s="287"/>
      <c r="AK268" s="287"/>
      <c r="AL268" s="287"/>
      <c r="AM268" s="287"/>
      <c r="AN268" s="287"/>
      <c r="AO268" s="287"/>
      <c r="AP268" s="287"/>
      <c r="AQ268" s="287"/>
      <c r="AR268" s="287"/>
      <c r="AS268" s="287"/>
      <c r="AT268" s="287"/>
      <c r="AU268" s="287"/>
      <c r="AV268" s="287"/>
      <c r="AW268" s="287"/>
      <c r="AX268" s="287"/>
      <c r="AY268" s="287"/>
      <c r="AZ268" s="287"/>
      <c r="BA268" s="287"/>
      <c r="BB268" s="287"/>
      <c r="BC268" s="287"/>
    </row>
    <row r="269" ht="15.75" customHeight="1">
      <c r="A269" s="287"/>
      <c r="B269" s="287"/>
      <c r="C269" s="287"/>
      <c r="D269" s="287"/>
      <c r="E269" s="287"/>
      <c r="F269" s="287"/>
      <c r="G269" s="287"/>
      <c r="H269" s="287"/>
      <c r="I269" s="287"/>
      <c r="J269" s="287"/>
      <c r="K269" s="287"/>
      <c r="L269" s="287"/>
      <c r="M269" s="287"/>
      <c r="N269" s="287"/>
      <c r="O269" s="287"/>
      <c r="P269" s="287"/>
      <c r="Q269" s="287"/>
      <c r="R269" s="287"/>
      <c r="S269" s="287"/>
      <c r="T269" s="287"/>
      <c r="U269" s="287"/>
      <c r="V269" s="287"/>
      <c r="W269" s="287"/>
      <c r="X269" s="287"/>
      <c r="Y269" s="287"/>
      <c r="Z269" s="287"/>
      <c r="AA269" s="287"/>
      <c r="AB269" s="287"/>
      <c r="AC269" s="287"/>
      <c r="AD269" s="287"/>
      <c r="AE269" s="287"/>
      <c r="AF269" s="287"/>
      <c r="AG269" s="287"/>
      <c r="AH269" s="287"/>
      <c r="AI269" s="287"/>
      <c r="AJ269" s="287"/>
      <c r="AK269" s="287"/>
      <c r="AL269" s="287"/>
      <c r="AM269" s="287"/>
      <c r="AN269" s="287"/>
      <c r="AO269" s="287"/>
      <c r="AP269" s="287"/>
      <c r="AQ269" s="287"/>
      <c r="AR269" s="287"/>
      <c r="AS269" s="287"/>
      <c r="AT269" s="287"/>
      <c r="AU269" s="287"/>
      <c r="AV269" s="287"/>
      <c r="AW269" s="287"/>
      <c r="AX269" s="287"/>
      <c r="AY269" s="287"/>
      <c r="AZ269" s="287"/>
      <c r="BA269" s="287"/>
      <c r="BB269" s="287"/>
      <c r="BC269" s="287"/>
    </row>
    <row r="270" ht="15.75" customHeight="1">
      <c r="A270" s="287"/>
      <c r="B270" s="287"/>
      <c r="C270" s="287"/>
      <c r="D270" s="287"/>
      <c r="E270" s="287"/>
      <c r="F270" s="287"/>
      <c r="G270" s="287"/>
      <c r="H270" s="287"/>
      <c r="I270" s="287"/>
      <c r="J270" s="287"/>
      <c r="K270" s="287"/>
      <c r="L270" s="287"/>
      <c r="M270" s="287"/>
      <c r="N270" s="287"/>
      <c r="O270" s="287"/>
      <c r="P270" s="287"/>
      <c r="Q270" s="287"/>
      <c r="R270" s="287"/>
      <c r="S270" s="287"/>
      <c r="T270" s="287"/>
      <c r="U270" s="287"/>
      <c r="V270" s="287"/>
      <c r="W270" s="287"/>
      <c r="X270" s="287"/>
      <c r="Y270" s="287"/>
      <c r="Z270" s="287"/>
      <c r="AA270" s="287"/>
      <c r="AB270" s="287"/>
      <c r="AC270" s="287"/>
      <c r="AD270" s="287"/>
      <c r="AE270" s="287"/>
      <c r="AF270" s="287"/>
      <c r="AG270" s="287"/>
      <c r="AH270" s="287"/>
      <c r="AI270" s="287"/>
      <c r="AJ270" s="287"/>
      <c r="AK270" s="287"/>
      <c r="AL270" s="287"/>
      <c r="AM270" s="287"/>
      <c r="AN270" s="287"/>
      <c r="AO270" s="287"/>
      <c r="AP270" s="287"/>
      <c r="AQ270" s="287"/>
      <c r="AR270" s="287"/>
      <c r="AS270" s="287"/>
      <c r="AT270" s="287"/>
      <c r="AU270" s="287"/>
      <c r="AV270" s="287"/>
      <c r="AW270" s="287"/>
      <c r="AX270" s="287"/>
      <c r="AY270" s="287"/>
      <c r="AZ270" s="287"/>
      <c r="BA270" s="287"/>
      <c r="BB270" s="287"/>
      <c r="BC270" s="287"/>
    </row>
    <row r="271" ht="15.75" customHeight="1">
      <c r="A271" s="287"/>
      <c r="B271" s="287"/>
      <c r="C271" s="287"/>
      <c r="D271" s="287"/>
      <c r="E271" s="287"/>
      <c r="F271" s="287"/>
      <c r="G271" s="287"/>
      <c r="H271" s="287"/>
      <c r="I271" s="287"/>
      <c r="J271" s="287"/>
      <c r="K271" s="287"/>
      <c r="L271" s="287"/>
      <c r="M271" s="287"/>
      <c r="N271" s="287"/>
      <c r="O271" s="287"/>
      <c r="P271" s="287"/>
      <c r="Q271" s="287"/>
      <c r="R271" s="287"/>
      <c r="S271" s="287"/>
      <c r="T271" s="287"/>
      <c r="U271" s="287"/>
      <c r="V271" s="287"/>
      <c r="W271" s="287"/>
      <c r="X271" s="287"/>
      <c r="Y271" s="287"/>
      <c r="Z271" s="287"/>
      <c r="AA271" s="287"/>
      <c r="AB271" s="287"/>
      <c r="AC271" s="287"/>
      <c r="AD271" s="287"/>
      <c r="AE271" s="287"/>
      <c r="AF271" s="287"/>
      <c r="AG271" s="287"/>
      <c r="AH271" s="287"/>
      <c r="AI271" s="287"/>
      <c r="AJ271" s="287"/>
      <c r="AK271" s="287"/>
      <c r="AL271" s="287"/>
      <c r="AM271" s="287"/>
      <c r="AN271" s="287"/>
      <c r="AO271" s="287"/>
      <c r="AP271" s="287"/>
      <c r="AQ271" s="287"/>
      <c r="AR271" s="287"/>
      <c r="AS271" s="287"/>
      <c r="AT271" s="287"/>
      <c r="AU271" s="287"/>
      <c r="AV271" s="287"/>
      <c r="AW271" s="287"/>
      <c r="AX271" s="287"/>
      <c r="AY271" s="287"/>
      <c r="AZ271" s="287"/>
      <c r="BA271" s="287"/>
      <c r="BB271" s="287"/>
      <c r="BC271" s="287"/>
    </row>
    <row r="272" ht="15.75" customHeight="1">
      <c r="A272" s="287"/>
      <c r="B272" s="287"/>
      <c r="C272" s="287"/>
      <c r="D272" s="287"/>
      <c r="E272" s="287"/>
      <c r="F272" s="287"/>
      <c r="G272" s="287"/>
      <c r="H272" s="287"/>
      <c r="I272" s="287"/>
      <c r="J272" s="287"/>
      <c r="K272" s="287"/>
      <c r="L272" s="287"/>
      <c r="M272" s="287"/>
      <c r="N272" s="287"/>
      <c r="O272" s="287"/>
      <c r="P272" s="287"/>
      <c r="Q272" s="287"/>
      <c r="R272" s="287"/>
      <c r="S272" s="287"/>
      <c r="T272" s="287"/>
      <c r="U272" s="287"/>
      <c r="V272" s="287"/>
      <c r="W272" s="287"/>
      <c r="X272" s="287"/>
      <c r="Y272" s="287"/>
      <c r="Z272" s="287"/>
      <c r="AA272" s="287"/>
      <c r="AB272" s="287"/>
      <c r="AC272" s="287"/>
      <c r="AD272" s="287"/>
      <c r="AE272" s="287"/>
      <c r="AF272" s="287"/>
      <c r="AG272" s="287"/>
      <c r="AH272" s="287"/>
      <c r="AI272" s="287"/>
      <c r="AJ272" s="287"/>
      <c r="AK272" s="287"/>
      <c r="AL272" s="287"/>
      <c r="AM272" s="287"/>
      <c r="AN272" s="287"/>
      <c r="AO272" s="287"/>
      <c r="AP272" s="287"/>
      <c r="AQ272" s="287"/>
      <c r="AR272" s="287"/>
      <c r="AS272" s="287"/>
      <c r="AT272" s="287"/>
      <c r="AU272" s="287"/>
      <c r="AV272" s="287"/>
      <c r="AW272" s="287"/>
      <c r="AX272" s="287"/>
      <c r="AY272" s="287"/>
      <c r="AZ272" s="287"/>
      <c r="BA272" s="287"/>
      <c r="BB272" s="287"/>
      <c r="BC272" s="287"/>
    </row>
    <row r="273" ht="15.75" customHeight="1">
      <c r="A273" s="287"/>
      <c r="B273" s="287"/>
      <c r="C273" s="287"/>
      <c r="D273" s="287"/>
      <c r="E273" s="287"/>
      <c r="F273" s="287"/>
      <c r="G273" s="287"/>
      <c r="H273" s="287"/>
      <c r="I273" s="287"/>
      <c r="J273" s="287"/>
      <c r="K273" s="287"/>
      <c r="L273" s="287"/>
      <c r="M273" s="287"/>
      <c r="N273" s="287"/>
      <c r="O273" s="287"/>
      <c r="P273" s="287"/>
      <c r="Q273" s="287"/>
      <c r="R273" s="287"/>
      <c r="S273" s="287"/>
      <c r="T273" s="287"/>
      <c r="U273" s="287"/>
      <c r="V273" s="287"/>
      <c r="W273" s="287"/>
      <c r="X273" s="287"/>
      <c r="Y273" s="287"/>
      <c r="Z273" s="287"/>
      <c r="AA273" s="287"/>
      <c r="AB273" s="287"/>
      <c r="AC273" s="287"/>
      <c r="AD273" s="287"/>
      <c r="AE273" s="287"/>
      <c r="AF273" s="287"/>
      <c r="AG273" s="287"/>
      <c r="AH273" s="287"/>
      <c r="AI273" s="287"/>
      <c r="AJ273" s="287"/>
      <c r="AK273" s="287"/>
      <c r="AL273" s="287"/>
      <c r="AM273" s="287"/>
      <c r="AN273" s="287"/>
      <c r="AO273" s="287"/>
      <c r="AP273" s="287"/>
      <c r="AQ273" s="287"/>
      <c r="AR273" s="287"/>
      <c r="AS273" s="287"/>
      <c r="AT273" s="287"/>
      <c r="AU273" s="287"/>
      <c r="AV273" s="287"/>
      <c r="AW273" s="287"/>
      <c r="AX273" s="287"/>
      <c r="AY273" s="287"/>
      <c r="AZ273" s="287"/>
      <c r="BA273" s="287"/>
      <c r="BB273" s="287"/>
      <c r="BC273" s="287"/>
    </row>
    <row r="274" ht="15.75" customHeight="1">
      <c r="A274" s="287"/>
      <c r="B274" s="287"/>
      <c r="C274" s="287"/>
      <c r="D274" s="287"/>
      <c r="E274" s="287"/>
      <c r="F274" s="287"/>
      <c r="G274" s="287"/>
      <c r="H274" s="287"/>
      <c r="I274" s="287"/>
      <c r="J274" s="287"/>
      <c r="K274" s="287"/>
      <c r="L274" s="287"/>
      <c r="M274" s="287"/>
      <c r="N274" s="287"/>
      <c r="O274" s="287"/>
      <c r="P274" s="287"/>
      <c r="Q274" s="287"/>
      <c r="R274" s="287"/>
      <c r="S274" s="287"/>
      <c r="T274" s="287"/>
      <c r="U274" s="287"/>
      <c r="V274" s="287"/>
      <c r="W274" s="287"/>
      <c r="X274" s="287"/>
      <c r="Y274" s="287"/>
      <c r="Z274" s="287"/>
      <c r="AA274" s="287"/>
      <c r="AB274" s="287"/>
      <c r="AC274" s="287"/>
      <c r="AD274" s="287"/>
      <c r="AE274" s="287"/>
      <c r="AF274" s="287"/>
      <c r="AG274" s="287"/>
      <c r="AH274" s="287"/>
      <c r="AI274" s="287"/>
      <c r="AJ274" s="287"/>
      <c r="AK274" s="287"/>
      <c r="AL274" s="287"/>
      <c r="AM274" s="287"/>
      <c r="AN274" s="287"/>
      <c r="AO274" s="287"/>
      <c r="AP274" s="287"/>
      <c r="AQ274" s="287"/>
      <c r="AR274" s="287"/>
      <c r="AS274" s="287"/>
      <c r="AT274" s="287"/>
      <c r="AU274" s="287"/>
      <c r="AV274" s="287"/>
      <c r="AW274" s="287"/>
      <c r="AX274" s="287"/>
      <c r="AY274" s="287"/>
      <c r="AZ274" s="287"/>
      <c r="BA274" s="287"/>
      <c r="BB274" s="287"/>
      <c r="BC274" s="287"/>
    </row>
    <row r="275" ht="15.75" customHeight="1">
      <c r="A275" s="287"/>
      <c r="B275" s="287"/>
      <c r="C275" s="287"/>
      <c r="D275" s="287"/>
      <c r="E275" s="287"/>
      <c r="F275" s="287"/>
      <c r="G275" s="287"/>
      <c r="H275" s="287"/>
      <c r="I275" s="287"/>
      <c r="J275" s="287"/>
      <c r="K275" s="287"/>
      <c r="L275" s="287"/>
      <c r="M275" s="287"/>
      <c r="N275" s="287"/>
      <c r="O275" s="287"/>
      <c r="P275" s="287"/>
      <c r="Q275" s="287"/>
      <c r="R275" s="287"/>
      <c r="S275" s="287"/>
      <c r="T275" s="287"/>
      <c r="U275" s="287"/>
      <c r="V275" s="287"/>
      <c r="W275" s="287"/>
      <c r="X275" s="287"/>
      <c r="Y275" s="287"/>
      <c r="Z275" s="287"/>
      <c r="AA275" s="287"/>
      <c r="AB275" s="287"/>
      <c r="AC275" s="287"/>
      <c r="AD275" s="287"/>
      <c r="AE275" s="287"/>
      <c r="AF275" s="287"/>
      <c r="AG275" s="287"/>
      <c r="AH275" s="287"/>
      <c r="AI275" s="287"/>
      <c r="AJ275" s="287"/>
      <c r="AK275" s="287"/>
      <c r="AL275" s="287"/>
      <c r="AM275" s="287"/>
      <c r="AN275" s="287"/>
      <c r="AO275" s="287"/>
      <c r="AP275" s="287"/>
      <c r="AQ275" s="287"/>
      <c r="AR275" s="287"/>
      <c r="AS275" s="287"/>
      <c r="AT275" s="287"/>
      <c r="AU275" s="287"/>
      <c r="AV275" s="287"/>
      <c r="AW275" s="287"/>
      <c r="AX275" s="287"/>
      <c r="AY275" s="287"/>
      <c r="AZ275" s="287"/>
      <c r="BA275" s="287"/>
      <c r="BB275" s="287"/>
      <c r="BC275" s="287"/>
    </row>
    <row r="276" ht="15.75" customHeight="1">
      <c r="A276" s="287"/>
      <c r="B276" s="287"/>
      <c r="C276" s="287"/>
      <c r="D276" s="287"/>
      <c r="E276" s="287"/>
      <c r="F276" s="287"/>
      <c r="G276" s="287"/>
      <c r="H276" s="287"/>
      <c r="I276" s="287"/>
      <c r="J276" s="287"/>
      <c r="K276" s="287"/>
      <c r="L276" s="287"/>
      <c r="M276" s="287"/>
      <c r="N276" s="287"/>
      <c r="O276" s="287"/>
      <c r="P276" s="287"/>
      <c r="Q276" s="287"/>
      <c r="R276" s="287"/>
      <c r="S276" s="287"/>
      <c r="T276" s="287"/>
      <c r="U276" s="287"/>
      <c r="V276" s="287"/>
      <c r="W276" s="287"/>
      <c r="X276" s="287"/>
      <c r="Y276" s="287"/>
      <c r="Z276" s="287"/>
      <c r="AA276" s="287"/>
      <c r="AB276" s="287"/>
      <c r="AC276" s="287"/>
      <c r="AD276" s="287"/>
      <c r="AE276" s="287"/>
      <c r="AF276" s="287"/>
      <c r="AG276" s="287"/>
      <c r="AH276" s="287"/>
      <c r="AI276" s="287"/>
      <c r="AJ276" s="287"/>
      <c r="AK276" s="287"/>
      <c r="AL276" s="287"/>
      <c r="AM276" s="287"/>
      <c r="AN276" s="287"/>
      <c r="AO276" s="287"/>
      <c r="AP276" s="287"/>
      <c r="AQ276" s="287"/>
      <c r="AR276" s="287"/>
      <c r="AS276" s="287"/>
      <c r="AT276" s="287"/>
      <c r="AU276" s="287"/>
      <c r="AV276" s="287"/>
      <c r="AW276" s="287"/>
      <c r="AX276" s="287"/>
      <c r="AY276" s="287"/>
      <c r="AZ276" s="287"/>
      <c r="BA276" s="287"/>
      <c r="BB276" s="287"/>
      <c r="BC276" s="287"/>
    </row>
    <row r="277" ht="15.75" customHeight="1">
      <c r="A277" s="287"/>
      <c r="B277" s="287"/>
      <c r="C277" s="287"/>
      <c r="D277" s="287"/>
      <c r="E277" s="287"/>
      <c r="F277" s="287"/>
      <c r="G277" s="287"/>
      <c r="H277" s="287"/>
      <c r="I277" s="287"/>
      <c r="J277" s="287"/>
      <c r="K277" s="287"/>
      <c r="L277" s="287"/>
      <c r="M277" s="287"/>
      <c r="N277" s="287"/>
      <c r="O277" s="287"/>
      <c r="P277" s="287"/>
      <c r="Q277" s="287"/>
      <c r="R277" s="287"/>
      <c r="S277" s="287"/>
      <c r="T277" s="287"/>
      <c r="U277" s="287"/>
      <c r="V277" s="287"/>
      <c r="W277" s="287"/>
      <c r="X277" s="287"/>
      <c r="Y277" s="287"/>
      <c r="Z277" s="287"/>
      <c r="AA277" s="287"/>
      <c r="AB277" s="287"/>
      <c r="AC277" s="287"/>
      <c r="AD277" s="287"/>
      <c r="AE277" s="287"/>
      <c r="AF277" s="287"/>
      <c r="AG277" s="287"/>
      <c r="AH277" s="287"/>
      <c r="AI277" s="287"/>
      <c r="AJ277" s="287"/>
      <c r="AK277" s="287"/>
      <c r="AL277" s="287"/>
      <c r="AM277" s="287"/>
      <c r="AN277" s="287"/>
      <c r="AO277" s="287"/>
      <c r="AP277" s="287"/>
      <c r="AQ277" s="287"/>
      <c r="AR277" s="287"/>
      <c r="AS277" s="287"/>
      <c r="AT277" s="287"/>
      <c r="AU277" s="287"/>
      <c r="AV277" s="287"/>
      <c r="AW277" s="287"/>
      <c r="AX277" s="287"/>
      <c r="AY277" s="287"/>
      <c r="AZ277" s="287"/>
      <c r="BA277" s="287"/>
      <c r="BB277" s="287"/>
      <c r="BC277" s="287"/>
    </row>
    <row r="278" ht="15.75" customHeight="1">
      <c r="A278" s="287"/>
      <c r="B278" s="287"/>
      <c r="C278" s="287"/>
      <c r="D278" s="287"/>
      <c r="E278" s="287"/>
      <c r="F278" s="287"/>
      <c r="G278" s="287"/>
      <c r="H278" s="287"/>
      <c r="I278" s="287"/>
      <c r="J278" s="287"/>
      <c r="K278" s="287"/>
      <c r="L278" s="287"/>
      <c r="M278" s="287"/>
      <c r="N278" s="287"/>
      <c r="O278" s="287"/>
      <c r="P278" s="287"/>
      <c r="Q278" s="287"/>
      <c r="R278" s="287"/>
      <c r="S278" s="287"/>
      <c r="T278" s="287"/>
      <c r="U278" s="287"/>
      <c r="V278" s="287"/>
      <c r="W278" s="287"/>
      <c r="X278" s="287"/>
      <c r="Y278" s="287"/>
      <c r="Z278" s="287"/>
      <c r="AA278" s="287"/>
      <c r="AB278" s="287"/>
      <c r="AC278" s="287"/>
      <c r="AD278" s="287"/>
      <c r="AE278" s="287"/>
      <c r="AF278" s="287"/>
      <c r="AG278" s="287"/>
      <c r="AH278" s="287"/>
      <c r="AI278" s="287"/>
      <c r="AJ278" s="287"/>
      <c r="AK278" s="287"/>
      <c r="AL278" s="287"/>
      <c r="AM278" s="287"/>
      <c r="AN278" s="287"/>
      <c r="AO278" s="287"/>
      <c r="AP278" s="287"/>
      <c r="AQ278" s="287"/>
      <c r="AR278" s="287"/>
      <c r="AS278" s="287"/>
      <c r="AT278" s="287"/>
      <c r="AU278" s="287"/>
      <c r="AV278" s="287"/>
      <c r="AW278" s="287"/>
      <c r="AX278" s="287"/>
      <c r="AY278" s="287"/>
      <c r="AZ278" s="287"/>
      <c r="BA278" s="287"/>
      <c r="BB278" s="287"/>
      <c r="BC278" s="287"/>
    </row>
    <row r="279" ht="15.75" customHeight="1">
      <c r="A279" s="287"/>
      <c r="B279" s="287"/>
      <c r="C279" s="287"/>
      <c r="D279" s="287"/>
      <c r="E279" s="287"/>
      <c r="F279" s="287"/>
      <c r="G279" s="287"/>
      <c r="H279" s="287"/>
      <c r="I279" s="287"/>
      <c r="J279" s="287"/>
      <c r="K279" s="287"/>
      <c r="L279" s="287"/>
      <c r="M279" s="287"/>
      <c r="N279" s="287"/>
      <c r="O279" s="287"/>
      <c r="P279" s="287"/>
      <c r="Q279" s="287"/>
      <c r="R279" s="287"/>
      <c r="S279" s="287"/>
      <c r="T279" s="287"/>
      <c r="U279" s="287"/>
      <c r="V279" s="287"/>
      <c r="W279" s="287"/>
      <c r="X279" s="287"/>
      <c r="Y279" s="287"/>
      <c r="Z279" s="287"/>
      <c r="AA279" s="287"/>
      <c r="AB279" s="287"/>
      <c r="AC279" s="287"/>
      <c r="AD279" s="287"/>
      <c r="AE279" s="287"/>
      <c r="AF279" s="287"/>
      <c r="AG279" s="287"/>
      <c r="AH279" s="287"/>
      <c r="AI279" s="287"/>
      <c r="AJ279" s="287"/>
      <c r="AK279" s="287"/>
      <c r="AL279" s="287"/>
      <c r="AM279" s="287"/>
      <c r="AN279" s="287"/>
      <c r="AO279" s="287"/>
      <c r="AP279" s="287"/>
      <c r="AQ279" s="287"/>
      <c r="AR279" s="287"/>
      <c r="AS279" s="287"/>
      <c r="AT279" s="287"/>
      <c r="AU279" s="287"/>
      <c r="AV279" s="287"/>
      <c r="AW279" s="287"/>
      <c r="AX279" s="287"/>
      <c r="AY279" s="287"/>
      <c r="AZ279" s="287"/>
      <c r="BA279" s="287"/>
      <c r="BB279" s="287"/>
      <c r="BC279" s="287"/>
    </row>
    <row r="280" ht="15.75" customHeight="1">
      <c r="A280" s="287"/>
      <c r="B280" s="287"/>
      <c r="C280" s="287"/>
      <c r="D280" s="287"/>
      <c r="E280" s="287"/>
      <c r="F280" s="287"/>
      <c r="G280" s="287"/>
      <c r="H280" s="287"/>
      <c r="I280" s="287"/>
      <c r="J280" s="287"/>
      <c r="K280" s="287"/>
      <c r="L280" s="287"/>
      <c r="M280" s="287"/>
      <c r="N280" s="287"/>
      <c r="O280" s="287"/>
      <c r="P280" s="287"/>
      <c r="Q280" s="287"/>
      <c r="R280" s="287"/>
      <c r="S280" s="287"/>
      <c r="T280" s="287"/>
      <c r="U280" s="287"/>
      <c r="V280" s="287"/>
      <c r="W280" s="287"/>
      <c r="X280" s="287"/>
      <c r="Y280" s="287"/>
      <c r="Z280" s="287"/>
      <c r="AA280" s="287"/>
      <c r="AB280" s="287"/>
      <c r="AC280" s="287"/>
      <c r="AD280" s="287"/>
      <c r="AE280" s="287"/>
      <c r="AF280" s="287"/>
      <c r="AG280" s="287"/>
      <c r="AH280" s="287"/>
      <c r="AI280" s="287"/>
      <c r="AJ280" s="287"/>
      <c r="AK280" s="287"/>
      <c r="AL280" s="287"/>
      <c r="AM280" s="287"/>
      <c r="AN280" s="287"/>
      <c r="AO280" s="287"/>
      <c r="AP280" s="287"/>
      <c r="AQ280" s="287"/>
      <c r="AR280" s="287"/>
      <c r="AS280" s="287"/>
      <c r="AT280" s="287"/>
      <c r="AU280" s="287"/>
      <c r="AV280" s="287"/>
      <c r="AW280" s="287"/>
      <c r="AX280" s="287"/>
      <c r="AY280" s="287"/>
      <c r="AZ280" s="287"/>
      <c r="BA280" s="287"/>
      <c r="BB280" s="287"/>
      <c r="BC280" s="287"/>
    </row>
    <row r="281" ht="15.75" customHeight="1">
      <c r="A281" s="287"/>
      <c r="B281" s="287"/>
      <c r="C281" s="287"/>
      <c r="D281" s="287"/>
      <c r="E281" s="287"/>
      <c r="F281" s="287"/>
      <c r="G281" s="287"/>
      <c r="H281" s="287"/>
      <c r="I281" s="287"/>
      <c r="J281" s="287"/>
      <c r="K281" s="287"/>
      <c r="L281" s="287"/>
      <c r="M281" s="287"/>
      <c r="N281" s="287"/>
      <c r="O281" s="287"/>
      <c r="P281" s="287"/>
      <c r="Q281" s="287"/>
      <c r="R281" s="287"/>
      <c r="S281" s="287"/>
      <c r="T281" s="287"/>
      <c r="U281" s="287"/>
      <c r="V281" s="287"/>
      <c r="W281" s="287"/>
      <c r="X281" s="287"/>
      <c r="Y281" s="287"/>
      <c r="Z281" s="287"/>
      <c r="AA281" s="287"/>
      <c r="AB281" s="287"/>
      <c r="AC281" s="287"/>
      <c r="AD281" s="287"/>
      <c r="AE281" s="287"/>
      <c r="AF281" s="287"/>
      <c r="AG281" s="287"/>
      <c r="AH281" s="287"/>
      <c r="AI281" s="287"/>
      <c r="AJ281" s="287"/>
      <c r="AK281" s="287"/>
      <c r="AL281" s="287"/>
      <c r="AM281" s="287"/>
      <c r="AN281" s="287"/>
      <c r="AO281" s="287"/>
      <c r="AP281" s="287"/>
      <c r="AQ281" s="287"/>
      <c r="AR281" s="287"/>
      <c r="AS281" s="287"/>
      <c r="AT281" s="287"/>
      <c r="AU281" s="287"/>
      <c r="AV281" s="287"/>
      <c r="AW281" s="287"/>
      <c r="AX281" s="287"/>
      <c r="AY281" s="287"/>
      <c r="AZ281" s="287"/>
      <c r="BA281" s="287"/>
      <c r="BB281" s="287"/>
      <c r="BC281" s="287"/>
    </row>
    <row r="282" ht="15.75" customHeight="1">
      <c r="A282" s="287"/>
      <c r="B282" s="287"/>
      <c r="C282" s="287"/>
      <c r="D282" s="287"/>
      <c r="E282" s="287"/>
      <c r="F282" s="287"/>
      <c r="G282" s="287"/>
      <c r="H282" s="287"/>
      <c r="I282" s="287"/>
      <c r="J282" s="287"/>
      <c r="K282" s="287"/>
      <c r="L282" s="287"/>
      <c r="M282" s="287"/>
      <c r="N282" s="287"/>
      <c r="O282" s="287"/>
      <c r="P282" s="287"/>
      <c r="Q282" s="287"/>
      <c r="R282" s="287"/>
      <c r="S282" s="287"/>
      <c r="T282" s="287"/>
      <c r="U282" s="287"/>
      <c r="V282" s="287"/>
      <c r="W282" s="287"/>
      <c r="X282" s="287"/>
      <c r="Y282" s="287"/>
      <c r="Z282" s="287"/>
      <c r="AA282" s="287"/>
      <c r="AB282" s="287"/>
      <c r="AC282" s="287"/>
      <c r="AD282" s="287"/>
      <c r="AE282" s="287"/>
      <c r="AF282" s="287"/>
      <c r="AG282" s="287"/>
      <c r="AH282" s="287"/>
      <c r="AI282" s="287"/>
      <c r="AJ282" s="287"/>
      <c r="AK282" s="287"/>
      <c r="AL282" s="287"/>
      <c r="AM282" s="287"/>
      <c r="AN282" s="287"/>
      <c r="AO282" s="287"/>
      <c r="AP282" s="287"/>
      <c r="AQ282" s="287"/>
      <c r="AR282" s="287"/>
      <c r="AS282" s="287"/>
      <c r="AT282" s="287"/>
      <c r="AU282" s="287"/>
      <c r="AV282" s="287"/>
      <c r="AW282" s="287"/>
      <c r="AX282" s="287"/>
      <c r="AY282" s="287"/>
      <c r="AZ282" s="287"/>
      <c r="BA282" s="287"/>
      <c r="BB282" s="287"/>
      <c r="BC282" s="287"/>
    </row>
    <row r="283" ht="15.75" customHeight="1">
      <c r="A283" s="287"/>
      <c r="B283" s="287"/>
      <c r="C283" s="287"/>
      <c r="D283" s="287"/>
      <c r="E283" s="287"/>
      <c r="F283" s="287"/>
      <c r="G283" s="287"/>
      <c r="H283" s="287"/>
      <c r="I283" s="287"/>
      <c r="J283" s="287"/>
      <c r="K283" s="287"/>
      <c r="L283" s="287"/>
      <c r="M283" s="287"/>
      <c r="N283" s="287"/>
      <c r="O283" s="287"/>
      <c r="P283" s="287"/>
      <c r="Q283" s="287"/>
      <c r="R283" s="287"/>
      <c r="S283" s="287"/>
      <c r="T283" s="287"/>
      <c r="U283" s="287"/>
      <c r="V283" s="287"/>
      <c r="W283" s="287"/>
      <c r="X283" s="287"/>
      <c r="Y283" s="287"/>
      <c r="Z283" s="287"/>
      <c r="AA283" s="287"/>
      <c r="AB283" s="287"/>
      <c r="AC283" s="287"/>
      <c r="AD283" s="287"/>
      <c r="AE283" s="287"/>
      <c r="AF283" s="287"/>
      <c r="AG283" s="287"/>
      <c r="AH283" s="287"/>
      <c r="AI283" s="287"/>
      <c r="AJ283" s="287"/>
      <c r="AK283" s="287"/>
      <c r="AL283" s="287"/>
      <c r="AM283" s="287"/>
      <c r="AN283" s="287"/>
      <c r="AO283" s="287"/>
      <c r="AP283" s="287"/>
      <c r="AQ283" s="287"/>
      <c r="AR283" s="287"/>
      <c r="AS283" s="287"/>
      <c r="AT283" s="287"/>
      <c r="AU283" s="287"/>
      <c r="AV283" s="287"/>
      <c r="AW283" s="287"/>
      <c r="AX283" s="287"/>
      <c r="AY283" s="287"/>
      <c r="AZ283" s="287"/>
      <c r="BA283" s="287"/>
      <c r="BB283" s="287"/>
      <c r="BC283" s="287"/>
    </row>
    <row r="284" ht="15.75" customHeight="1">
      <c r="A284" s="287"/>
      <c r="B284" s="287"/>
      <c r="C284" s="287"/>
      <c r="D284" s="287"/>
      <c r="E284" s="287"/>
      <c r="F284" s="287"/>
      <c r="G284" s="287"/>
      <c r="H284" s="287"/>
      <c r="I284" s="287"/>
      <c r="J284" s="287"/>
      <c r="K284" s="287"/>
      <c r="L284" s="287"/>
      <c r="M284" s="287"/>
      <c r="N284" s="287"/>
      <c r="O284" s="287"/>
      <c r="P284" s="287"/>
      <c r="Q284" s="287"/>
      <c r="R284" s="287"/>
      <c r="S284" s="287"/>
      <c r="T284" s="287"/>
      <c r="U284" s="287"/>
      <c r="V284" s="287"/>
      <c r="W284" s="287"/>
      <c r="X284" s="287"/>
      <c r="Y284" s="287"/>
      <c r="Z284" s="287"/>
      <c r="AA284" s="287"/>
      <c r="AB284" s="287"/>
      <c r="AC284" s="287"/>
      <c r="AD284" s="287"/>
      <c r="AE284" s="287"/>
      <c r="AF284" s="287"/>
      <c r="AG284" s="287"/>
      <c r="AH284" s="287"/>
      <c r="AI284" s="287"/>
      <c r="AJ284" s="287"/>
      <c r="AK284" s="287"/>
      <c r="AL284" s="287"/>
      <c r="AM284" s="287"/>
      <c r="AN284" s="287"/>
      <c r="AO284" s="287"/>
      <c r="AP284" s="287"/>
      <c r="AQ284" s="287"/>
      <c r="AR284" s="287"/>
      <c r="AS284" s="287"/>
      <c r="AT284" s="287"/>
      <c r="AU284" s="287"/>
      <c r="AV284" s="287"/>
      <c r="AW284" s="287"/>
      <c r="AX284" s="287"/>
      <c r="AY284" s="287"/>
      <c r="AZ284" s="287"/>
      <c r="BA284" s="287"/>
      <c r="BB284" s="287"/>
      <c r="BC284" s="287"/>
    </row>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sheetData>
  <mergeCells count="460">
    <mergeCell ref="M21:P21"/>
    <mergeCell ref="M22:P22"/>
    <mergeCell ref="M23:P23"/>
    <mergeCell ref="M24:P24"/>
    <mergeCell ref="M25:P25"/>
    <mergeCell ref="M26:P26"/>
    <mergeCell ref="M27:P27"/>
    <mergeCell ref="M35:P35"/>
    <mergeCell ref="M36:P36"/>
    <mergeCell ref="M28:P28"/>
    <mergeCell ref="M29:P29"/>
    <mergeCell ref="M30:P30"/>
    <mergeCell ref="M31:P31"/>
    <mergeCell ref="M32:P32"/>
    <mergeCell ref="M33:P33"/>
    <mergeCell ref="M34:P34"/>
    <mergeCell ref="B10:D10"/>
    <mergeCell ref="B11:D11"/>
    <mergeCell ref="E12:I12"/>
    <mergeCell ref="J12:K12"/>
    <mergeCell ref="L12:P12"/>
    <mergeCell ref="R12:U13"/>
    <mergeCell ref="V12:W13"/>
    <mergeCell ref="L13:P13"/>
    <mergeCell ref="J15:K15"/>
    <mergeCell ref="L15:P15"/>
    <mergeCell ref="E13:I13"/>
    <mergeCell ref="J13:K13"/>
    <mergeCell ref="E14:I14"/>
    <mergeCell ref="J14:K14"/>
    <mergeCell ref="L14:P14"/>
    <mergeCell ref="R14:U15"/>
    <mergeCell ref="V14:W15"/>
    <mergeCell ref="B15:D15"/>
    <mergeCell ref="E15:I15"/>
    <mergeCell ref="B17:N18"/>
    <mergeCell ref="O17:S18"/>
    <mergeCell ref="T17:W18"/>
    <mergeCell ref="X17:AB18"/>
    <mergeCell ref="AC17:AG18"/>
    <mergeCell ref="C19:F19"/>
    <mergeCell ref="M19:P19"/>
    <mergeCell ref="W19:Z19"/>
    <mergeCell ref="C20:F20"/>
    <mergeCell ref="M20:P20"/>
    <mergeCell ref="C21:F21"/>
    <mergeCell ref="W22:Z22"/>
    <mergeCell ref="W20:Z20"/>
    <mergeCell ref="W21:Z21"/>
    <mergeCell ref="W23:Z23"/>
    <mergeCell ref="W24:Z24"/>
    <mergeCell ref="W25:Z25"/>
    <mergeCell ref="W26:Z26"/>
    <mergeCell ref="W27:Z27"/>
    <mergeCell ref="W28:Z28"/>
    <mergeCell ref="W29:Z29"/>
    <mergeCell ref="W30:Z30"/>
    <mergeCell ref="W31:Z31"/>
    <mergeCell ref="W32:Z32"/>
    <mergeCell ref="W33:Z33"/>
    <mergeCell ref="W34:Z34"/>
    <mergeCell ref="B2:AS6"/>
    <mergeCell ref="AT2:AV3"/>
    <mergeCell ref="AW2:AY3"/>
    <mergeCell ref="AZ2:BB3"/>
    <mergeCell ref="AT4:AV6"/>
    <mergeCell ref="AW4:AY6"/>
    <mergeCell ref="AZ4:BB6"/>
    <mergeCell ref="X10:Y10"/>
    <mergeCell ref="Z10:AC11"/>
    <mergeCell ref="X11:Y11"/>
    <mergeCell ref="X12:Y12"/>
    <mergeCell ref="Z12:AC13"/>
    <mergeCell ref="X13:Y13"/>
    <mergeCell ref="AD10:AE11"/>
    <mergeCell ref="AF10:AG10"/>
    <mergeCell ref="AF11:AG11"/>
    <mergeCell ref="AD12:AE13"/>
    <mergeCell ref="AF12:AG12"/>
    <mergeCell ref="AF13:AG13"/>
    <mergeCell ref="B8:P9"/>
    <mergeCell ref="R8:AO9"/>
    <mergeCell ref="AQ8:BB9"/>
    <mergeCell ref="E10:P10"/>
    <mergeCell ref="R10:U11"/>
    <mergeCell ref="V10:W11"/>
    <mergeCell ref="AN10:AO10"/>
    <mergeCell ref="E11:P11"/>
    <mergeCell ref="B12:D12"/>
    <mergeCell ref="B13:D13"/>
    <mergeCell ref="B14:D14"/>
    <mergeCell ref="X14:Y14"/>
    <mergeCell ref="Z14:AC15"/>
    <mergeCell ref="AD14:AE15"/>
    <mergeCell ref="AF14:AG14"/>
    <mergeCell ref="X15:Y15"/>
    <mergeCell ref="AF15:AG15"/>
    <mergeCell ref="AN13:AO13"/>
    <mergeCell ref="AN14:AO14"/>
    <mergeCell ref="AY28:BB28"/>
    <mergeCell ref="AY29:BB29"/>
    <mergeCell ref="AQ26:AV26"/>
    <mergeCell ref="AW26:BB26"/>
    <mergeCell ref="AQ27:AT28"/>
    <mergeCell ref="AU27:AX28"/>
    <mergeCell ref="AY27:BB27"/>
    <mergeCell ref="AQ29:AT30"/>
    <mergeCell ref="AU29:AX30"/>
    <mergeCell ref="AY30:BB30"/>
    <mergeCell ref="C29:F29"/>
    <mergeCell ref="C30:F30"/>
    <mergeCell ref="C31:F31"/>
    <mergeCell ref="C32:F32"/>
    <mergeCell ref="C33:F33"/>
    <mergeCell ref="C34:F34"/>
    <mergeCell ref="C35:F35"/>
    <mergeCell ref="C36:F36"/>
    <mergeCell ref="C22:F22"/>
    <mergeCell ref="C23:F23"/>
    <mergeCell ref="C24:F24"/>
    <mergeCell ref="C25:F25"/>
    <mergeCell ref="C26:F26"/>
    <mergeCell ref="C27:F27"/>
    <mergeCell ref="C28:F28"/>
    <mergeCell ref="AG32:AJ32"/>
    <mergeCell ref="AG33:AJ33"/>
    <mergeCell ref="AG35:AJ35"/>
    <mergeCell ref="AG25:AJ25"/>
    <mergeCell ref="AG26:AJ26"/>
    <mergeCell ref="AG27:AJ27"/>
    <mergeCell ref="AG28:AJ28"/>
    <mergeCell ref="AG29:AJ29"/>
    <mergeCell ref="AG30:AJ30"/>
    <mergeCell ref="AG31:AJ31"/>
    <mergeCell ref="AU33:AV34"/>
    <mergeCell ref="AW33:AZ34"/>
    <mergeCell ref="AG34:AJ34"/>
    <mergeCell ref="AQ31:AT32"/>
    <mergeCell ref="AU31:AX32"/>
    <mergeCell ref="AY31:AZ31"/>
    <mergeCell ref="BA31:BB31"/>
    <mergeCell ref="AY32:AZ32"/>
    <mergeCell ref="BA32:BB32"/>
    <mergeCell ref="BA33:BB34"/>
    <mergeCell ref="AH12:AK13"/>
    <mergeCell ref="AH14:AK15"/>
    <mergeCell ref="AL14:AM15"/>
    <mergeCell ref="AH17:AK18"/>
    <mergeCell ref="AH10:AK11"/>
    <mergeCell ref="AL10:AM11"/>
    <mergeCell ref="AQ10:BB19"/>
    <mergeCell ref="AN11:AO11"/>
    <mergeCell ref="AL12:AM13"/>
    <mergeCell ref="AN12:AO12"/>
    <mergeCell ref="AN15:AO15"/>
    <mergeCell ref="AY25:AZ25"/>
    <mergeCell ref="BA25:BB25"/>
    <mergeCell ref="AL17:AO18"/>
    <mergeCell ref="AG19:AJ19"/>
    <mergeCell ref="AG20:AJ20"/>
    <mergeCell ref="AG21:AJ21"/>
    <mergeCell ref="AG22:AJ22"/>
    <mergeCell ref="AG23:AJ23"/>
    <mergeCell ref="AG24:AJ24"/>
    <mergeCell ref="AQ21:BB22"/>
    <mergeCell ref="AQ23:AV23"/>
    <mergeCell ref="AW23:BB23"/>
    <mergeCell ref="AQ24:AV24"/>
    <mergeCell ref="AW24:BB24"/>
    <mergeCell ref="AQ25:AV25"/>
    <mergeCell ref="AW25:AX25"/>
    <mergeCell ref="AQ40:BB40"/>
    <mergeCell ref="AQ41:BB41"/>
    <mergeCell ref="AQ42:BB42"/>
    <mergeCell ref="AQ43:BB43"/>
    <mergeCell ref="AQ33:AT34"/>
    <mergeCell ref="AQ35:AT36"/>
    <mergeCell ref="AU35:AV36"/>
    <mergeCell ref="AW35:AZ36"/>
    <mergeCell ref="BA35:BB36"/>
    <mergeCell ref="AG36:AJ36"/>
    <mergeCell ref="AQ38:BB39"/>
    <mergeCell ref="S40:X40"/>
    <mergeCell ref="Y40:AB40"/>
    <mergeCell ref="S41:X41"/>
    <mergeCell ref="Y41:AB41"/>
    <mergeCell ref="AC40:AG40"/>
    <mergeCell ref="AH40:AK40"/>
    <mergeCell ref="AC41:AG41"/>
    <mergeCell ref="AH41:AK41"/>
    <mergeCell ref="AL41:AO41"/>
    <mergeCell ref="W35:Z35"/>
    <mergeCell ref="W36:Z36"/>
    <mergeCell ref="B38:AO39"/>
    <mergeCell ref="J40:L40"/>
    <mergeCell ref="M40:O40"/>
    <mergeCell ref="P40:R40"/>
    <mergeCell ref="AL40:AO40"/>
    <mergeCell ref="M42:O42"/>
    <mergeCell ref="P42:R42"/>
    <mergeCell ref="S42:X42"/>
    <mergeCell ref="Y42:AB42"/>
    <mergeCell ref="AC42:AG42"/>
    <mergeCell ref="AH42:AK42"/>
    <mergeCell ref="AL42:AO42"/>
    <mergeCell ref="B40:I40"/>
    <mergeCell ref="B41:I41"/>
    <mergeCell ref="J41:L41"/>
    <mergeCell ref="M41:O41"/>
    <mergeCell ref="P41:R41"/>
    <mergeCell ref="B42:I42"/>
    <mergeCell ref="J42:L42"/>
    <mergeCell ref="AH43:AK43"/>
    <mergeCell ref="AL43:AO43"/>
    <mergeCell ref="B43:I43"/>
    <mergeCell ref="J43:L43"/>
    <mergeCell ref="M43:O43"/>
    <mergeCell ref="P43:R43"/>
    <mergeCell ref="S43:X43"/>
    <mergeCell ref="Y43:AB43"/>
    <mergeCell ref="AC43:AG43"/>
    <mergeCell ref="Q58:U59"/>
    <mergeCell ref="V58:Z59"/>
    <mergeCell ref="Q60:U61"/>
    <mergeCell ref="G58:K59"/>
    <mergeCell ref="L58:P59"/>
    <mergeCell ref="B60:F61"/>
    <mergeCell ref="G60:K61"/>
    <mergeCell ref="L60:P61"/>
    <mergeCell ref="B66:R70"/>
    <mergeCell ref="B71:Q72"/>
    <mergeCell ref="B56:F57"/>
    <mergeCell ref="G56:K57"/>
    <mergeCell ref="L56:P57"/>
    <mergeCell ref="Q56:U57"/>
    <mergeCell ref="V56:Z57"/>
    <mergeCell ref="AA56:AE57"/>
    <mergeCell ref="B58:F59"/>
    <mergeCell ref="AA58:AE59"/>
    <mergeCell ref="AF58:AJ59"/>
    <mergeCell ref="AK58:AO59"/>
    <mergeCell ref="V60:AN60"/>
    <mergeCell ref="V61:AO61"/>
    <mergeCell ref="B63:BB64"/>
    <mergeCell ref="B65:R65"/>
    <mergeCell ref="W73:Z73"/>
    <mergeCell ref="AA73:AD73"/>
    <mergeCell ref="Z77:AK80"/>
    <mergeCell ref="AL77:AW80"/>
    <mergeCell ref="AY77:BB80"/>
    <mergeCell ref="S65:AI65"/>
    <mergeCell ref="AJ65:BB65"/>
    <mergeCell ref="S66:AI70"/>
    <mergeCell ref="AJ66:BB73"/>
    <mergeCell ref="W71:Z72"/>
    <mergeCell ref="AA71:AD72"/>
    <mergeCell ref="AE71:AI72"/>
    <mergeCell ref="AE73:AI73"/>
    <mergeCell ref="B73:R73"/>
    <mergeCell ref="B75:M76"/>
    <mergeCell ref="N75:Y76"/>
    <mergeCell ref="Z75:AK76"/>
    <mergeCell ref="AL75:AW76"/>
    <mergeCell ref="AY75:BB76"/>
    <mergeCell ref="B84:E87"/>
    <mergeCell ref="F84:I87"/>
    <mergeCell ref="J84:M87"/>
    <mergeCell ref="N84:Q87"/>
    <mergeCell ref="R84:U87"/>
    <mergeCell ref="V84:Y87"/>
    <mergeCell ref="Z84:AC87"/>
    <mergeCell ref="A89:BC89"/>
    <mergeCell ref="A90:BC90"/>
    <mergeCell ref="A91:BC91"/>
    <mergeCell ref="A92:BC92"/>
    <mergeCell ref="A93:BC93"/>
    <mergeCell ref="A94:BC94"/>
    <mergeCell ref="A95:BC95"/>
    <mergeCell ref="AH47:AK47"/>
    <mergeCell ref="AL47:AO47"/>
    <mergeCell ref="AQ47:BB47"/>
    <mergeCell ref="B47:I47"/>
    <mergeCell ref="J47:L47"/>
    <mergeCell ref="M47:O47"/>
    <mergeCell ref="P47:R47"/>
    <mergeCell ref="S47:X47"/>
    <mergeCell ref="Y47:AB47"/>
    <mergeCell ref="AC47:AG47"/>
    <mergeCell ref="B48:T49"/>
    <mergeCell ref="V48:AN49"/>
    <mergeCell ref="AQ48:BB48"/>
    <mergeCell ref="B50:F51"/>
    <mergeCell ref="G50:K51"/>
    <mergeCell ref="L50:P51"/>
    <mergeCell ref="Q50:U51"/>
    <mergeCell ref="AF50:AJ51"/>
    <mergeCell ref="V50:Z51"/>
    <mergeCell ref="AA50:AE51"/>
    <mergeCell ref="G52:K53"/>
    <mergeCell ref="L52:P53"/>
    <mergeCell ref="Q52:U53"/>
    <mergeCell ref="V52:Z53"/>
    <mergeCell ref="AA52:AE53"/>
    <mergeCell ref="AQ49:BA54"/>
    <mergeCell ref="AQ55:BB58"/>
    <mergeCell ref="AQ59:BA59"/>
    <mergeCell ref="AQ60:BB60"/>
    <mergeCell ref="AQ61:AX61"/>
    <mergeCell ref="AY61:BB61"/>
    <mergeCell ref="AF56:AJ57"/>
    <mergeCell ref="AK56:AO57"/>
    <mergeCell ref="AH46:AK46"/>
    <mergeCell ref="AL46:AO46"/>
    <mergeCell ref="AQ46:BB46"/>
    <mergeCell ref="BB49:BB54"/>
    <mergeCell ref="AK50:AO51"/>
    <mergeCell ref="AF52:AJ53"/>
    <mergeCell ref="AK52:AO53"/>
    <mergeCell ref="AH44:AK44"/>
    <mergeCell ref="AL44:AO44"/>
    <mergeCell ref="AQ44:BB44"/>
    <mergeCell ref="B44:I44"/>
    <mergeCell ref="J44:L44"/>
    <mergeCell ref="M44:O44"/>
    <mergeCell ref="P44:R44"/>
    <mergeCell ref="S44:X44"/>
    <mergeCell ref="Y44:AB44"/>
    <mergeCell ref="AC44:AG44"/>
    <mergeCell ref="AH45:AK45"/>
    <mergeCell ref="AL45:AO45"/>
    <mergeCell ref="AQ45:BB45"/>
    <mergeCell ref="B45:I45"/>
    <mergeCell ref="J45:L45"/>
    <mergeCell ref="M45:O45"/>
    <mergeCell ref="P45:R45"/>
    <mergeCell ref="S45:X45"/>
    <mergeCell ref="Y45:AB45"/>
    <mergeCell ref="AC45:AG45"/>
    <mergeCell ref="B46:I46"/>
    <mergeCell ref="J46:L46"/>
    <mergeCell ref="M46:O46"/>
    <mergeCell ref="P46:R46"/>
    <mergeCell ref="S46:X46"/>
    <mergeCell ref="Y46:AB46"/>
    <mergeCell ref="AC46:AG46"/>
    <mergeCell ref="AF54:AJ55"/>
    <mergeCell ref="AK54:AO55"/>
    <mergeCell ref="B52:F53"/>
    <mergeCell ref="B54:F55"/>
    <mergeCell ref="G54:K55"/>
    <mergeCell ref="L54:P55"/>
    <mergeCell ref="Q54:U55"/>
    <mergeCell ref="V54:Z55"/>
    <mergeCell ref="AA54:AE55"/>
    <mergeCell ref="S71:V72"/>
    <mergeCell ref="S73:V73"/>
    <mergeCell ref="N77:Y80"/>
    <mergeCell ref="B77:M80"/>
    <mergeCell ref="B82:E83"/>
    <mergeCell ref="F82:I83"/>
    <mergeCell ref="J82:M83"/>
    <mergeCell ref="N82:Q83"/>
    <mergeCell ref="R82:U83"/>
    <mergeCell ref="V82:Y83"/>
    <mergeCell ref="Z82:AC83"/>
    <mergeCell ref="AD82:AG83"/>
    <mergeCell ref="AH82:AK83"/>
    <mergeCell ref="AL82:AO83"/>
    <mergeCell ref="AP82:AS83"/>
    <mergeCell ref="AT82:AW83"/>
    <mergeCell ref="AX82:BB83"/>
    <mergeCell ref="AD84:AG87"/>
    <mergeCell ref="AH84:AK87"/>
    <mergeCell ref="AL84:AO87"/>
    <mergeCell ref="AP84:AS87"/>
    <mergeCell ref="AT84:AW87"/>
    <mergeCell ref="AX84:BB87"/>
    <mergeCell ref="AX88:BB88"/>
    <mergeCell ref="A145:BC145"/>
    <mergeCell ref="A146:BC146"/>
    <mergeCell ref="A147:BC147"/>
    <mergeCell ref="A148:BC148"/>
    <mergeCell ref="A149:BC149"/>
    <mergeCell ref="A150:BC150"/>
    <mergeCell ref="A151:BC151"/>
    <mergeCell ref="A152:BC152"/>
    <mergeCell ref="A153:BC153"/>
    <mergeCell ref="A154:BC154"/>
    <mergeCell ref="A155:BC155"/>
    <mergeCell ref="A156:BC156"/>
    <mergeCell ref="A157:BC157"/>
    <mergeCell ref="A158:BC158"/>
    <mergeCell ref="A159:BC159"/>
    <mergeCell ref="A160:BC160"/>
    <mergeCell ref="A161:BC161"/>
    <mergeCell ref="A162:BC162"/>
    <mergeCell ref="A163:BC163"/>
    <mergeCell ref="A164:BC164"/>
    <mergeCell ref="A165:BC165"/>
    <mergeCell ref="A173:BC173"/>
    <mergeCell ref="A174:BC174"/>
    <mergeCell ref="A175:BC175"/>
    <mergeCell ref="A176:BC176"/>
    <mergeCell ref="A177:BC177"/>
    <mergeCell ref="A166:BC166"/>
    <mergeCell ref="A167:BC167"/>
    <mergeCell ref="A168:BC168"/>
    <mergeCell ref="A169:BC169"/>
    <mergeCell ref="A170:BC170"/>
    <mergeCell ref="A171:BC171"/>
    <mergeCell ref="A172:BC172"/>
    <mergeCell ref="A96:BC96"/>
    <mergeCell ref="A97:BC97"/>
    <mergeCell ref="A98:BC98"/>
    <mergeCell ref="A99:BC99"/>
    <mergeCell ref="A100:BC100"/>
    <mergeCell ref="A101:BC101"/>
    <mergeCell ref="A102:BC102"/>
    <mergeCell ref="A103:BC103"/>
    <mergeCell ref="A104:BC104"/>
    <mergeCell ref="A105:BC105"/>
    <mergeCell ref="A106:BC106"/>
    <mergeCell ref="A107:BC107"/>
    <mergeCell ref="A108:BC108"/>
    <mergeCell ref="A109:BC109"/>
    <mergeCell ref="A110:BC110"/>
    <mergeCell ref="A111:BC111"/>
    <mergeCell ref="A112:BC112"/>
    <mergeCell ref="A113:BC113"/>
    <mergeCell ref="A114:BC114"/>
    <mergeCell ref="A115:BC115"/>
    <mergeCell ref="A116:BC116"/>
    <mergeCell ref="A117:BC117"/>
    <mergeCell ref="A118:BC118"/>
    <mergeCell ref="A119:BC119"/>
    <mergeCell ref="A120:BC120"/>
    <mergeCell ref="A121:BC121"/>
    <mergeCell ref="A122:BC122"/>
    <mergeCell ref="A123:BC123"/>
    <mergeCell ref="A124:BC124"/>
    <mergeCell ref="A125:BC125"/>
    <mergeCell ref="A126:BC126"/>
    <mergeCell ref="A127:BC127"/>
    <mergeCell ref="A128:BC128"/>
    <mergeCell ref="A129:BC129"/>
    <mergeCell ref="A130:BC130"/>
    <mergeCell ref="A131:BC131"/>
    <mergeCell ref="A132:BC132"/>
    <mergeCell ref="A133:BC133"/>
    <mergeCell ref="A134:BC134"/>
    <mergeCell ref="A135:BC135"/>
    <mergeCell ref="A136:BC136"/>
    <mergeCell ref="A137:BC137"/>
    <mergeCell ref="A138:BC138"/>
    <mergeCell ref="A139:BC139"/>
    <mergeCell ref="A140:BC140"/>
    <mergeCell ref="A141:BC141"/>
    <mergeCell ref="A142:BC142"/>
    <mergeCell ref="A143:BC143"/>
    <mergeCell ref="A144:BC144"/>
  </mergeCells>
  <conditionalFormatting sqref="B19:B36 L19:L36 V19:V36 AF19:AF36">
    <cfRule type="containsText" dxfId="13" priority="1" operator="containsText" text="✖">
      <formula>NOT(ISERROR(SEARCH(("✖"),(B19))))</formula>
    </cfRule>
  </conditionalFormatting>
  <conditionalFormatting sqref="B19:B36 L19:L36 V19:V36 AF19:AF36">
    <cfRule type="containsText" dxfId="1" priority="2" operator="containsText" text="✔">
      <formula>NOT(ISERROR(SEARCH(("✔"),(B19))))</formula>
    </cfRule>
  </conditionalFormatting>
  <conditionalFormatting sqref="C19:F19">
    <cfRule type="expression" dxfId="14" priority="3">
      <formula>H19&gt;0</formula>
    </cfRule>
  </conditionalFormatting>
  <conditionalFormatting sqref="C20:F20">
    <cfRule type="expression" dxfId="14" priority="4">
      <formula>H20&gt;0</formula>
    </cfRule>
  </conditionalFormatting>
  <conditionalFormatting sqref="C21:F21">
    <cfRule type="expression" dxfId="14" priority="5">
      <formula>H21&gt;0</formula>
    </cfRule>
  </conditionalFormatting>
  <conditionalFormatting sqref="C22:F22">
    <cfRule type="expression" dxfId="14" priority="6">
      <formula>H22&gt;0</formula>
    </cfRule>
  </conditionalFormatting>
  <conditionalFormatting sqref="C23:F23">
    <cfRule type="expression" dxfId="14" priority="7">
      <formula>H23&gt;0</formula>
    </cfRule>
  </conditionalFormatting>
  <conditionalFormatting sqref="C24:F24">
    <cfRule type="expression" dxfId="14" priority="8">
      <formula>H24&gt;0</formula>
    </cfRule>
  </conditionalFormatting>
  <conditionalFormatting sqref="C25:F25">
    <cfRule type="expression" dxfId="14" priority="9">
      <formula>H25&gt;0</formula>
    </cfRule>
  </conditionalFormatting>
  <conditionalFormatting sqref="C26:F26">
    <cfRule type="expression" dxfId="14" priority="10">
      <formula>H26&gt;0</formula>
    </cfRule>
  </conditionalFormatting>
  <conditionalFormatting sqref="C27:F27">
    <cfRule type="expression" dxfId="14" priority="11">
      <formula>H27&gt;0</formula>
    </cfRule>
  </conditionalFormatting>
  <conditionalFormatting sqref="C28:F28">
    <cfRule type="expression" dxfId="14" priority="12">
      <formula>H28&gt;0</formula>
    </cfRule>
  </conditionalFormatting>
  <conditionalFormatting sqref="C29:F29">
    <cfRule type="expression" dxfId="14" priority="13">
      <formula>H29&gt;0</formula>
    </cfRule>
  </conditionalFormatting>
  <conditionalFormatting sqref="C30:F30">
    <cfRule type="expression" dxfId="14" priority="14">
      <formula>H30&gt;0</formula>
    </cfRule>
  </conditionalFormatting>
  <conditionalFormatting sqref="C31:F31">
    <cfRule type="expression" dxfId="14" priority="15">
      <formula>H31&gt;0</formula>
    </cfRule>
  </conditionalFormatting>
  <conditionalFormatting sqref="C32:F32">
    <cfRule type="expression" dxfId="14" priority="16">
      <formula>H32&gt;0</formula>
    </cfRule>
  </conditionalFormatting>
  <conditionalFormatting sqref="C33:F33">
    <cfRule type="expression" dxfId="14" priority="17">
      <formula>H33&gt;0</formula>
    </cfRule>
  </conditionalFormatting>
  <conditionalFormatting sqref="C34:F34">
    <cfRule type="expression" dxfId="14" priority="18">
      <formula>H34&gt;0</formula>
    </cfRule>
  </conditionalFormatting>
  <conditionalFormatting sqref="C35:F35">
    <cfRule type="expression" dxfId="14" priority="19">
      <formula>H35&gt;0</formula>
    </cfRule>
  </conditionalFormatting>
  <conditionalFormatting sqref="C36:F36">
    <cfRule type="expression" dxfId="14" priority="20">
      <formula>H36&gt;0</formula>
    </cfRule>
  </conditionalFormatting>
  <conditionalFormatting sqref="M19:P19">
    <cfRule type="expression" dxfId="14" priority="21">
      <formula>R19&gt;0</formula>
    </cfRule>
  </conditionalFormatting>
  <conditionalFormatting sqref="M20:P20">
    <cfRule type="expression" dxfId="14" priority="22">
      <formula>R20&gt;0</formula>
    </cfRule>
  </conditionalFormatting>
  <conditionalFormatting sqref="M21:P21">
    <cfRule type="expression" dxfId="14" priority="23">
      <formula>R21&gt;0</formula>
    </cfRule>
  </conditionalFormatting>
  <conditionalFormatting sqref="M22:P22">
    <cfRule type="expression" dxfId="14" priority="24">
      <formula>R22&gt;0</formula>
    </cfRule>
  </conditionalFormatting>
  <conditionalFormatting sqref="M23:P23">
    <cfRule type="expression" dxfId="14" priority="25">
      <formula>R23&gt;0</formula>
    </cfRule>
  </conditionalFormatting>
  <conditionalFormatting sqref="M24:P24">
    <cfRule type="expression" dxfId="14" priority="26">
      <formula>R24&gt;0</formula>
    </cfRule>
  </conditionalFormatting>
  <conditionalFormatting sqref="M25:P25">
    <cfRule type="expression" dxfId="14" priority="27">
      <formula>R25&gt;0</formula>
    </cfRule>
  </conditionalFormatting>
  <conditionalFormatting sqref="M26:P26">
    <cfRule type="expression" dxfId="14" priority="28">
      <formula>R26&gt;0</formula>
    </cfRule>
  </conditionalFormatting>
  <conditionalFormatting sqref="M27:P27">
    <cfRule type="expression" dxfId="14" priority="29">
      <formula>R27&gt;0</formula>
    </cfRule>
  </conditionalFormatting>
  <conditionalFormatting sqref="M28:P28">
    <cfRule type="expression" dxfId="14" priority="30">
      <formula>R28&gt;0</formula>
    </cfRule>
  </conditionalFormatting>
  <conditionalFormatting sqref="M29:P29">
    <cfRule type="expression" dxfId="14" priority="31">
      <formula>R29&gt;0</formula>
    </cfRule>
  </conditionalFormatting>
  <conditionalFormatting sqref="M30:P30">
    <cfRule type="expression" dxfId="14" priority="32">
      <formula>R30&gt;0</formula>
    </cfRule>
  </conditionalFormatting>
  <conditionalFormatting sqref="M31:P31">
    <cfRule type="expression" dxfId="14" priority="33">
      <formula>R31&gt;0</formula>
    </cfRule>
  </conditionalFormatting>
  <conditionalFormatting sqref="M32:P32">
    <cfRule type="expression" dxfId="14" priority="34">
      <formula>R32&gt;0</formula>
    </cfRule>
  </conditionalFormatting>
  <conditionalFormatting sqref="M33:P33">
    <cfRule type="expression" dxfId="14" priority="35">
      <formula>R33&gt;0</formula>
    </cfRule>
  </conditionalFormatting>
  <conditionalFormatting sqref="M34:P34">
    <cfRule type="expression" dxfId="14" priority="36">
      <formula>R34&gt;0</formula>
    </cfRule>
  </conditionalFormatting>
  <conditionalFormatting sqref="M35:P35">
    <cfRule type="expression" dxfId="14" priority="37">
      <formula>R35&gt;0</formula>
    </cfRule>
  </conditionalFormatting>
  <conditionalFormatting sqref="M36:P36">
    <cfRule type="expression" dxfId="14" priority="38">
      <formula>R36&gt;0</formula>
    </cfRule>
  </conditionalFormatting>
  <conditionalFormatting sqref="W19:Z19">
    <cfRule type="expression" dxfId="14" priority="39">
      <formula>AB19&gt;0</formula>
    </cfRule>
  </conditionalFormatting>
  <conditionalFormatting sqref="W20:Z20">
    <cfRule type="expression" dxfId="14" priority="40">
      <formula>AB20&gt;0</formula>
    </cfRule>
  </conditionalFormatting>
  <conditionalFormatting sqref="W21:Z21">
    <cfRule type="expression" dxfId="14" priority="41">
      <formula>AB21&gt;0</formula>
    </cfRule>
  </conditionalFormatting>
  <conditionalFormatting sqref="W22:Z22">
    <cfRule type="expression" dxfId="14" priority="42">
      <formula>AB22&gt;0</formula>
    </cfRule>
  </conditionalFormatting>
  <conditionalFormatting sqref="W23:Z23">
    <cfRule type="expression" dxfId="15" priority="43">
      <formula>AB23&gt;0</formula>
    </cfRule>
  </conditionalFormatting>
  <conditionalFormatting sqref="W24:Z24">
    <cfRule type="expression" dxfId="14" priority="44">
      <formula>AB24&gt;0</formula>
    </cfRule>
  </conditionalFormatting>
  <conditionalFormatting sqref="W25:Z25">
    <cfRule type="expression" dxfId="14" priority="45">
      <formula>AB25&gt;0</formula>
    </cfRule>
  </conditionalFormatting>
  <conditionalFormatting sqref="W26:Z26">
    <cfRule type="expression" dxfId="14" priority="46">
      <formula>AB26&gt;0</formula>
    </cfRule>
  </conditionalFormatting>
  <conditionalFormatting sqref="W27:Z27">
    <cfRule type="expression" dxfId="14" priority="47">
      <formula>AB27&gt;0</formula>
    </cfRule>
  </conditionalFormatting>
  <conditionalFormatting sqref="W28:Z28">
    <cfRule type="expression" dxfId="14" priority="48">
      <formula>AB28&gt;0</formula>
    </cfRule>
  </conditionalFormatting>
  <conditionalFormatting sqref="W29:Z29">
    <cfRule type="expression" dxfId="14" priority="49">
      <formula>AB29&gt;0</formula>
    </cfRule>
  </conditionalFormatting>
  <conditionalFormatting sqref="W30:Z30">
    <cfRule type="expression" dxfId="14" priority="50">
      <formula>AB30&gt;0</formula>
    </cfRule>
  </conditionalFormatting>
  <conditionalFormatting sqref="W31:Z31">
    <cfRule type="expression" dxfId="14" priority="51">
      <formula>AB31&gt;0</formula>
    </cfRule>
  </conditionalFormatting>
  <conditionalFormatting sqref="W32:Z32">
    <cfRule type="expression" dxfId="14" priority="52">
      <formula>AB32&gt;0</formula>
    </cfRule>
  </conditionalFormatting>
  <conditionalFormatting sqref="W33:Z33">
    <cfRule type="expression" dxfId="14" priority="53">
      <formula>AB33&gt;0</formula>
    </cfRule>
  </conditionalFormatting>
  <conditionalFormatting sqref="W34:Z34">
    <cfRule type="expression" dxfId="14" priority="54">
      <formula>AB34&gt;0</formula>
    </cfRule>
  </conditionalFormatting>
  <conditionalFormatting sqref="W35:Z35">
    <cfRule type="expression" dxfId="14" priority="55">
      <formula>AB35&gt;0</formula>
    </cfRule>
  </conditionalFormatting>
  <conditionalFormatting sqref="W36:Z36">
    <cfRule type="expression" dxfId="14" priority="56">
      <formula>AB36&gt;0</formula>
    </cfRule>
  </conditionalFormatting>
  <conditionalFormatting sqref="AG19:AJ19">
    <cfRule type="expression" dxfId="14" priority="57">
      <formula>AL19&gt;0</formula>
    </cfRule>
  </conditionalFormatting>
  <conditionalFormatting sqref="AG20:AJ20">
    <cfRule type="expression" dxfId="14" priority="58">
      <formula>AL20&gt;0</formula>
    </cfRule>
  </conditionalFormatting>
  <conditionalFormatting sqref="AG21:AJ21">
    <cfRule type="expression" dxfId="14" priority="59">
      <formula>AL21&gt;0</formula>
    </cfRule>
  </conditionalFormatting>
  <conditionalFormatting sqref="AG22:AJ22">
    <cfRule type="expression" dxfId="14" priority="60">
      <formula>AL22&gt;0</formula>
    </cfRule>
  </conditionalFormatting>
  <conditionalFormatting sqref="AG23:AJ23">
    <cfRule type="expression" dxfId="14" priority="61">
      <formula>AL23&gt;0</formula>
    </cfRule>
  </conditionalFormatting>
  <conditionalFormatting sqref="AG24:AJ24">
    <cfRule type="expression" dxfId="14" priority="62">
      <formula>AL24&gt;0</formula>
    </cfRule>
  </conditionalFormatting>
  <conditionalFormatting sqref="AG25:AJ25">
    <cfRule type="expression" dxfId="14" priority="63">
      <formula>AL25&gt;0</formula>
    </cfRule>
  </conditionalFormatting>
  <conditionalFormatting sqref="AG26:AJ26">
    <cfRule type="expression" dxfId="14" priority="64">
      <formula>AL26&gt;0</formula>
    </cfRule>
  </conditionalFormatting>
  <conditionalFormatting sqref="AG27:AJ27">
    <cfRule type="expression" dxfId="14" priority="65">
      <formula>AL27&gt;0</formula>
    </cfRule>
  </conditionalFormatting>
  <conditionalFormatting sqref="AG28:AJ28">
    <cfRule type="expression" dxfId="14" priority="66">
      <formula>AL28&gt;0</formula>
    </cfRule>
  </conditionalFormatting>
  <conditionalFormatting sqref="AG29:AJ29">
    <cfRule type="expression" dxfId="14" priority="67">
      <formula>AL29&gt;0</formula>
    </cfRule>
  </conditionalFormatting>
  <conditionalFormatting sqref="AG30:AJ30">
    <cfRule type="expression" dxfId="14" priority="68">
      <formula>AL30&gt;0</formula>
    </cfRule>
  </conditionalFormatting>
  <conditionalFormatting sqref="AG31:AJ31">
    <cfRule type="expression" dxfId="14" priority="69">
      <formula>AL31&gt;0</formula>
    </cfRule>
  </conditionalFormatting>
  <conditionalFormatting sqref="AG32:AJ32">
    <cfRule type="expression" dxfId="14" priority="70">
      <formula>AL32&gt;0</formula>
    </cfRule>
  </conditionalFormatting>
  <conditionalFormatting sqref="AG33:AJ33">
    <cfRule type="expression" dxfId="14" priority="71">
      <formula>AL33&gt;0</formula>
    </cfRule>
  </conditionalFormatting>
  <conditionalFormatting sqref="AG34:AJ34">
    <cfRule type="expression" dxfId="14" priority="72">
      <formula>AL34&gt;0</formula>
    </cfRule>
  </conditionalFormatting>
  <conditionalFormatting sqref="AG35:AJ35">
    <cfRule type="expression" dxfId="14" priority="73">
      <formula>AL35&gt;0</formula>
    </cfRule>
  </conditionalFormatting>
  <conditionalFormatting sqref="AG36:AJ36">
    <cfRule type="expression" dxfId="14" priority="74">
      <formula>AL36&gt;0</formula>
    </cfRule>
  </conditionalFormatting>
  <dataValidations>
    <dataValidation type="list" allowBlank="1" sqref="U49 AO49 BB49 BB59 AO60 R72">
      <formula1>"1,2,3,4,5,6,7,8,9,10"</formula1>
    </dataValidation>
    <dataValidation type="list" allowBlank="1" sqref="AU33 BA33 AU35 BA35 B19:B36 L19:L36 V19:V36 AF19:AF36">
      <formula1>"✖,✔"</formula1>
    </dataValidation>
    <dataValidation type="list" allowBlank="1" sqref="E12">
      <formula1>"간호사,갱 보스,건달,건 몰,건축가,경관,고고학자,곡예사,골동품상,골동품 연구가,과학자,광부,광신자,교수,교주,기술자,기자,깡패,노조 활동가,농부,단독 범죄자,대학생,도둑,도박사,등반가,디자이너,디프로그래머,딜레탕트,떠돌이,리포터,매춘부,맹수사냥꾼,미술가,밀수꾼,밀주업자,바텐더,박물관 큐레이터,배우,벌목꾼,법의학자,변호사,병사,병원 보조원,복서/레슬러,부랑자,부족민,부하 조직원,비서,비행사,사기꾼,사립탐정,사무원,사서,사육사,사진가,사진기자,서적상,선교"&amp;"사,선원,선출직 공무원,성직자,소방관,수병,스턴트맨,스턴트우먼,스파이,신비학자,신사/숙녀,심령학자,심리학자,약사,엔지니어,연구실 조수,연구자,연방 요원,연예인,연주자,외신 기자,운동선수,운전사,웨이터,웨이트리스,위조업자,은행강도,의사,인턴,자객,자연 애호가,작가,잠수부,장교,장물아비,장의사,장인,전속 기사,점장,정신감정사,정신과 의사,정신병원 직원,정신분석가,조련사,조종사,중상급 관리자,집사,카우걸/카우보이,컴퓨터 테크니션,탐광인,탐험가,택시 운전사,판"&amp;"매원,판사,편집자,폭력배,프로그래머,하녀,하인,해커,현상금 사냥꾼,형사,회계사,회사 탐정,ETC"</formula1>
    </dataValidation>
  </dataValidations>
  <drawing r:id="rId2"/>
  <legacyDrawing r:id="rId3"/>
</worksheet>
</file>